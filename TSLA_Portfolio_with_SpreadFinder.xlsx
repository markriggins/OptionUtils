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s" sheetId="1" r:id="rId5"/>
    <sheet state="visible" name="TSLAPortfolioValueByPrice" sheetId="2" r:id="rId6"/>
    <sheet state="visible" name="OptionPricesUploaded" sheetId="3" r:id="rId7"/>
    <sheet state="visible" name="SpreadFinderConfig" sheetId="4" r:id="rId8"/>
    <sheet state="visible" name="Spreads" sheetId="5" r:id="rId9"/>
    <sheet state="visible" name="README" sheetId="6" r:id="rId10"/>
  </sheets>
  <definedNames>
    <definedName name="Option_purchase_factor">#REF!</definedName>
    <definedName name="IronCondorsTable">Positions!$U$3:$AJ$6</definedName>
    <definedName name="Config">#REF!</definedName>
    <definedName name="Portfolios">#REF!</definedName>
    <definedName name="TSLA_shares_for_investment">#REF!</definedName>
    <definedName name="Config_TSLA">TSLAPortfolioValueByPrice!$K$1:$L$10</definedName>
    <definedName name="Config_AMZN">#REF!</definedName>
    <definedName name="PortfoliosTable">#REF!</definedName>
    <definedName name="StocksTable">Positions!$U$9:$AC$21</definedName>
    <definedName name="Investment">#REF!</definedName>
    <definedName name="BullCallSpreadsTable">Positions!$B$3:$S$83</definedName>
    <definedName name="TSLA_market_price">#REF!</definedName>
    <definedName hidden="1" localSheetId="0" name="_xlnm._FilterDatabase">Positions!$B$3:$S$83</definedName>
    <definedName hidden="1" localSheetId="2" name="_xlnm._FilterDatabase">OptionPricesUploaded!$A$1:$L$867</definedName>
    <definedName hidden="1" localSheetId="4" name="_xlnm._FilterDatabase">Spreads!$A$2:$U$762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tc={14df535b-ef31-42c5-8359-fb7e611f9531}</author>
    <author>tc={345c8772-bca5-41bd-a5fc-fca723b68dd9}</author>
    <author>tc={4cbe788d-81bf-4288-9957-3f1c227a4883}</author>
    <author>tc={4ebd48da-49b5-4bf5-8104-560974e47f73}</author>
    <author>tc={603570b5-9c82-40d2-8bed-58276ca465e2}</author>
    <author>tc={e9c2cb0c-8d22-41da-88d9-2347c7344134}</author>
  </authors>
  <commentList>
    <comment authorId="0" xr:uid="{14df535b-ef31-42c5-8359-fb7e611f9531}" ref="A1">
      <text>
        <t xml:space="preserve">[Threaded comment]
 Your version of Excel allows you to read this threaded comment; however, any edits to it will get removed if the file is opened in a newer version of Excel. Learn more: https://go.microsoft.com/fwlink/?linkid=870924
Comment:
	Net price of the spread after buying the low leg and selling the upper one
</t>
      </text>
    </comment>
    <comment authorId="1" xr:uid="{345c8772-bca5-41bd-a5fc-fca723b68dd9}" ref="A1">
      <text>
        <t xml:space="preserve">[Threaded comment]
 Your version of Excel allows you to read this threaded comment; however, any edits to it will get removed if the file is opened in a newer version of Excel. Learn more: https://go.microsoft.com/fwlink/?linkid=870924
Comment:
	TSLA/OptionPrices/Barchart.com
</t>
      </text>
    </comment>
    <comment authorId="2" xr:uid="{4cbe788d-81bf-4288-9957-3f1c227a4883}" ref="A1">
      <text>
        <t xml:space="preserve">[Threaded comment]
 Your version of Excel allows you to read this threaded comment; however, any edits to it will get removed if the file is opened in a newer version of Excel. Learn more: https://go.microsoft.com/fwlink/?linkid=870924
Comment:
	Number of shares or contracts we can buy with our Investment, rounded down
</t>
      </text>
    </comment>
    <comment authorId="3" xr:uid="{4ebd48da-49b5-4bf5-8104-560974e47f73}" ref="A1">
      <text>
        <t xml:space="preserve">[Threaded comment]
 Your version of Excel allows you to read this threaded comment; however, any edits to it will get removed if the file is opened in a newer version of Excel. Learn more: https://go.microsoft.com/fwlink/?linkid=870924
Comment:
	When buying options, we have to pay closer to Ask than Bid
</t>
      </text>
    </comment>
    <comment authorId="4" xr:uid="{603570b5-9c82-40d2-8bed-58276ca465e2}" ref="A1">
      <text>
        <t xml:space="preserve">[Threaded comment]
 Your version of Excel allows you to read this threaded comment; however, any edits to it will get removed if the file is opened in a newer version of Excel. Learn more: https://go.microsoft.com/fwlink/?linkid=870924
Comment:
	Surprisingly small because you can only buy a few contracts
</t>
      </text>
    </comment>
    <comment authorId="5" xr:uid="{e9c2cb0c-8d22-41da-88d9-2347c7344134}" ref="A1">
      <text>
        <t xml:space="preserve">[Threaded comment]
 Your version of Excel allows you to read this threaded comment; however, any edits to it will get removed if the file is opened in a newer version of Excel. Learn more: https://go.microsoft.com/fwlink/?linkid=870924
Comment:
	Without fractional quantities, we cannot invest 100% of available funds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Stock ticker symbol</t>
      </text>
    </comment>
    <comment authorId="0" ref="B2">
      <text>
        <t xml:space="preserve">Option expiration date</t>
      </text>
    </comment>
    <comment authorId="0" ref="C2">
      <text>
        <t xml:space="preserve">Lower (long) strike - you BUY this call</t>
      </text>
    </comment>
    <comment authorId="0" ref="D2">
      <text>
        <t xml:space="preserve">Upper (short) strike - you SELL this call</t>
      </text>
    </comment>
    <comment authorId="0" ref="E2">
      <text>
        <t xml:space="preserve">Spread width = Upper - Lower (max profit potential)</t>
      </text>
    </comment>
    <comment authorId="0" ref="F2">
      <text>
        <t xml:space="preserve">Net debit to open (editable - formulas recalculate)</t>
      </text>
    </comment>
    <comment authorId="0" ref="G2">
      <text>
        <t xml:space="preserve">Max profit = Width - Debit (if stock &gt; Upper at expiry)</t>
      </text>
    </comment>
    <comment authorId="0" ref="H2">
      <text>
        <t xml:space="preserve">Return on Investment = MaxProfit / Debit</t>
      </text>
    </comment>
    <comment authorId="0" ref="I2">
      <text>
        <t xml:space="preserve">Expected dollar gain using prob-of-touch model (80% target)</t>
      </text>
    </comment>
    <comment authorId="0" ref="J2">
      <text>
        <t xml:space="preserve">Expected ROI = ExpGain / Debit</t>
      </text>
    </comment>
    <comment authorId="0" ref="K2">
      <text>
        <t xml:space="preserve">Delta of lower call (0-1). Higher = more ITM, higher prob of profit</t>
      </text>
    </comment>
    <comment authorId="0" ref="L2">
      <text>
        <t xml:space="preserve">Delta of upper call. Lower than LowerDelta since further OTM</t>
      </text>
    </comment>
    <comment authorId="0" ref="M2">
      <text>
        <t xml:space="preserve">Open Interest on lower strike. Higher = better liquidity</t>
      </text>
    </comment>
    <comment authorId="0" ref="N2">
      <text>
        <t xml:space="preserve">Open Interest on upper strike. Want both legs liquid</t>
      </text>
    </comment>
    <comment authorId="0" ref="O2">
      <text>
        <t xml:space="preserve">Liquidity score = sqrt(LowerOI × UpperOI) / 100</t>
      </text>
    </comment>
    <comment authorId="0" ref="P2">
      <text>
        <t xml:space="preserve">Bid-ask tightness. Higher = tighter spreads, better fills</t>
      </text>
    </comment>
    <comment authorId="0" ref="Q2">
      <text>
        <t xml:space="preserve">Fitness = ExpROI × Liquidity^0.1 × Tightness^0.1</t>
      </text>
    </comment>
    <comment authorId="0" ref="R2">
      <text>
        <t xml:space="preserve">Link to OptionStrat visualization</t>
      </text>
    </comment>
    <comment authorId="0" ref="S2">
      <text>
        <t xml:space="preserve">Label for chart identification</t>
      </text>
    </comment>
    <comment authorId="0" ref="T2">
      <text>
        <t xml:space="preserve">HELD = you already have a conflicting short position</t>
      </text>
    </comment>
    <comment authorId="0" ref="U2">
      <text>
        <t xml:space="preserve">Implied volatility of the lower (long) leg</t>
      </text>
    </comment>
  </commentList>
</comments>
</file>

<file path=xl/sharedStrings.xml><?xml version="1.0" encoding="utf-8"?>
<sst xmlns="http://schemas.openxmlformats.org/spreadsheetml/2006/main" count="4311" uniqueCount="938">
  <si>
    <t>Actual Positions</t>
  </si>
  <si>
    <t>Symbol</t>
  </si>
  <si>
    <t>Spread</t>
  </si>
  <si>
    <t>Long Strike</t>
  </si>
  <si>
    <t>Short Strike</t>
  </si>
  <si>
    <t>Break Even</t>
  </si>
  <si>
    <t>Expiration</t>
  </si>
  <si>
    <t>Rec Debit</t>
  </si>
  <si>
    <t>Rec Credit</t>
  </si>
  <si>
    <t>Link</t>
  </si>
  <si>
    <t>Target</t>
  </si>
  <si>
    <t>Target Invst</t>
  </si>
  <si>
    <t>Contracts</t>
  </si>
  <si>
    <t>Debit</t>
  </si>
  <si>
    <t>Avg Debit</t>
  </si>
  <si>
    <t>Investment</t>
  </si>
  <si>
    <t>Gain</t>
  </si>
  <si>
    <t>Gain %</t>
  </si>
  <si>
    <t>Max Gain %</t>
  </si>
  <si>
    <t>Status</t>
  </si>
  <si>
    <t>Start</t>
  </si>
  <si>
    <t>Buy Put</t>
  </si>
  <si>
    <t>Sell put</t>
  </si>
  <si>
    <t>Sell Call</t>
  </si>
  <si>
    <t>Buy Call</t>
  </si>
  <si>
    <t>Credit</t>
  </si>
  <si>
    <t>Qty</t>
  </si>
  <si>
    <t>Net</t>
  </si>
  <si>
    <t>TSLA</t>
  </si>
  <si>
    <t>300/440</t>
  </si>
  <si>
    <t>https://optionstrat.com/FTIl2EggYZoo</t>
  </si>
  <si>
    <t>Open</t>
  </si>
  <si>
    <t>https://optionstrat.com/VOUvLKt884pn</t>
  </si>
  <si>
    <t>AMZN</t>
  </si>
  <si>
    <t>Closed</t>
  </si>
  <si>
    <t>https://optionstrat.com/XKUiiOIeBNHm</t>
  </si>
  <si>
    <t>Date</t>
  </si>
  <si>
    <t>Price</t>
  </si>
  <si>
    <t>Ave Price</t>
  </si>
  <si>
    <t>CurrentPrice</t>
  </si>
  <si>
    <t>350/450</t>
  </si>
  <si>
    <t>450</t>
  </si>
  <si>
    <t>https://optionstrat.com/TG7vQjv91ABh</t>
  </si>
  <si>
    <t>12/10</t>
  </si>
  <si>
    <t>https://optionstrat.com/PxIITSwWeXfl</t>
  </si>
  <si>
    <t>350/550</t>
  </si>
  <si>
    <t>https://optionstrat.com/LYejacDbLSwI</t>
  </si>
  <si>
    <t>400/450</t>
  </si>
  <si>
    <t>https://optionstrat.com/vOPx0VrfIOAb</t>
  </si>
  <si>
    <t>400/550</t>
  </si>
  <si>
    <t>https://optionstrat.com/V0osZTQKda2n</t>
  </si>
  <si>
    <t>https://optionstrat.com/NyquCCW8b2ee</t>
  </si>
  <si>
    <t>400/600</t>
  </si>
  <si>
    <t>480/490</t>
  </si>
  <si>
    <t>https://optionstrat.com/iHrBQIiN8IxB</t>
  </si>
  <si>
    <t>500/600</t>
  </si>
  <si>
    <t>https://optionstrat.com/iO6ipVOY0Xdk</t>
  </si>
  <si>
    <t>500/700</t>
  </si>
  <si>
    <t>https://optionstrat.com/G7N3PsJdJy2e</t>
  </si>
  <si>
    <t>https://optionstrat.com/8I3KWqZfN1Xs</t>
  </si>
  <si>
    <t>650/700</t>
  </si>
  <si>
    <t>Config Setting (Description)</t>
  </si>
  <si>
    <t>Value</t>
  </si>
  <si>
    <t>Min price on x-axis (inclusive)</t>
  </si>
  <si>
    <t>Max price on x-axis (inclusive)</t>
  </si>
  <si>
    <t>Price step size</t>
  </si>
  <si>
    <t>Data table start row (header row)</t>
  </si>
  <si>
    <t>Data table start column</t>
  </si>
  <si>
    <t>Chart title base (used for both charts)</t>
  </si>
  <si>
    <t>TSLA Portfolio Value by Price</t>
  </si>
  <si>
    <t>(Edit values in column L; config is not hidden)</t>
  </si>
  <si>
    <t>Data (generated)</t>
  </si>
  <si>
    <t>Price ($)</t>
  </si>
  <si>
    <t>Shares $</t>
  </si>
  <si>
    <t>Options $</t>
  </si>
  <si>
    <t>Total $</t>
  </si>
  <si>
    <t>Shares % ROI</t>
  </si>
  <si>
    <t>Options % ROI</t>
  </si>
  <si>
    <t>Dec 28 300/440</t>
  </si>
  <si>
    <t>Jun 28 350/450</t>
  </si>
  <si>
    <t>Dec 28 350/450</t>
  </si>
  <si>
    <t>Dec 28 350/550</t>
  </si>
  <si>
    <t>Dec 28 400/450</t>
  </si>
  <si>
    <t>Jun 28 400/550</t>
  </si>
  <si>
    <t>Dec 28 400/550</t>
  </si>
  <si>
    <t>Dec 28 480/490</t>
  </si>
  <si>
    <t>Dec 28 500/600</t>
  </si>
  <si>
    <t>Jun 28 500/700</t>
  </si>
  <si>
    <t>Dec 28 500/700</t>
  </si>
  <si>
    <t>Jan 26 IC 380/450/450/580 (put)</t>
  </si>
  <si>
    <t>Jan 26 IC 380/450/450/580 (call)</t>
  </si>
  <si>
    <t>Dec 28 300/440 %</t>
  </si>
  <si>
    <t>Jun 28 350/450 %</t>
  </si>
  <si>
    <t>Dec 28 350/450 %</t>
  </si>
  <si>
    <t>Dec 28 350/550 %</t>
  </si>
  <si>
    <t>Dec 28 400/450 %</t>
  </si>
  <si>
    <t>Jun 28 400/550 %</t>
  </si>
  <si>
    <t>Dec 28 400/550 %</t>
  </si>
  <si>
    <t>Dec 28 480/490 %</t>
  </si>
  <si>
    <t>Dec 28 500/600 %</t>
  </si>
  <si>
    <t>Jun 28 500/700 %</t>
  </si>
  <si>
    <t>Dec 28 500/700 %</t>
  </si>
  <si>
    <t>Jan 26 IC 380/450/450/580 (put) %</t>
  </si>
  <si>
    <t>Jan 26 IC 380/450/450/580 (call) %</t>
  </si>
  <si>
    <t>symbol</t>
  </si>
  <si>
    <t>expiration</t>
  </si>
  <si>
    <t>strike</t>
  </si>
  <si>
    <t>type</t>
  </si>
  <si>
    <t>bid</t>
  </si>
  <si>
    <t>mid</t>
  </si>
  <si>
    <t>ask</t>
  </si>
  <si>
    <t>iv</t>
  </si>
  <si>
    <t>delta</t>
  </si>
  <si>
    <t>volume</t>
  </si>
  <si>
    <t>openint</t>
  </si>
  <si>
    <t>moneyness</t>
  </si>
  <si>
    <t>Call</t>
  </si>
  <si>
    <t>Put</t>
  </si>
  <si>
    <t>Setting</t>
  </si>
  <si>
    <t>Description</t>
  </si>
  <si>
    <t>minSpreadWidth</t>
  </si>
  <si>
    <t>Minimum spread width in dollars</t>
  </si>
  <si>
    <t>maxSpreadWidth</t>
  </si>
  <si>
    <t>Maximum spread width in dollars</t>
  </si>
  <si>
    <t>minOpenInterest</t>
  </si>
  <si>
    <t>Minimum open interest for both legs</t>
  </si>
  <si>
    <t>minVolume</t>
  </si>
  <si>
    <t>Minimum volume for both legs</t>
  </si>
  <si>
    <t>patience</t>
  </si>
  <si>
    <t>Minutes for price calculation (0=aggressive, 60=patient)</t>
  </si>
  <si>
    <t>maxDebit</t>
  </si>
  <si>
    <t>Maximum debit per share</t>
  </si>
  <si>
    <t>minROI</t>
  </si>
  <si>
    <t>Minimum ROI (0.5 = 50% return)</t>
  </si>
  <si>
    <t>minStrike</t>
  </si>
  <si>
    <t>Minimum lower strike price</t>
  </si>
  <si>
    <t>maxStrike</t>
  </si>
  <si>
    <t>Maximum upper strike price</t>
  </si>
  <si>
    <t>minExpirationMonths</t>
  </si>
  <si>
    <t>Minimum months until expiration</t>
  </si>
  <si>
    <t>maxExpirationMonths</t>
  </si>
  <si>
    <t>Maximum months until expiration</t>
  </si>
  <si>
    <t>Outlook</t>
  </si>
  <si>
    <t>Price outlook for boosting fitness</t>
  </si>
  <si>
    <t>outlookFuturePrice</t>
  </si>
  <si>
    <t>Target future price (e.g. 700)</t>
  </si>
  <si>
    <t>outlookDate</t>
  </si>
  <si>
    <t>Target date (e.g. 2027-01-01)</t>
  </si>
  <si>
    <t>outlookConfidence</t>
  </si>
  <si>
    <t>Confidence 0-1 (e.g. 0.7 = 70%)</t>
  </si>
  <si>
    <t>Results - 1/30/2026, 5:34:05 PM</t>
  </si>
  <si>
    <t>Lower</t>
  </si>
  <si>
    <t>Upper</t>
  </si>
  <si>
    <t>Width</t>
  </si>
  <si>
    <t>MaxProfit</t>
  </si>
  <si>
    <t>ROI</t>
  </si>
  <si>
    <t>ExpGain</t>
  </si>
  <si>
    <t>ExpROI</t>
  </si>
  <si>
    <t>LowerDelta</t>
  </si>
  <si>
    <t>UpperDelta</t>
  </si>
  <si>
    <t>LowerOI</t>
  </si>
  <si>
    <t>UpperOI</t>
  </si>
  <si>
    <t>Liquidity</t>
  </si>
  <si>
    <t>Tightness</t>
  </si>
  <si>
    <t>Fitness</t>
  </si>
  <si>
    <t>OptionStrat</t>
  </si>
  <si>
    <t>Label</t>
  </si>
  <si>
    <t>Held</t>
  </si>
  <si>
    <t>IV</t>
  </si>
  <si>
    <t>2028-06-16</t>
  </si>
  <si>
    <t>TSLA 500/550 Jun 28</t>
  </si>
  <si>
    <t>2028-12-15</t>
  </si>
  <si>
    <t>TSLA 500/550 Dec 28</t>
  </si>
  <si>
    <t>TSLA 500/540 Jun 28</t>
  </si>
  <si>
    <t>TSLA 520/550 Jun 28</t>
  </si>
  <si>
    <t>TSLA 500/520 Jun 28</t>
  </si>
  <si>
    <t>TSLA 510/550 Jun 28</t>
  </si>
  <si>
    <t>TSLA 530/550 Jun 28</t>
  </si>
  <si>
    <t>TSLA 490/550 Jun 28</t>
  </si>
  <si>
    <t>TSLA 500/530 Jun 28</t>
  </si>
  <si>
    <t>TSLA 450/500 Dec 28</t>
  </si>
  <si>
    <t>HELD</t>
  </si>
  <si>
    <t>TSLA 500/540 Dec 28</t>
  </si>
  <si>
    <t>TSLA 500/520 Dec 28</t>
  </si>
  <si>
    <t>TSLA 450/550 Jun 28</t>
  </si>
  <si>
    <t>TSLA 480/550 Jun 28</t>
  </si>
  <si>
    <t>TSLA 450/500 Jun 28</t>
  </si>
  <si>
    <t>TSLA 480/500 Jun 28</t>
  </si>
  <si>
    <t>TSLA 480/500 Dec 28</t>
  </si>
  <si>
    <t>TSLA 500/530 Dec 28</t>
  </si>
  <si>
    <t>TSLA 530/550 Dec 28</t>
  </si>
  <si>
    <t>TSLA 470/550 Jun 28</t>
  </si>
  <si>
    <t>TSLA 460/550 Jun 28</t>
  </si>
  <si>
    <t>TSLA 520/540 Jun 28</t>
  </si>
  <si>
    <t>TSLA 450/550 Dec 28</t>
  </si>
  <si>
    <t>TSLA 460/500 Jun 28</t>
  </si>
  <si>
    <t>TSLA 510/540 Jun 28</t>
  </si>
  <si>
    <t>TSLA 470/500 Jun 28</t>
  </si>
  <si>
    <t>TSLA 440/500 Dec 28</t>
  </si>
  <si>
    <t>TSLA 430/450 Dec 28</t>
  </si>
  <si>
    <t>TSLA 400/550 Jun 28</t>
  </si>
  <si>
    <t>TSLA 430/500 Dec 28</t>
  </si>
  <si>
    <t>TSLA 500/600 Dec 28</t>
  </si>
  <si>
    <t>TSLA 400/500 Jun 28</t>
  </si>
  <si>
    <t>TSLA 490/540 Jun 28</t>
  </si>
  <si>
    <t>TSLA 490/520 Jun 28</t>
  </si>
  <si>
    <t>TSLA 400/500 Dec 28</t>
  </si>
  <si>
    <t>TSLA 460/500 Dec 28</t>
  </si>
  <si>
    <t>TSLA 510/530 Jun 28</t>
  </si>
  <si>
    <t>TSLA 490/510 Jun 28</t>
  </si>
  <si>
    <t>TSLA 450/540 Dec 28</t>
  </si>
  <si>
    <t>TSLA 490/530 Jun 28</t>
  </si>
  <si>
    <t>TSLA 500/600 Jun 28</t>
  </si>
  <si>
    <t>TSLA 470/500 Dec 28</t>
  </si>
  <si>
    <t>TSLA 520/550 Dec 28</t>
  </si>
  <si>
    <t>TSLA 450/540 Jun 28</t>
  </si>
  <si>
    <t>TSLA 450/520 Jun 28</t>
  </si>
  <si>
    <t>TSLA 480/540 Jun 28</t>
  </si>
  <si>
    <t>TSLA 450/510 Jun 28</t>
  </si>
  <si>
    <t>TSLA 480/520 Jun 28</t>
  </si>
  <si>
    <t>TSLA 450/530 Jun 28</t>
  </si>
  <si>
    <t>TSLA 450/520 Dec 28</t>
  </si>
  <si>
    <t>TSLA 450/530 Dec 28</t>
  </si>
  <si>
    <t>TSLA 480/510 Jun 28</t>
  </si>
  <si>
    <t>TSLA 420/500 Dec 28</t>
  </si>
  <si>
    <t>TSLA 480/550 Dec 28</t>
  </si>
  <si>
    <t>TSLA 480/530 Jun 28</t>
  </si>
  <si>
    <t>TSLA 600/700 Jun 28</t>
  </si>
  <si>
    <t>TSLA 450/490 Jun 28</t>
  </si>
  <si>
    <t>TSLA 440/550 Jun 28</t>
  </si>
  <si>
    <t>TSLA 500/560 Jun 28</t>
  </si>
  <si>
    <t>TSLA 500/570 Dec 28</t>
  </si>
  <si>
    <t>TSLA 600/700 Dec 28</t>
  </si>
  <si>
    <t>TSLA 450/600 Dec 28</t>
  </si>
  <si>
    <t>TSLA 500/570 Jun 28</t>
  </si>
  <si>
    <t>TSLA 470/540 Jun 28</t>
  </si>
  <si>
    <t>TSLA 490/550 Dec 28</t>
  </si>
  <si>
    <t>TSLA 430/550 Jun 28</t>
  </si>
  <si>
    <t>TSLA 440/500 Jun 28</t>
  </si>
  <si>
    <t>TSLA 420/550 Jun 28</t>
  </si>
  <si>
    <t>TSLA 650/700 Dec 28</t>
  </si>
  <si>
    <t>TSLA 430/500 Jun 28</t>
  </si>
  <si>
    <t>TSLA 460/540 Jun 28</t>
  </si>
  <si>
    <t>TSLA 520/540 Dec 28</t>
  </si>
  <si>
    <t>TSLA 420/500 Jun 28</t>
  </si>
  <si>
    <t>TSLA 460/520 Jun 28</t>
  </si>
  <si>
    <t>TSLA 470/520 Jun 28</t>
  </si>
  <si>
    <t>TSLA 500/580 Jun 28</t>
  </si>
  <si>
    <t>TSLA 460/510 Jun 28</t>
  </si>
  <si>
    <t>TSLA 420/450 Dec 28</t>
  </si>
  <si>
    <t>TSLA 500/650 Dec 28</t>
  </si>
  <si>
    <t>TSLA 470/510 Jun 28</t>
  </si>
  <si>
    <t>TSLA 680/700 Jun 28</t>
  </si>
  <si>
    <t>TSLA 470/530 Jun 28</t>
  </si>
  <si>
    <t>TSLA 510/550 Dec 28</t>
  </si>
  <si>
    <t>TSLA 460/530 Jun 28</t>
  </si>
  <si>
    <t>TSLA 430/550 Dec 28</t>
  </si>
  <si>
    <t>TSLA 440/550 Dec 28</t>
  </si>
  <si>
    <t>TSLA 480/540 Dec 28</t>
  </si>
  <si>
    <t>TSLA 620/700 Jun 28</t>
  </si>
  <si>
    <t>TSLA 400/450 Dec 28</t>
  </si>
  <si>
    <t>TSLA 400/520 Jun 28</t>
  </si>
  <si>
    <t>TSLA 450/480 Jun 28</t>
  </si>
  <si>
    <t>TSLA 460/490 Jun 28</t>
  </si>
  <si>
    <t>TSLA 400/540 Jun 28</t>
  </si>
  <si>
    <t>TSLA 650/700 Jun 28</t>
  </si>
  <si>
    <t>TSLA 670/700 Jun 28</t>
  </si>
  <si>
    <t>TSLA 400/550 Dec 28</t>
  </si>
  <si>
    <t>TSLA 400/510 Jun 28</t>
  </si>
  <si>
    <t>TSLA 500/620 Jun 28</t>
  </si>
  <si>
    <t>TSLA 450/470 Jun 28</t>
  </si>
  <si>
    <t>TSLA 470/490 Jun 28</t>
  </si>
  <si>
    <t>TSLA 400/530 Jun 28</t>
  </si>
  <si>
    <t>TSLA 500/610 Jun 28</t>
  </si>
  <si>
    <t>TSLA 460/550 Dec 28</t>
  </si>
  <si>
    <t>TSLA 480/520 Dec 28</t>
  </si>
  <si>
    <t>TSLA 490/540 Dec 28</t>
  </si>
  <si>
    <t>TSLA 450/510 Dec 28</t>
  </si>
  <si>
    <t>TSLA 410/550 Jun 28</t>
  </si>
  <si>
    <t>TSLA 470/550 Dec 28</t>
  </si>
  <si>
    <t>TSLA 600/620 Jun 28</t>
  </si>
  <si>
    <t>TSLA 360/500 Dec 28</t>
  </si>
  <si>
    <t>TSLA 410/500 Jun 28</t>
  </si>
  <si>
    <t>TSLA 610/700 Jun 28</t>
  </si>
  <si>
    <t>TSLA 450/490 Dec 28</t>
  </si>
  <si>
    <t>TSLA 400/490 Jun 28</t>
  </si>
  <si>
    <t>TSLA 500/640 Dec 28</t>
  </si>
  <si>
    <t>TSLA 630/700 Jun 28</t>
  </si>
  <si>
    <t>TSLA 500/580 Dec 28</t>
  </si>
  <si>
    <t>TSLA 640/700 Dec 28</t>
  </si>
  <si>
    <t>TSLA 600/690 Jun 28</t>
  </si>
  <si>
    <t>TSLA 640/700 Jun 28</t>
  </si>
  <si>
    <t>TSLA 480/530 Dec 28</t>
  </si>
  <si>
    <t>TSLA 490/520 Dec 28</t>
  </si>
  <si>
    <t>TSLA 410/500 Dec 28</t>
  </si>
  <si>
    <t>TSLA 510/540 Dec 28</t>
  </si>
  <si>
    <t>TSLA 680/700 Dec 28</t>
  </si>
  <si>
    <t>TSLA 450/600 Jun 28</t>
  </si>
  <si>
    <t>TSLA 490/600 Jun 28</t>
  </si>
  <si>
    <t>TSLA 440/540 Dec 28</t>
  </si>
  <si>
    <t>TSLA 450/480 Dec 28</t>
  </si>
  <si>
    <t>TSLA 430/540 Dec 28</t>
  </si>
  <si>
    <t>TSLA 450/570 Dec 28</t>
  </si>
  <si>
    <t>TSLA 600/650 Dec 28</t>
  </si>
  <si>
    <t>TSLA 380/500 Dec 28</t>
  </si>
  <si>
    <t>TSLA 460/480 Jun 28</t>
  </si>
  <si>
    <t>TSLA 600/650 Jun 28</t>
  </si>
  <si>
    <t>TSLA 420/550 Dec 28</t>
  </si>
  <si>
    <t>TSLA 660/700 Jun 28</t>
  </si>
  <si>
    <t>TSLA 400/540 Dec 28</t>
  </si>
  <si>
    <t>TSLA 440/520 Dec 28</t>
  </si>
  <si>
    <t>TSLA 490/530 Dec 28</t>
  </si>
  <si>
    <t>TSLA 500/630 Jun 28</t>
  </si>
  <si>
    <t>TSLA 510/600 Jun 28</t>
  </si>
  <si>
    <t>TSLA 430/520 Dec 28</t>
  </si>
  <si>
    <t>TSLA 600/630 Jun 28</t>
  </si>
  <si>
    <t>TSLA 460/540 Dec 28</t>
  </si>
  <si>
    <t>TSLA 500/650 Jun 28</t>
  </si>
  <si>
    <t>TSLA 550/700 Jun 28</t>
  </si>
  <si>
    <t>TSLA 430/530 Dec 28</t>
  </si>
  <si>
    <t>TSLA 440/530 Dec 28</t>
  </si>
  <si>
    <t>TSLA 370/500 Jun 28</t>
  </si>
  <si>
    <t>TSLA 480/600 Jun 28</t>
  </si>
  <si>
    <t>TSLA 600/640 Jun 28</t>
  </si>
  <si>
    <t>TSLA 600/670 Jun 28</t>
  </si>
  <si>
    <t>TSLA 440/540 Jun 28</t>
  </si>
  <si>
    <t>TSLA 550/600 Jun 28</t>
  </si>
  <si>
    <t>TSLA 600/680 Jun 28</t>
  </si>
  <si>
    <t>TSLA 470/540 Dec 28</t>
  </si>
  <si>
    <t>TSLA 400/480 Jun 28</t>
  </si>
  <si>
    <t>TSLA 440/520 Jun 28</t>
  </si>
  <si>
    <t>TSLA 500/640 Jun 28</t>
  </si>
  <si>
    <t>TSLA 400/520 Dec 28</t>
  </si>
  <si>
    <t>TSLA 400/530 Dec 28</t>
  </si>
  <si>
    <t>TSLA 480/600 Dec 28</t>
  </si>
  <si>
    <t>TSLA 440/510 Jun 28</t>
  </si>
  <si>
    <t>TSLA 520/600 Jun 28</t>
  </si>
  <si>
    <t>TSLA 580/700 Jun 28</t>
  </si>
  <si>
    <t>TSLA 390/500 Dec 28</t>
  </si>
  <si>
    <t>TSLA 460/520 Dec 28</t>
  </si>
  <si>
    <t>TSLA 420/540 Jun 28</t>
  </si>
  <si>
    <t>TSLA 430/520 Jun 28</t>
  </si>
  <si>
    <t>TSLA 430/540 Jun 28</t>
  </si>
  <si>
    <t>TSLA 620/690 Jun 28</t>
  </si>
  <si>
    <t>TSLA 480/510 Dec 28</t>
  </si>
  <si>
    <t>TSLA 400/450 Jun 28</t>
  </si>
  <si>
    <t>TSLA 420/520 Jun 28</t>
  </si>
  <si>
    <t>TSLA 440/530 Jun 28</t>
  </si>
  <si>
    <t>TSLA 500/560 Dec 28</t>
  </si>
  <si>
    <t>TSLA 430/510 Jun 28</t>
  </si>
  <si>
    <t>TSLA 470/600 Jun 28</t>
  </si>
  <si>
    <t>TSLA 490/560 Jun 28</t>
  </si>
  <si>
    <t>TSLA 650/690 Jun 28</t>
  </si>
  <si>
    <t>TSLA 470/520 Dec 28</t>
  </si>
  <si>
    <t>TSLA 500/590 Dec 28</t>
  </si>
  <si>
    <t>TSLA 420/510 Jun 28</t>
  </si>
  <si>
    <t>TSLA 460/600 Jun 28</t>
  </si>
  <si>
    <t>TSLA 490/570 Jun 28</t>
  </si>
  <si>
    <t>TSLA 510/560 Jun 28</t>
  </si>
  <si>
    <t>TSLA 670/690 Jun 28</t>
  </si>
  <si>
    <t>TSLA 370/500 Dec 28</t>
  </si>
  <si>
    <t>TSLA 570/700 Dec 28</t>
  </si>
  <si>
    <t>TSLA 430/530 Jun 28</t>
  </si>
  <si>
    <t>TSLA 570/700 Jun 28</t>
  </si>
  <si>
    <t>TSLA 460/530 Dec 28</t>
  </si>
  <si>
    <t>TSLA 420/530 Jun 28</t>
  </si>
  <si>
    <t>TSLA 600/640 Dec 28</t>
  </si>
  <si>
    <t>TSLA 450/570 Jun 28</t>
  </si>
  <si>
    <t>TSLA 520/560 Jun 28</t>
  </si>
  <si>
    <t>TSLA 620/650 Jun 28</t>
  </si>
  <si>
    <t>TSLA 420/540 Dec 28</t>
  </si>
  <si>
    <t>TSLA 440/480 Dec 28</t>
  </si>
  <si>
    <t>TSLA 400/470 Jun 28</t>
  </si>
  <si>
    <t>TSLA 440/490 Jun 28</t>
  </si>
  <si>
    <t>TSLA 510/570 Jun 28</t>
  </si>
  <si>
    <t>TSLA 580/600 Jun 28</t>
  </si>
  <si>
    <t>TSLA 410/450 Dec 28</t>
  </si>
  <si>
    <t>TSLA 470/530 Dec 28</t>
  </si>
  <si>
    <t>TSLA 490/600 Dec 28</t>
  </si>
  <si>
    <t>TSLA 490/580 Jun 28</t>
  </si>
  <si>
    <t>TSLA 500/590 Jun 28</t>
  </si>
  <si>
    <t>TSLA 570/600 Jun 28</t>
  </si>
  <si>
    <t>TSLA 490/510 Dec 28</t>
  </si>
  <si>
    <t>TSLA 430/490 Jun 28</t>
  </si>
  <si>
    <t>TSLA 450/560 Jun 28</t>
  </si>
  <si>
    <t>TSLA 620/640 Jun 28</t>
  </si>
  <si>
    <t>TSLA 440/490 Dec 28</t>
  </si>
  <si>
    <t>TSLA 420/490 Jun 28</t>
  </si>
  <si>
    <t>TSLA 450/580 Jun 28</t>
  </si>
  <si>
    <t>TSLA 610/690 Jun 28</t>
  </si>
  <si>
    <t>TSLA 450/580 Dec 28</t>
  </si>
  <si>
    <t>TSLA 520/600 Dec 28</t>
  </si>
  <si>
    <t>TSLA 670/700 Dec 28</t>
  </si>
  <si>
    <t>TSLA 430/480 Dec 28</t>
  </si>
  <si>
    <t>TSLA 530/600 Dec 28</t>
  </si>
  <si>
    <t>TSLA 520/570 Jun 28</t>
  </si>
  <si>
    <t>TSLA 620/670 Jun 28</t>
  </si>
  <si>
    <t>TSLA 630/690 Jun 28</t>
  </si>
  <si>
    <t>TSLA 510/530 Dec 28</t>
  </si>
  <si>
    <t>TSLA 480/570 Jun 28</t>
  </si>
  <si>
    <t>TSLA 510/580 Jun 28</t>
  </si>
  <si>
    <t>TSLA 600/660 Jun 28</t>
  </si>
  <si>
    <t>TSLA 620/680 Jun 28</t>
  </si>
  <si>
    <t>TSLA 640/690 Jun 28</t>
  </si>
  <si>
    <t>TSLA 420/520 Dec 28</t>
  </si>
  <si>
    <t>TSLA 430/490 Dec 28</t>
  </si>
  <si>
    <t>TSLA 400/460 Jun 28</t>
  </si>
  <si>
    <t>TSLA 480/560 Jun 28</t>
  </si>
  <si>
    <t>TSLA 530/600 Jun 28</t>
  </si>
  <si>
    <t>TSLA 420/530 Dec 28</t>
  </si>
  <si>
    <t>TSLA 500/610 Dec 28</t>
  </si>
  <si>
    <t>TSLA 650/670 Jun 28</t>
  </si>
  <si>
    <t>TSLA 390/500 Jun 28</t>
  </si>
  <si>
    <t>TSLA 610/650 Jun 28</t>
  </si>
  <si>
    <t>TSLA 440/510 Dec 28</t>
  </si>
  <si>
    <t>TSLA 460/600 Dec 28</t>
  </si>
  <si>
    <t>TSLA 600/680 Dec 28</t>
  </si>
  <si>
    <t>TSLA 360/500 Jun 28</t>
  </si>
  <si>
    <t>TSLA 380/500 Jun 28</t>
  </si>
  <si>
    <t>TSLA 490/620 Jun 28</t>
  </si>
  <si>
    <t>TSLA 560/700 Jun 28</t>
  </si>
  <si>
    <t>TSLA 630/650 Jun 28</t>
  </si>
  <si>
    <t>TSLA 650/680 Jun 28</t>
  </si>
  <si>
    <t>TSLA 360/450 Dec 28</t>
  </si>
  <si>
    <t>TSLA 460/480 Dec 28</t>
  </si>
  <si>
    <t>TSLA 480/580 Jun 28</t>
  </si>
  <si>
    <t>TSLA 530/560 Jun 28</t>
  </si>
  <si>
    <t>TSLA 400/480 Dec 28</t>
  </si>
  <si>
    <t>TSLA 430/510 Dec 28</t>
  </si>
  <si>
    <t>TSLA 460/490 Dec 28</t>
  </si>
  <si>
    <t>TSLA 570/600 Dec 28</t>
  </si>
  <si>
    <t>TSLA 410/520 Jun 28</t>
  </si>
  <si>
    <t>TSLA 490/610 Jun 28</t>
  </si>
  <si>
    <t>TSLA 520/580 Jun 28</t>
  </si>
  <si>
    <t>TSLA 550/700 Dec 28</t>
  </si>
  <si>
    <t>TSLA 410/540 Jun 28</t>
  </si>
  <si>
    <t>TSLA 550/620 Jun 28</t>
  </si>
  <si>
    <t>TSLA 560/600 Jun 28</t>
  </si>
  <si>
    <t>TSLA 610/630 Jun 28</t>
  </si>
  <si>
    <t>TSLA 400/490 Dec 28</t>
  </si>
  <si>
    <t>TSLA 470/600 Dec 28</t>
  </si>
  <si>
    <t>TSLA 650/680 Dec 28</t>
  </si>
  <si>
    <t>TSLA 410/510 Jun 28</t>
  </si>
  <si>
    <t>TSLA 470/570 Jun 28</t>
  </si>
  <si>
    <t>TSLA 610/640 Jun 28</t>
  </si>
  <si>
    <t>TSLA 660/690 Jun 28</t>
  </si>
  <si>
    <t>TSLA 410/550 Dec 28</t>
  </si>
  <si>
    <t>TSLA 610/670 Jun 28</t>
  </si>
  <si>
    <t>TSLA 610/680 Jun 28</t>
  </si>
  <si>
    <t>TSLA 380/450 Dec 28</t>
  </si>
  <si>
    <t>TSLA 470/490 Dec 28</t>
  </si>
  <si>
    <t>TSLA 580/700 Dec 28</t>
  </si>
  <si>
    <t>TSLA 410/530 Jun 28</t>
  </si>
  <si>
    <t>TSLA 440/480 Jun 28</t>
  </si>
  <si>
    <t>TSLA 460/570 Jun 28</t>
  </si>
  <si>
    <t>TSLA 470/560 Jun 28</t>
  </si>
  <si>
    <t>TSLA 630/670 Jun 28</t>
  </si>
  <si>
    <t>TSLA 400/510 Dec 28</t>
  </si>
  <si>
    <t>TSLA 480/570 Dec 28</t>
  </si>
  <si>
    <t>TSLA 510/620 Jun 28</t>
  </si>
  <si>
    <t>TSLA 550/690 Jun 28</t>
  </si>
  <si>
    <t>TSLA 630/680 Jun 28</t>
  </si>
  <si>
    <t>TSLA 460/510 Dec 28</t>
  </si>
  <si>
    <t>TSLA 420/480 Jun 28</t>
  </si>
  <si>
    <t>TSLA 430/480 Jun 28</t>
  </si>
  <si>
    <t>TSLA 460/560 Jun 28</t>
  </si>
  <si>
    <t>TSLA 470/580 Jun 28</t>
  </si>
  <si>
    <t>TSLA 540/600 Jun 28</t>
  </si>
  <si>
    <t>TSLA 550/610 Jun 28</t>
  </si>
  <si>
    <t>TSLA 640/670 Jun 28</t>
  </si>
  <si>
    <t>TSLA 510/600 Dec 28</t>
  </si>
  <si>
    <t>TSLA 480/620 Jun 28</t>
  </si>
  <si>
    <t>TSLA 510/610 Jun 28</t>
  </si>
  <si>
    <t>TSLA 530/570 Jun 28</t>
  </si>
  <si>
    <t>TSLA 640/680 Jun 28</t>
  </si>
  <si>
    <t>TSLA 450/470 Dec 28</t>
  </si>
  <si>
    <t>TSLA 460/580 Jun 28</t>
  </si>
  <si>
    <t>TSLA 550/580 Jun 28</t>
  </si>
  <si>
    <t>TSLA 580/620 Jun 28</t>
  </si>
  <si>
    <t>TSLA 440/460 Dec 28</t>
  </si>
  <si>
    <t>TSLA 470/510 Dec 28</t>
  </si>
  <si>
    <t>TSLA 530/570 Dec 28</t>
  </si>
  <si>
    <t>TSLA 410/490 Jun 28</t>
  </si>
  <si>
    <t>TSLA 430/450 Jun 28</t>
  </si>
  <si>
    <t>TSLA 480/610 Jun 28</t>
  </si>
  <si>
    <t>TSLA 580/690 Jun 28</t>
  </si>
  <si>
    <t>TSLA 600/690 Dec 28</t>
  </si>
  <si>
    <t>TSLA 610/700 Dec 28</t>
  </si>
  <si>
    <t>TSLA 420/450 Jun 28</t>
  </si>
  <si>
    <t>TSLA 620/660 Jun 28</t>
  </si>
  <si>
    <t>TSLA 390/450 Dec 28</t>
  </si>
  <si>
    <t>TSLA 420/480 Dec 28</t>
  </si>
  <si>
    <t>TSLA 440/470 Dec 28</t>
  </si>
  <si>
    <t>TSLA 450/590 Dec 28</t>
  </si>
  <si>
    <t>TSLA 440/470 Jun 28</t>
  </si>
  <si>
    <t>TSLA 520/620 Jun 28</t>
  </si>
  <si>
    <t>TSLA 550/570 Jun 28</t>
  </si>
  <si>
    <t>TSLA 550/650 Jun 28</t>
  </si>
  <si>
    <t>TSLA 570/620 Jun 28</t>
  </si>
  <si>
    <t>TSLA 540/600 Dec 28</t>
  </si>
  <si>
    <t>TSLA 590/700 Jun 28</t>
  </si>
  <si>
    <t>TSLA 490/570 Dec 28</t>
  </si>
  <si>
    <t>TSLA 520/570 Dec 28</t>
  </si>
  <si>
    <t>TSLA 650/690 Dec 28</t>
  </si>
  <si>
    <t>TSLA 430/470 Jun 28</t>
  </si>
  <si>
    <t>TSLA 470/620 Jun 28</t>
  </si>
  <si>
    <t>TSLA 520/610 Jun 28</t>
  </si>
  <si>
    <t>TSLA 420/490 Dec 28</t>
  </si>
  <si>
    <t>TSLA 430/570 Dec 28</t>
  </si>
  <si>
    <t>TSLA 370/520 Jun 28</t>
  </si>
  <si>
    <t>TSLA 530/580 Jun 28</t>
  </si>
  <si>
    <t>TSLA 550/630 Jun 28</t>
  </si>
  <si>
    <t>TSLA 570/690 Jun 28</t>
  </si>
  <si>
    <t>TSLA 580/610 Jun 28</t>
  </si>
  <si>
    <t>TSLA 440/570 Dec 28</t>
  </si>
  <si>
    <t>TSLA 420/470 Jun 28</t>
  </si>
  <si>
    <t>TSLA 660/680 Jun 28</t>
  </si>
  <si>
    <t>TSLA 570/650 Dec 28</t>
  </si>
  <si>
    <t>TSLA 370/510 Jun 28</t>
  </si>
  <si>
    <t>TSLA 460/610 Jun 28</t>
  </si>
  <si>
    <t>TSLA 470/610 Jun 28</t>
  </si>
  <si>
    <t>TSLA 490/630 Jun 28</t>
  </si>
  <si>
    <t>TSLA 550/640 Jun 28</t>
  </si>
  <si>
    <t>TSLA 550/670 Jun 28</t>
  </si>
  <si>
    <t>TSLA 550/680 Jun 28</t>
  </si>
  <si>
    <t>TSLA 580/650 Jun 28</t>
  </si>
  <si>
    <t>TSLA 550/600 Dec 28</t>
  </si>
  <si>
    <t>TSLA 660/700 Dec 28</t>
  </si>
  <si>
    <t>TSLA 570/610 Jun 28</t>
  </si>
  <si>
    <t>TSLA 420/510 Dec 28</t>
  </si>
  <si>
    <t>TSLA 430/470 Dec 28</t>
  </si>
  <si>
    <t>TSLA 450/560 Dec 28</t>
  </si>
  <si>
    <t>TSLA 540/560 Jun 28</t>
  </si>
  <si>
    <t>TSLA 370/450 Dec 28</t>
  </si>
  <si>
    <t>TSLA 410/540 Dec 28</t>
  </si>
  <si>
    <t>TSLA 580/600 Dec 28</t>
  </si>
  <si>
    <t>TSLA 610/660 Jun 28</t>
  </si>
  <si>
    <t>TSLA 430/460 Jun 28</t>
  </si>
  <si>
    <t>TSLA 440/460 Jun 28</t>
  </si>
  <si>
    <t>TSLA 570/650 Jun 28</t>
  </si>
  <si>
    <t>TSLA 580/630 Jun 28</t>
  </si>
  <si>
    <t>TSLA 580/680 Jun 28</t>
  </si>
  <si>
    <t>TSLA 630/660 Jun 28</t>
  </si>
  <si>
    <t>TSLA 430/460 Dec 28</t>
  </si>
  <si>
    <t>TSLA 500/630 Dec 28</t>
  </si>
  <si>
    <t>TSLA 520/650 Dec 28</t>
  </si>
  <si>
    <t>TSLA 420/460 Jun 28</t>
  </si>
  <si>
    <t>TSLA 490/640 Jun 28</t>
  </si>
  <si>
    <t>TSLA 580/640 Jun 28</t>
  </si>
  <si>
    <t>TSLA 580/670 Jun 28</t>
  </si>
  <si>
    <t>TSLA 370/490 Jun 28</t>
  </si>
  <si>
    <t>TSLA 510/630 Jun 28</t>
  </si>
  <si>
    <t>TSLA 560/620 Jun 28</t>
  </si>
  <si>
    <t>TSLA 460/570 Dec 28</t>
  </si>
  <si>
    <t>TSLA 500/620 Dec 28</t>
  </si>
  <si>
    <t>TSLA 530/650 Dec 28</t>
  </si>
  <si>
    <t>TSLA 640/680 Dec 28</t>
  </si>
  <si>
    <t>TSLA 410/480 Jun 28</t>
  </si>
  <si>
    <t>TSLA 510/650 Jun 28</t>
  </si>
  <si>
    <t>TSLA 640/660 Jun 28</t>
  </si>
  <si>
    <t>TSLA 480/630 Jun 28</t>
  </si>
  <si>
    <t>TSLA 530/620 Jun 28</t>
  </si>
  <si>
    <t>TSLA 540/570 Jun 28</t>
  </si>
  <si>
    <t>TSLA 570/630 Jun 28</t>
  </si>
  <si>
    <t>TSLA 410/520 Dec 28</t>
  </si>
  <si>
    <t>TSLA 410/530 Dec 28</t>
  </si>
  <si>
    <t>TSLA 570/670 Jun 28</t>
  </si>
  <si>
    <t>TSLA 570/680 Jun 28</t>
  </si>
  <si>
    <t>TSLA 400/470 Dec 28</t>
  </si>
  <si>
    <t>TSLA 530/610 Jun 28</t>
  </si>
  <si>
    <t>TSLA 560/690 Jun 28</t>
  </si>
  <si>
    <t>TSLA 570/640 Jun 28</t>
  </si>
  <si>
    <t>TSLA 350/450 Dec 28</t>
  </si>
  <si>
    <t>TSLA 470/570 Dec 28</t>
  </si>
  <si>
    <t>TSLA 510/570 Dec 28</t>
  </si>
  <si>
    <t>TSLA 410/450 Jun 28</t>
  </si>
  <si>
    <t>TSLA 510/640 Jun 28</t>
  </si>
  <si>
    <t>TSLA 520/630 Jun 28</t>
  </si>
  <si>
    <t>TSLA 540/580 Jun 28</t>
  </si>
  <si>
    <t>TSLA 380/520 Dec 28</t>
  </si>
  <si>
    <t>TSLA 380/530 Dec 28</t>
  </si>
  <si>
    <t>TSLA 480/580 Dec 28</t>
  </si>
  <si>
    <t>TSLA 630/700 Dec 28</t>
  </si>
  <si>
    <t>TSLA 520/650 Jun 28</t>
  </si>
  <si>
    <t>TSLA 560/580 Jun 28</t>
  </si>
  <si>
    <t>TSLA 560/610 Jun 28</t>
  </si>
  <si>
    <t>TSLA 400/460 Dec 28</t>
  </si>
  <si>
    <t>TSLA 570/590 Dec 28</t>
  </si>
  <si>
    <t>TSLA 550/650 Dec 28</t>
  </si>
  <si>
    <t>TSLA 400/440 Jun 28</t>
  </si>
  <si>
    <t>TSLA 450/590 Jun 28</t>
  </si>
  <si>
    <t>TSLA 490/590 Jun 28</t>
  </si>
  <si>
    <t>TSLA 420/570 Dec 28</t>
  </si>
  <si>
    <t>TSLA 570/640 Dec 28</t>
  </si>
  <si>
    <t>TSLA 540/620 Jun 28</t>
  </si>
  <si>
    <t>TSLA 550/660 Jun 28</t>
  </si>
  <si>
    <t>TSLA 560/650 Jun 28</t>
  </si>
  <si>
    <t>TSLA 600/670 Dec 28</t>
  </si>
  <si>
    <t>TSLA 390/520 Jun 28</t>
  </si>
  <si>
    <t>TSLA 410/470 Jun 28</t>
  </si>
  <si>
    <t>TSLA 520/640 Jun 28</t>
  </si>
  <si>
    <t>TSLA 390/540 Dec 28</t>
  </si>
  <si>
    <t>TSLA 540/650 Dec 28</t>
  </si>
  <si>
    <t>TSLA 580/650 Dec 28</t>
  </si>
  <si>
    <t>TSLA 640/690 Dec 28</t>
  </si>
  <si>
    <t>TSLA 380/520 Jun 28</t>
  </si>
  <si>
    <t>TSLA 390/540 Jun 28</t>
  </si>
  <si>
    <t>TSLA 430/580 Dec 28</t>
  </si>
  <si>
    <t>TSLA 490/640 Dec 28</t>
  </si>
  <si>
    <t>TSLA 590/700 Dec 28</t>
  </si>
  <si>
    <t>TSLA 620/700 Dec 28</t>
  </si>
  <si>
    <t>TSLA 390/510 Jun 28</t>
  </si>
  <si>
    <t>TSLA 440/570 Jun 28</t>
  </si>
  <si>
    <t>TSLA 540/610 Jun 28</t>
  </si>
  <si>
    <t>TSLA 420/470 Dec 28</t>
  </si>
  <si>
    <t>TSLA 540/570 Dec 28</t>
  </si>
  <si>
    <t>TSLA 560/700 Dec 28</t>
  </si>
  <si>
    <t>TSLA 380/510 Jun 28</t>
  </si>
  <si>
    <t>TSLA 560/630 Jun 28</t>
  </si>
  <si>
    <t>TSLA 580/660 Jun 28</t>
  </si>
  <si>
    <t>TSLA 360/480 Dec 28</t>
  </si>
  <si>
    <t>TSLA 440/580 Dec 28</t>
  </si>
  <si>
    <t>TSLA 490/580 Dec 28</t>
  </si>
  <si>
    <t>TSLA 510/650 Dec 28</t>
  </si>
  <si>
    <t>TSLA 520/640 Dec 28</t>
  </si>
  <si>
    <t>TSLA 530/580 Dec 28</t>
  </si>
  <si>
    <t>TSLA 370/480 Jun 28</t>
  </si>
  <si>
    <t>TSLA 390/530 Jun 28</t>
  </si>
  <si>
    <t>TSLA 420/570 Jun 28</t>
  </si>
  <si>
    <t>TSLA 430/570 Jun 28</t>
  </si>
  <si>
    <t>TSLA 440/560 Jun 28</t>
  </si>
  <si>
    <t>TSLA 440/580 Jun 28</t>
  </si>
  <si>
    <t>TSLA 510/590 Jun 28</t>
  </si>
  <si>
    <t>TSLA 560/670 Jun 28</t>
  </si>
  <si>
    <t>TSLA 560/680 Jun 28</t>
  </si>
  <si>
    <t>TSLA 590/620 Jun 28</t>
  </si>
  <si>
    <t>TSLA 420/460 Dec 28</t>
  </si>
  <si>
    <t>TSLA 520/580 Dec 28</t>
  </si>
  <si>
    <t>TSLA 530/640 Dec 28</t>
  </si>
  <si>
    <t>TSLA 380/530 Jun 28</t>
  </si>
  <si>
    <t>TSLA 400/430 Jun 28</t>
  </si>
  <si>
    <t>TSLA 520/670 Jun 28</t>
  </si>
  <si>
    <t>TSLA 560/640 Jun 28</t>
  </si>
  <si>
    <t>TSLA 360/490 Dec 28</t>
  </si>
  <si>
    <t>TSLA 390/520 Dec 28</t>
  </si>
  <si>
    <t>TSLA 390/530 Dec 28</t>
  </si>
  <si>
    <t>TSLA 400/430 Dec 28</t>
  </si>
  <si>
    <t>TSLA 610/650 Dec 28</t>
  </si>
  <si>
    <t>TSLA 400/420 Jun 28</t>
  </si>
  <si>
    <t>TSLA 410/460 Jun 28</t>
  </si>
  <si>
    <t>TSLA 430/560 Jun 28</t>
  </si>
  <si>
    <t>TSLA 430/580 Jun 28</t>
  </si>
  <si>
    <t>TSLA 480/590 Jun 28</t>
  </si>
  <si>
    <t>TSLA 590/690 Jun 28</t>
  </si>
  <si>
    <t>TSLA 350/490 Jun 28</t>
  </si>
  <si>
    <t>TSLA 370/450 Jun 28</t>
  </si>
  <si>
    <t>TSLA 420/560 Jun 28</t>
  </si>
  <si>
    <t>TSLA 530/630 Jun 28</t>
  </si>
  <si>
    <t>TSLA 530/650 Jun 28</t>
  </si>
  <si>
    <t>TSLA 540/690 Jun 28</t>
  </si>
  <si>
    <t>TSLA 370/520 Dec 28</t>
  </si>
  <si>
    <t>TSLA 400/440 Dec 28</t>
  </si>
  <si>
    <t>TSLA 410/480 Dec 28</t>
  </si>
  <si>
    <t>TSLA 390/490 Jun 28</t>
  </si>
  <si>
    <t>TSLA 570/660 Jun 28</t>
  </si>
  <si>
    <t>TSLA 530/560 Dec 28</t>
  </si>
  <si>
    <t>TSLA 570/680 Dec 28</t>
  </si>
  <si>
    <t>TSLA 600/660 Dec 28</t>
  </si>
  <si>
    <t>TSLA 360/490 Jun 28</t>
  </si>
  <si>
    <t>TSLA 380/490 Jun 28</t>
  </si>
  <si>
    <t>TSLA 520/590 Jun 28</t>
  </si>
  <si>
    <t>TSLA 360/510 Dec 28</t>
  </si>
  <si>
    <t>TSLA 410/490 Dec 28</t>
  </si>
  <si>
    <t>TSLA 600/630 Dec 28</t>
  </si>
  <si>
    <t>TSLA 590/610 Jun 28</t>
  </si>
  <si>
    <t>TSLA 380/480 Dec 28</t>
  </si>
  <si>
    <t>TSLA 650/670 Dec 28</t>
  </si>
  <si>
    <t>TSLA 530/640 Jun 28</t>
  </si>
  <si>
    <t>TSLA 540/650 Jun 28</t>
  </si>
  <si>
    <t>TSLA 550/590 Jun 28</t>
  </si>
  <si>
    <t>TSLA 590/650 Jun 28</t>
  </si>
  <si>
    <t>TSLA 460/580 Dec 28</t>
  </si>
  <si>
    <t>TSLA 470/590 Jun 28</t>
  </si>
  <si>
    <t>TSLA 510/660 Jun 28</t>
  </si>
  <si>
    <t>TSLA 540/630 Jun 28</t>
  </si>
  <si>
    <t>TSLA 380/490 Dec 28</t>
  </si>
  <si>
    <t>TSLA 410/510 Dec 28</t>
  </si>
  <si>
    <t>TSLA 370/470 Jun 28</t>
  </si>
  <si>
    <t>TSLA 460/590 Jun 28</t>
  </si>
  <si>
    <t>TSLA 480/560 Dec 28</t>
  </si>
  <si>
    <t>TSLA 550/640 Dec 28</t>
  </si>
  <si>
    <t>TSLA 600/620 Dec 28</t>
  </si>
  <si>
    <t>TSLA 420/440 Dec 28</t>
  </si>
  <si>
    <t>TSLA 470/580 Dec 28</t>
  </si>
  <si>
    <t>TSLA 480/590 Dec 28</t>
  </si>
  <si>
    <t>TSLA 580/640 Dec 28</t>
  </si>
  <si>
    <t>TSLA 530/670 Jun 28</t>
  </si>
  <si>
    <t>TSLA 530/680 Jun 28</t>
  </si>
  <si>
    <t>TSLA 540/640 Jun 28</t>
  </si>
  <si>
    <t>TSLA 590/630 Jun 28</t>
  </si>
  <si>
    <t>TSLA 380/510 Dec 28</t>
  </si>
  <si>
    <t>TSLA 540/640 Dec 28</t>
  </si>
  <si>
    <t>TSLA 560/600 Dec 28</t>
  </si>
  <si>
    <t>TSLA 520/660 Jun 28</t>
  </si>
  <si>
    <t>TSLA 590/640 Jun 28</t>
  </si>
  <si>
    <t>TSLA 590/670 Jun 28</t>
  </si>
  <si>
    <t>TSLA 590/680 Jun 28</t>
  </si>
  <si>
    <t>TSLA 510/640 Dec 28</t>
  </si>
  <si>
    <t>TSLA 520/560 Dec 28</t>
  </si>
  <si>
    <t>TSLA 530/590 Dec 28</t>
  </si>
  <si>
    <t>TSLA 540/670 Jun 28</t>
  </si>
  <si>
    <t>TSLA 540/680 Jun 28</t>
  </si>
  <si>
    <t>TSLA 510/580 Dec 28</t>
  </si>
  <si>
    <t>TSLA 530/680 Dec 28</t>
  </si>
  <si>
    <t>TSLA 670/690 Dec 28</t>
  </si>
  <si>
    <t>TSLA 370/460 Jun 28</t>
  </si>
  <si>
    <t>TSLA 560/660 Jun 28</t>
  </si>
  <si>
    <t>TSLA 570/690 Dec 28</t>
  </si>
  <si>
    <t>TSLA 610/640 Dec 28</t>
  </si>
  <si>
    <t>TSLA 350/480 Jun 28</t>
  </si>
  <si>
    <t>TSLA 380/400 Dec 28</t>
  </si>
  <si>
    <t>TSLA 390/480 Dec 28</t>
  </si>
  <si>
    <t>TSLA 520/590 Dec 28</t>
  </si>
  <si>
    <t>TSLA 390/480 Jun 28</t>
  </si>
  <si>
    <t>TSLA 420/440 Jun 28</t>
  </si>
  <si>
    <t>TSLA 570/590 Jun 28</t>
  </si>
  <si>
    <t>TSLA 480/610 Dec 28</t>
  </si>
  <si>
    <t>TSLA 490/560 Dec 28</t>
  </si>
  <si>
    <t>TSLA 490/590 Dec 28</t>
  </si>
  <si>
    <t>TSLA 380/480 Jun 28</t>
  </si>
  <si>
    <t>TSLA 530/590 Jun 28</t>
  </si>
  <si>
    <t>TSLA 390/490 Dec 28</t>
  </si>
  <si>
    <t>TSLA 440/590 Dec 28</t>
  </si>
  <si>
    <t>TSLA 550/680 Dec 28</t>
  </si>
  <si>
    <t>TSLA 350/450 Jun 28</t>
  </si>
  <si>
    <t>TSLA 360/480 Jun 28</t>
  </si>
  <si>
    <t>TSLA 410/560 Jun 28</t>
  </si>
  <si>
    <t>TSLA 370/480 Dec 28</t>
  </si>
  <si>
    <t>TSLA 430/560 Dec 28</t>
  </si>
  <si>
    <t>TSLA 550/570 Dec 28</t>
  </si>
  <si>
    <t>TSLA 580/680 Dec 28</t>
  </si>
  <si>
    <t>TSLA 360/450 Jun 28</t>
  </si>
  <si>
    <t>TSLA 380/450 Jun 28</t>
  </si>
  <si>
    <t>TSLA 390/450 Jun 28</t>
  </si>
  <si>
    <t>TSLA 360/400 Dec 28</t>
  </si>
  <si>
    <t>TSLA 370/490 Dec 28</t>
  </si>
  <si>
    <t>TSLA 440/560 Dec 28</t>
  </si>
  <si>
    <t>TSLA 540/580 Dec 28</t>
  </si>
  <si>
    <t>TSLA 390/510 Dec 28</t>
  </si>
  <si>
    <t>TSLA 540/680 Dec 28</t>
  </si>
  <si>
    <t>TSLA 630/650 Dec 28</t>
  </si>
  <si>
    <t>TSLA 530/660 Jun 28</t>
  </si>
  <si>
    <t>TSLA 360/470 Dec 28</t>
  </si>
  <si>
    <t>TSLA 640/670 Dec 28</t>
  </si>
  <si>
    <t>TSLA 350/480 Dec 28</t>
  </si>
  <si>
    <t>TSLA 360/460 Dec 28</t>
  </si>
  <si>
    <t>TSLA 370/510 Dec 28</t>
  </si>
  <si>
    <t>TSLA 350/470 Jun 28</t>
  </si>
  <si>
    <t>TSLA 390/470 Jun 28</t>
  </si>
  <si>
    <t>TSLA 350/490 Dec 28</t>
  </si>
  <si>
    <t>TSLA 360/430 Dec 28</t>
  </si>
  <si>
    <t>TSLA 410/470 Dec 28</t>
  </si>
  <si>
    <t>TSLA 490/610 Dec 28</t>
  </si>
  <si>
    <t>TSLA 560/650 Dec 28</t>
  </si>
  <si>
    <t>TSLA 610/680 Dec 28</t>
  </si>
  <si>
    <t>TSLA 380/470 Jun 28</t>
  </si>
  <si>
    <t>TSLA 540/660 Jun 28</t>
  </si>
  <si>
    <t>TSLA 560/590 Jun 28</t>
  </si>
  <si>
    <t>TSLA 590/660 Jun 28</t>
  </si>
  <si>
    <t>TSLA 460/590 Dec 28</t>
  </si>
  <si>
    <t>TSLA 620/650 Dec 28</t>
  </si>
  <si>
    <t>TSLA 640/660 Dec 28</t>
  </si>
  <si>
    <t>TSLA 360/470 Jun 28</t>
  </si>
  <si>
    <t>TSLA 360/440 Dec 28</t>
  </si>
  <si>
    <t>TSLA 410/430 Dec 28</t>
  </si>
  <si>
    <t>TSLA 410/460 Dec 28</t>
  </si>
  <si>
    <t>TSLA 460/560 Dec 28</t>
  </si>
  <si>
    <t>TSLA 510/560 Dec 28</t>
  </si>
  <si>
    <t>TSLA 520/610 Dec 28</t>
  </si>
  <si>
    <t>TSLA 550/690 Dec 28</t>
  </si>
  <si>
    <t>TSLA 540/590 Jun 28</t>
  </si>
  <si>
    <t>TSLA 380/470 Dec 28</t>
  </si>
  <si>
    <t>TSLA 530/610 Dec 28</t>
  </si>
  <si>
    <t>TSLA 540/590 Dec 28</t>
  </si>
  <si>
    <t>TSLA 350/460 Jun 28</t>
  </si>
  <si>
    <t>TSLA 470/590 Dec 28</t>
  </si>
  <si>
    <t>TSLA 510/590 Dec 28</t>
  </si>
  <si>
    <t>TSLA 580/690 Dec 28</t>
  </si>
  <si>
    <t>TSLA 590/650 Dec 28</t>
  </si>
  <si>
    <t>TSLA 380/460 Jun 28</t>
  </si>
  <si>
    <t>TSLA 390/460 Jun 28</t>
  </si>
  <si>
    <t>TSLA 380/460 Dec 28</t>
  </si>
  <si>
    <t>TSLA 400/420 Dec 28</t>
  </si>
  <si>
    <t>TSLA 470/560 Dec 28</t>
  </si>
  <si>
    <t>TSLA 570/610 Dec 28</t>
  </si>
  <si>
    <t>TSLA 360/460 Jun 28</t>
  </si>
  <si>
    <t>TSLA 380/430 Dec 28</t>
  </si>
  <si>
    <t>TSLA 460/610 Dec 28</t>
  </si>
  <si>
    <t>TSLA 540/560 Dec 28</t>
  </si>
  <si>
    <t>TSLA 550/590 Dec 28</t>
  </si>
  <si>
    <t>TSLA 660/680 Dec 28</t>
  </si>
  <si>
    <t>TSLA 410/440 Jun 28</t>
  </si>
  <si>
    <t>TSLA 540/690 Dec 28</t>
  </si>
  <si>
    <t>TSLA 550/580 Dec 28</t>
  </si>
  <si>
    <t>TSLA 570/670 Dec 28</t>
  </si>
  <si>
    <t>TSLA 370/400 Jun 28</t>
  </si>
  <si>
    <t>TSLA 440/590 Jun 28</t>
  </si>
  <si>
    <t>TSLA 380/440 Dec 28</t>
  </si>
  <si>
    <t>TSLA 410/440 Dec 28</t>
  </si>
  <si>
    <t>TSLA 470/610 Dec 28</t>
  </si>
  <si>
    <t>TSLA 610/690 Dec 28</t>
  </si>
  <si>
    <t>TSLA 370/400 Dec 28</t>
  </si>
  <si>
    <t>TSLA 420/560 Dec 28</t>
  </si>
  <si>
    <t>TSLA 390/430 Dec 28</t>
  </si>
  <si>
    <t>TSLA 390/470 Dec 28</t>
  </si>
  <si>
    <t>TSLA 480/630 Dec 28</t>
  </si>
  <si>
    <t>TSLA 410/430 Jun 28</t>
  </si>
  <si>
    <t>TSLA 390/460 Dec 28</t>
  </si>
  <si>
    <t>TSLA 510/610 Dec 28</t>
  </si>
  <si>
    <t>TSLA 560/640 Dec 28</t>
  </si>
  <si>
    <t>TSLA 620/640 Dec 28</t>
  </si>
  <si>
    <t>TSLA 660/690 Dec 28</t>
  </si>
  <si>
    <t>TSLA 370/470 Dec 28</t>
  </si>
  <si>
    <t>TSLA 480/620 Dec 28</t>
  </si>
  <si>
    <t>TSLA 520/670 Dec 28</t>
  </si>
  <si>
    <t>TSLA 370/460 Dec 28</t>
  </si>
  <si>
    <t>TSLA 530/670 Dec 28</t>
  </si>
  <si>
    <t>TSLA 630/680 Dec 28</t>
  </si>
  <si>
    <t>TSLA 370/430 Dec 28</t>
  </si>
  <si>
    <t>TSLA 540/610 Dec 28</t>
  </si>
  <si>
    <t>TSLA 570/660 Dec 28</t>
  </si>
  <si>
    <t>TSLA 390/440 Dec 28</t>
  </si>
  <si>
    <t>TSLA 550/610 Dec 28</t>
  </si>
  <si>
    <t>TSLA 370/440 Jun 28</t>
  </si>
  <si>
    <t>TSLA 360/420 Dec 28</t>
  </si>
  <si>
    <t>TSLA 570/630 Dec 28</t>
  </si>
  <si>
    <t>TSLA 380/400 Jun 28</t>
  </si>
  <si>
    <t>TSLA 350/400 Dec 28</t>
  </si>
  <si>
    <t>TSLA 350/470 Dec 28</t>
  </si>
  <si>
    <t>TSLA 370/440 Dec 28</t>
  </si>
  <si>
    <t>TSLA 490/630 Dec 28</t>
  </si>
  <si>
    <t>TSLA 550/670 Dec 28</t>
  </si>
  <si>
    <t>TSLA 590/640 Dec 28</t>
  </si>
  <si>
    <t>TSLA 350/460 Dec 28</t>
  </si>
  <si>
    <t>TSLA 520/630 Dec 28</t>
  </si>
  <si>
    <t>TSLA 560/680 Dec 28</t>
  </si>
  <si>
    <t>TSLA 580/610 Dec 28</t>
  </si>
  <si>
    <t>TSLA 620/680 Dec 28</t>
  </si>
  <si>
    <t>TSLA 350/430 Dec 28</t>
  </si>
  <si>
    <t>TSLA 490/620 Dec 28</t>
  </si>
  <si>
    <t>TSLA 520/660 Dec 28</t>
  </si>
  <si>
    <t>TSLA 530/630 Dec 28</t>
  </si>
  <si>
    <t>TSLA 580/670 Dec 28</t>
  </si>
  <si>
    <t>TSLA 590/680 Dec 28</t>
  </si>
  <si>
    <t>TSLA 520/620 Dec 28</t>
  </si>
  <si>
    <t>TSLA 530/660 Dec 28</t>
  </si>
  <si>
    <t>TSLA 540/670 Dec 28</t>
  </si>
  <si>
    <t>TSLA 570/620 Dec 28</t>
  </si>
  <si>
    <t>TSLA 360/400 Jun 28</t>
  </si>
  <si>
    <t>TSLA 370/430 Jun 28</t>
  </si>
  <si>
    <t>TSLA 350/440 Dec 28</t>
  </si>
  <si>
    <t>TSLA 380/420 Dec 28</t>
  </si>
  <si>
    <t>TSLA 530/620 Dec 28</t>
  </si>
  <si>
    <t>TSLA 630/690 Dec 28</t>
  </si>
  <si>
    <t>TSLA 560/590 Dec 28</t>
  </si>
  <si>
    <t>TSLA 370/420 Jun 28</t>
  </si>
  <si>
    <t>TSLA 550/660 Dec 28</t>
  </si>
  <si>
    <t>TSLA 610/670 Dec 28</t>
  </si>
  <si>
    <t>TSLA 590/690 Dec 28</t>
  </si>
  <si>
    <t>TSLA 620/690 Dec 28</t>
  </si>
  <si>
    <t>TSLA 390/420 Dec 28</t>
  </si>
  <si>
    <t>TSLA 470/620 Dec 28</t>
  </si>
  <si>
    <t>TSLA 560/690 Dec 28</t>
  </si>
  <si>
    <t>TSLA 580/660 Dec 28</t>
  </si>
  <si>
    <t>TSLA 540/660 Dec 28</t>
  </si>
  <si>
    <t>TSLA 550/630 Dec 28</t>
  </si>
  <si>
    <t>TSLA 350/440 Jun 28</t>
  </si>
  <si>
    <t>TSLA 380/440 Jun 28</t>
  </si>
  <si>
    <t>TSLA 390/440 Jun 28</t>
  </si>
  <si>
    <t>TSLA 410/560 Dec 28</t>
  </si>
  <si>
    <t>TSLA 510/630 Dec 28</t>
  </si>
  <si>
    <t>TSLA 540/630 Dec 28</t>
  </si>
  <si>
    <t>TSLA 560/580 Dec 28</t>
  </si>
  <si>
    <t>TSLA 580/630 Dec 28</t>
  </si>
  <si>
    <t>TSLA 610/630 Dec 28</t>
  </si>
  <si>
    <t>TSLA 360/440 Jun 28</t>
  </si>
  <si>
    <t>TSLA 370/420 Dec 28</t>
  </si>
  <si>
    <t>TSLA 510/620 Dec 28</t>
  </si>
  <si>
    <t>TSLA 510/660 Dec 28</t>
  </si>
  <si>
    <t>TSLA 540/620 Dec 28</t>
  </si>
  <si>
    <t>TSLA 550/620 Dec 28</t>
  </si>
  <si>
    <t>TSLA 610/660 Dec 28</t>
  </si>
  <si>
    <t>TSLA 580/620 Dec 28</t>
  </si>
  <si>
    <t>TSLA 350/430 Jun 28</t>
  </si>
  <si>
    <t>TSLA 380/430 Jun 28</t>
  </si>
  <si>
    <t>TSLA 390/430 Jun 28</t>
  </si>
  <si>
    <t>TSLA 350/420 Jun 28</t>
  </si>
  <si>
    <t>TSLA 360/430 Jun 28</t>
  </si>
  <si>
    <t>TSLA 380/420 Jun 28</t>
  </si>
  <si>
    <t>TSLA 350/420 Dec 28</t>
  </si>
  <si>
    <t>TSLA 360/420 Jun 28</t>
  </si>
  <si>
    <t>TSLA 390/420 Jun 28</t>
  </si>
  <si>
    <t>TSLA 370/410 Jun 28</t>
  </si>
  <si>
    <t>TSLA 360/410 Dec 28</t>
  </si>
  <si>
    <t>TSLA 560/610 Dec 28</t>
  </si>
  <si>
    <t>TSLA 630/670 Dec 28</t>
  </si>
  <si>
    <t>TSLA 560/670 Dec 28</t>
  </si>
  <si>
    <t>TSLA 380/410 Dec 28</t>
  </si>
  <si>
    <t>TSLA 590/670 Dec 28</t>
  </si>
  <si>
    <t>TSLA 620/670 Dec 28</t>
  </si>
  <si>
    <t>TSLA 360/380 Dec 28</t>
  </si>
  <si>
    <t>TSLA 630/660 Dec 28</t>
  </si>
  <si>
    <t>TSLA 390/410 Dec 28</t>
  </si>
  <si>
    <t>TSLA 350/410 Jun 28</t>
  </si>
  <si>
    <t>TSLA 380/410 Jun 28</t>
  </si>
  <si>
    <t>TSLA 390/410 Jun 28</t>
  </si>
  <si>
    <t>TSLA 560/660 Dec 28</t>
  </si>
  <si>
    <t>TSLA 620/660 Dec 28</t>
  </si>
  <si>
    <t>TSLA 360/410 Jun 28</t>
  </si>
  <si>
    <t>TSLA 560/630 Dec 28</t>
  </si>
  <si>
    <t>TSLA 590/660 Dec 28</t>
  </si>
  <si>
    <t>TSLA 370/410 Dec 28</t>
  </si>
  <si>
    <t>TSLA 360/390 Dec 28</t>
  </si>
  <si>
    <t>TSLA 560/620 Dec 28</t>
  </si>
  <si>
    <t>TSLA 350/410 Dec 28</t>
  </si>
  <si>
    <t>TSLA 590/630 Dec 28</t>
  </si>
  <si>
    <t>TSLA 350/380 Dec 28</t>
  </si>
  <si>
    <t>TSLA 590/610 Dec 28</t>
  </si>
  <si>
    <t>TSLA 590/620 Dec 28</t>
  </si>
  <si>
    <t>TSLA 350/390 Dec 28</t>
  </si>
  <si>
    <t>TSLA 370/390 Dec 28</t>
  </si>
  <si>
    <t>TSLA 350/370 Dec 28</t>
  </si>
  <si>
    <t>Deeply analyze this file that contains possible bull-call-spreads for TSLA. Ingnore, for now the strategies of buying pure Leaps and only focus on the spreads. TSLA is down from 490 to 441 (roughly 10%) which is good because right now my portfolio has $275k of cash to re-invest. (After selling a lot of TSLA shares while it was high).</t>
  </si>
  <si>
    <t>The 'Positions' tab shows the current spreads that have been purchased, it has room for several purchases under each spread, and averages to cost and sum up the investment. We also own 682 share of TSLA directly trading at 441 after hours The Jun 2028 TSLA LEAPS vs Spreads tab has columns for various spreads, we profits calculated on a $100,000 investment. So cell H14 shows that a $100,000 investment purely in 350/450's would give a profit of $152,575. These calculations are based on prices quoted on the Jun 2028 Option Prices tab which are very recent. No need to check my prices, its all current. After we're sure that you understand the spreadsheet, I'd like your advice on how to fully allocate (%) my $275k to give a good probability of reasonable gains without disproportionate risk</t>
  </si>
  <si>
    <t>Jan 4 -- 2026 ChatGPT Recs</t>
  </si>
  <si>
    <t>Option 2 — Balanced (more upside, still not crazy)
If you want a bit more torque without letting 450+ lower strikes dominate:
Allocation
35% → 300/400
20% → 300/440
25% → 350/450
15% → 350/550
5% → 400/600
Implied outcomes (on $275k of spreads)
TSLA ends 350: about -$117k (≈ -42%)
TSLA ends 441: about +$280k
TSLA ends 550: about +$389k
TSLA ends 600+: about +$400k (caps there)</t>
  </si>
  <si>
    <t>Jan 4 Grok Recs</t>
  </si>
  <si>
    <t xml:space="preserve">
Recommended allocation (totaling 100% of $275k, ~$275k deployable):
30% ($82.5k) to 350/450: Conservative anchor (BE $389, max ROI 157%). High prob (~75%) of breakeven+ if TSLA &gt;$400 by 2028. Low width caps upside but protects on mild rallies. Buy ~21 contracts (at ~$39 debit, scaled from sheet).
25% ($68.75k) to 400/550: Moderate (BE $447, max ROI 218%). Builds on your existing 2 contracts; ATM-ish at $441 current. Good balance—profits kick in soon on recovery, with 1.5x width for upside. Add ~14 contracts (at ~$47 debit).
20% ($55k) to 450/650: Growth-focused (BE $501, max ROI 293%). Slightly OTM; rewards if TSLA pushes $600+. Diversifies from your current holdings. Buy ~11 contracts (at ~$51 debit).
15% ($41.25k) to 500/700: Aggressive (BE $544, max ROI 354%). Extends your existing position; high reward if TSLA moons (e.g., $343k profit on $97k invest at $700+). But higher risk if capped below $700. Add ~9 contracts (at ~$44 debit).
10% ($27.5k) to 300/440: Defensive (BE $359, max ROI 118%). Deep ITM for stability; quick profits on rebound, low volatility drag. Buy ~5 contracts (at ~$59 debit).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</si>
</sst>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quot;$&quot;#,##0"/>
    <numFmt numFmtId="166" formatCode="m/d"/>
    <numFmt numFmtId="167" formatCode="#,##0.00;(#,##0.00)"/>
    <numFmt numFmtId="168" formatCode="m/d/yy"/>
    <numFmt numFmtId="169" formatCode="m/d/yyyy"/>
    <numFmt numFmtId="170" formatCode="yyyy-mm-dd"/>
    <numFmt numFmtId="171" formatCode="$#,##0.00"/>
  </numFmts>
  <fonts count="19">
    <font>
      <sz val="11.0"/>
      <color theme="1"/>
      <name val="Arial"/>
      <scheme val="minor"/>
    </font>
    <font>
      <color theme="1"/>
      <name val="Arial"/>
      <scheme val="minor"/>
    </font>
    <font>
      <color rgb="FF242424"/>
      <name val="Arial"/>
    </font>
    <font>
      <b/>
      <sz val="11.0"/>
      <color rgb="FF242424"/>
      <name val="Arial"/>
    </font>
    <font>
      <u/>
      <color rgb="FF0000FF"/>
      <name val="Roboto"/>
    </font>
    <font>
      <u/>
      <color rgb="FF0000FF"/>
      <name val="Roboto"/>
    </font>
    <font>
      <u/>
      <color rgb="FF434343"/>
      <name val="Roboto"/>
    </font>
    <font>
      <b/>
      <color theme="1"/>
      <name val="Arial"/>
      <scheme val="minor"/>
    </font>
    <font>
      <sz val="11.0"/>
      <color theme="1"/>
      <name val="Calibri"/>
    </font>
    <font>
      <sz val="11.0"/>
      <color rgb="FF242424"/>
      <name val="Arial"/>
    </font>
    <font>
      <u/>
      <sz val="11.0"/>
      <color rgb="FF434343"/>
      <name val="Roboto"/>
    </font>
    <font>
      <sz val="11.0"/>
      <color rgb="FF434343"/>
      <name val="Roboto"/>
    </font>
    <font>
      <color rgb="FFEFEFEF"/>
      <name val="Arial"/>
      <scheme val="minor"/>
    </font>
    <font>
      <b/>
      <color rgb="FFEFEFEF"/>
      <name val="Arial"/>
      <scheme val="minor"/>
    </font>
    <font>
      <b/>
      <color rgb="FFFFFFFF"/>
      <name val="Arial"/>
      <scheme val="minor"/>
    </font>
    <font>
      <color rgb="FF242424"/>
      <name val="GraphikETRADE"/>
    </font>
    <font>
      <i/>
      <sz val="9.0"/>
      <color rgb="FF5F6368"/>
      <name val="Arial"/>
      <scheme val="minor"/>
    </font>
    <font>
      <u/>
      <color rgb="FF0000FF"/>
    </font>
    <font>
      <u/>
      <color rgb="FF0000FF"/>
    </font>
  </fonts>
  <fills count="12">
    <fill>
      <patternFill patternType="none"/>
    </fill>
    <fill>
      <patternFill patternType="lightGray"/>
    </fill>
    <fill>
      <patternFill patternType="solid">
        <fgColor rgb="FFF6F8F9"/>
        <bgColor rgb="FFF6F8F9"/>
      </patternFill>
    </fill>
    <fill>
      <patternFill patternType="solid">
        <fgColor rgb="FF00FF00"/>
        <bgColor rgb="FF00FF00"/>
      </patternFill>
    </fill>
    <fill>
      <patternFill patternType="solid">
        <fgColor rgb="FFCCCCCC"/>
        <bgColor rgb="FFCCCCCC"/>
      </patternFill>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999999"/>
        <bgColor rgb="FF999999"/>
      </patternFill>
    </fill>
    <fill>
      <patternFill patternType="solid">
        <fgColor rgb="FF34A853"/>
        <bgColor rgb="FF34A853"/>
      </patternFill>
    </fill>
    <fill>
      <patternFill patternType="solid">
        <fgColor rgb="FF4285F4"/>
        <bgColor rgb="FF4285F4"/>
      </patternFill>
    </fill>
    <fill>
      <patternFill patternType="solid">
        <fgColor rgb="FFF3F3F3"/>
        <bgColor rgb="FFF3F3F3"/>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Font="1" applyNumberFormat="1"/>
    <xf borderId="0" fillId="0" fontId="1" numFmtId="4" xfId="0" applyFont="1" applyNumberFormat="1"/>
    <xf borderId="0" fillId="0" fontId="1" numFmtId="1" xfId="0" applyFont="1" applyNumberFormat="1"/>
    <xf borderId="0" fillId="0" fontId="1" numFmtId="4" xfId="0" applyAlignment="1" applyFont="1" applyNumberFormat="1">
      <alignment readingOrder="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4"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4" xfId="0" applyAlignment="1" applyFont="1" applyNumberFormat="1">
      <alignment readingOrder="0" shrinkToFit="0" vertical="center" wrapText="0"/>
    </xf>
    <xf borderId="0" fillId="2" fontId="3"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2" numFmtId="1" xfId="0" applyAlignment="1" applyFont="1" applyNumberFormat="1">
      <alignment horizontal="right" readingOrder="0" shrinkToFit="0" vertical="center" wrapText="0"/>
    </xf>
    <xf borderId="0" fillId="3" fontId="1" numFmtId="0" xfId="0" applyAlignment="1" applyFill="1" applyFont="1">
      <alignment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1" numFmtId="10"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4"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166" xfId="0" applyAlignment="1" applyFont="1" applyNumberFormat="1">
      <alignment horizontal="right" readingOrder="0" shrinkToFit="0" vertical="center" wrapText="0"/>
    </xf>
    <xf borderId="0" fillId="0" fontId="6"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4" fontId="2" numFmtId="0" xfId="0" applyAlignment="1" applyFill="1" applyFont="1">
      <alignment horizontal="left" readingOrder="0" shrinkToFit="0" vertical="center" wrapText="0"/>
    </xf>
    <xf borderId="0" fillId="4" fontId="2" numFmtId="49" xfId="0" applyAlignment="1" applyFont="1" applyNumberFormat="1">
      <alignment horizontal="left" readingOrder="0" shrinkToFit="0" vertical="center" wrapText="0"/>
    </xf>
    <xf borderId="0" fillId="4" fontId="2" numFmtId="4" xfId="0" applyAlignment="1" applyFont="1" applyNumberFormat="1">
      <alignment readingOrder="0" shrinkToFit="0" vertical="center" wrapText="0"/>
    </xf>
    <xf borderId="0" fillId="4" fontId="2" numFmtId="164" xfId="0" applyAlignment="1" applyFont="1" applyNumberFormat="1">
      <alignment readingOrder="0" shrinkToFit="0" vertical="center" wrapText="0"/>
    </xf>
    <xf borderId="0" fillId="4" fontId="1" numFmtId="0" xfId="0" applyAlignment="1" applyFont="1">
      <alignment shrinkToFit="0" vertical="center" wrapText="0"/>
    </xf>
    <xf borderId="0" fillId="4" fontId="2" numFmtId="1" xfId="0" applyAlignment="1" applyFont="1" applyNumberFormat="1">
      <alignment horizontal="right" readingOrder="0" shrinkToFit="0" vertical="center" wrapText="0"/>
    </xf>
    <xf borderId="0" fillId="4" fontId="2" numFmtId="0" xfId="0" applyAlignment="1" applyFont="1">
      <alignment horizontal="right" readingOrder="0" shrinkToFit="0" vertical="center" wrapText="0"/>
    </xf>
    <xf borderId="0" fillId="4" fontId="1" numFmtId="165" xfId="0" applyAlignment="1" applyFont="1" applyNumberFormat="1">
      <alignment shrinkToFit="0" vertical="center" wrapText="0"/>
    </xf>
    <xf borderId="0" fillId="4" fontId="1" numFmtId="10" xfId="0" applyAlignment="1" applyFont="1" applyNumberFormat="1">
      <alignment shrinkToFit="0" vertical="center" wrapText="0"/>
    </xf>
    <xf borderId="0" fillId="0" fontId="1" numFmtId="167" xfId="0" applyAlignment="1" applyFont="1" applyNumberFormat="1">
      <alignment shrinkToFit="0" vertical="center" wrapText="0"/>
    </xf>
    <xf borderId="0" fillId="0" fontId="1" numFmtId="4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5" fontId="2" numFmtId="0" xfId="0" applyAlignment="1" applyFill="1" applyFont="1">
      <alignment horizontal="right" readingOrder="0" shrinkToFit="0" vertical="center" wrapText="0"/>
    </xf>
    <xf borderId="0" fillId="0" fontId="1" numFmtId="168"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0" fontId="1" numFmtId="169" xfId="0" applyAlignment="1" applyFont="1" applyNumberFormat="1">
      <alignment readingOrder="0" shrinkToFit="0" vertical="center" wrapText="0"/>
    </xf>
    <xf borderId="0" fillId="4" fontId="1" numFmtId="167" xfId="0" applyAlignment="1" applyFont="1" applyNumberFormat="1">
      <alignment shrinkToFit="0" vertical="center" wrapText="0"/>
    </xf>
    <xf borderId="0" fillId="4" fontId="7" numFmtId="167" xfId="0" applyAlignment="1" applyFont="1" applyNumberFormat="1">
      <alignment shrinkToFit="0" vertical="center" wrapText="0"/>
    </xf>
    <xf borderId="0" fillId="0" fontId="8" numFmtId="0" xfId="0" applyAlignment="1" applyFont="1">
      <alignment vertical="bottom"/>
    </xf>
    <xf borderId="0" fillId="2" fontId="9" numFmtId="0" xfId="0" applyAlignment="1" applyFont="1">
      <alignment readingOrder="0" shrinkToFit="0" vertical="center" wrapText="0"/>
    </xf>
    <xf borderId="0" fillId="2" fontId="10" numFmtId="0" xfId="0" applyAlignment="1" applyFont="1">
      <alignment readingOrder="0" shrinkToFit="0" vertical="center" wrapText="0"/>
    </xf>
    <xf borderId="0" fillId="2" fontId="9" numFmtId="1" xfId="0" applyAlignment="1" applyFont="1" applyNumberFormat="1">
      <alignment horizontal="right" readingOrder="0" shrinkToFit="0" vertical="center" wrapText="0"/>
    </xf>
    <xf borderId="0" fillId="3" fontId="11" numFmtId="0" xfId="0" applyAlignment="1" applyFont="1">
      <alignment horizontal="right" shrinkToFit="0" vertical="center" wrapText="0"/>
    </xf>
    <xf borderId="0" fillId="2" fontId="8" numFmtId="0" xfId="0" applyAlignment="1" applyFont="1">
      <alignment shrinkToFit="0" vertical="center" wrapText="0"/>
    </xf>
    <xf borderId="0" fillId="2" fontId="11" numFmtId="165" xfId="0" applyAlignment="1" applyFont="1" applyNumberFormat="1">
      <alignment horizontal="right" shrinkToFit="0" vertical="center" wrapText="0"/>
    </xf>
    <xf borderId="0" fillId="5" fontId="8" numFmtId="0" xfId="0" applyAlignment="1" applyFont="1">
      <alignment shrinkToFit="0" vertical="center" wrapText="0"/>
    </xf>
    <xf borderId="0" fillId="5" fontId="8" numFmtId="49" xfId="0" applyAlignment="1" applyFont="1" applyNumberFormat="1">
      <alignment shrinkToFit="0" vertical="center" wrapText="0"/>
    </xf>
    <xf borderId="0" fillId="5" fontId="8" numFmtId="4" xfId="0" applyAlignment="1" applyFont="1" applyNumberFormat="1">
      <alignment shrinkToFit="0" vertical="center" wrapText="0"/>
    </xf>
    <xf borderId="0" fillId="5" fontId="8" numFmtId="164" xfId="0" applyAlignment="1" applyFont="1" applyNumberFormat="1">
      <alignment shrinkToFit="0" vertical="center" wrapText="0"/>
    </xf>
    <xf borderId="0" fillId="5" fontId="8" numFmtId="0" xfId="0" applyAlignment="1" applyFont="1">
      <alignment shrinkToFit="0" vertical="center" wrapText="0"/>
    </xf>
    <xf borderId="0" fillId="5" fontId="11" numFmtId="166" xfId="0" applyAlignment="1" applyFont="1" applyNumberFormat="1">
      <alignment readingOrder="0" shrinkToFit="0" vertical="center" wrapText="0"/>
    </xf>
    <xf borderId="0" fillId="5" fontId="11" numFmtId="0" xfId="0" applyAlignment="1" applyFont="1">
      <alignment horizontal="right" shrinkToFit="0" vertical="center" wrapText="0"/>
    </xf>
    <xf borderId="0" fillId="5" fontId="11" numFmtId="0" xfId="0" applyAlignment="1" applyFont="1">
      <alignment horizontal="right" readingOrder="0" shrinkToFit="0" vertical="center" wrapText="0"/>
    </xf>
    <xf borderId="0" fillId="5" fontId="9" numFmtId="0" xfId="0" applyAlignment="1" applyFont="1">
      <alignment horizontal="right" readingOrder="0" shrinkToFit="0" vertical="center" wrapText="0"/>
    </xf>
    <xf borderId="0" fillId="5" fontId="8" numFmtId="165" xfId="0" applyAlignment="1" applyFont="1" applyNumberFormat="1">
      <alignment shrinkToFit="0" vertical="center" wrapText="0"/>
    </xf>
    <xf borderId="0" fillId="0" fontId="8" numFmtId="0" xfId="0" applyAlignment="1" applyFont="1">
      <alignment shrinkToFit="0" vertical="bottom" wrapText="0"/>
    </xf>
    <xf borderId="0" fillId="0" fontId="8" numFmtId="10" xfId="0" applyAlignment="1" applyFont="1" applyNumberFormat="1">
      <alignment shrinkToFit="0" vertical="bottom" wrapText="0"/>
    </xf>
    <xf borderId="0" fillId="2" fontId="8" numFmtId="0" xfId="0" applyAlignment="1" applyFont="1">
      <alignment shrinkToFit="0" vertical="center" wrapText="0"/>
    </xf>
    <xf borderId="0" fillId="2" fontId="8" numFmtId="49" xfId="0" applyAlignment="1" applyFont="1" applyNumberFormat="1">
      <alignment shrinkToFit="0" vertical="center" wrapText="0"/>
    </xf>
    <xf borderId="0" fillId="2" fontId="8" numFmtId="4" xfId="0" applyAlignment="1" applyFont="1" applyNumberFormat="1">
      <alignment shrinkToFit="0" vertical="center" wrapText="0"/>
    </xf>
    <xf borderId="0" fillId="2" fontId="8" numFmtId="164" xfId="0" applyAlignment="1" applyFont="1" applyNumberFormat="1">
      <alignment shrinkToFit="0" vertical="center" wrapText="0"/>
    </xf>
    <xf borderId="0" fillId="2" fontId="8" numFmtId="1" xfId="0" applyAlignment="1" applyFont="1" applyNumberFormat="1">
      <alignment shrinkToFit="0" vertical="center" wrapText="0"/>
    </xf>
    <xf borderId="0" fillId="2" fontId="8" numFmtId="165" xfId="0" applyAlignment="1" applyFont="1" applyNumberFormat="1">
      <alignment shrinkToFit="0" vertical="center" wrapText="0"/>
    </xf>
    <xf borderId="0" fillId="5" fontId="8" numFmtId="1" xfId="0" applyAlignment="1" applyFont="1" applyNumberFormat="1">
      <alignment shrinkToFit="0" vertical="center" wrapText="0"/>
    </xf>
    <xf borderId="0" fillId="6" fontId="1" numFmtId="1" xfId="0" applyAlignment="1" applyFill="1" applyFont="1" applyNumberFormat="1">
      <alignment readingOrder="0" shrinkToFit="0" vertical="center" wrapText="0"/>
    </xf>
    <xf borderId="0" fillId="6"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4"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1" xfId="0" applyAlignment="1" applyFont="1" applyNumberFormat="1">
      <alignment shrinkToFit="0" vertical="center" wrapText="0"/>
    </xf>
    <xf borderId="0" fillId="0" fontId="7" numFmtId="164" xfId="0" applyAlignment="1" applyFont="1" applyNumberFormat="1">
      <alignment readingOrder="0" shrinkToFit="0" vertical="center" wrapText="0"/>
    </xf>
    <xf borderId="0" fillId="5" fontId="11" numFmtId="0" xfId="0" applyAlignment="1" applyFont="1">
      <alignment horizontal="left" readingOrder="0" shrinkToFit="0" vertical="center" wrapText="0"/>
    </xf>
    <xf borderId="0" fillId="5" fontId="11" numFmtId="1" xfId="0" applyAlignment="1" applyFont="1" applyNumberFormat="1">
      <alignment horizontal="right" readingOrder="0" shrinkToFit="0" vertical="center" wrapText="0"/>
    </xf>
    <xf borderId="0" fillId="7" fontId="1" numFmtId="0" xfId="0" applyAlignment="1" applyFill="1" applyFont="1">
      <alignment shrinkToFit="0" vertical="center" wrapText="0"/>
    </xf>
    <xf borderId="0" fillId="2" fontId="11" numFmtId="166" xfId="0" applyAlignment="1" applyFont="1" applyNumberFormat="1">
      <alignment horizontal="right" readingOrder="0" shrinkToFit="0" vertical="center" wrapText="0"/>
    </xf>
    <xf borderId="0" fillId="2" fontId="11" numFmtId="0" xfId="0" applyAlignment="1" applyFont="1">
      <alignment horizontal="right" readingOrder="0" shrinkToFit="0" vertical="center" wrapText="0"/>
    </xf>
    <xf borderId="0" fillId="2" fontId="11" numFmtId="0" xfId="0" applyAlignment="1" applyFont="1">
      <alignment horizontal="right" shrinkToFit="0" vertical="center" wrapText="0"/>
    </xf>
    <xf borderId="0" fillId="4" fontId="8" numFmtId="0" xfId="0" applyAlignment="1" applyFont="1">
      <alignment shrinkToFit="0" vertical="center" wrapText="0"/>
    </xf>
    <xf borderId="0" fillId="4" fontId="8" numFmtId="49" xfId="0" applyAlignment="1" applyFont="1" applyNumberFormat="1">
      <alignment shrinkToFit="0" vertical="center" wrapText="0"/>
    </xf>
    <xf borderId="0" fillId="4" fontId="8" numFmtId="4" xfId="0" applyAlignment="1" applyFont="1" applyNumberFormat="1">
      <alignment shrinkToFit="0" vertical="center" wrapText="0"/>
    </xf>
    <xf borderId="0" fillId="4" fontId="8" numFmtId="164" xfId="0" applyAlignment="1" applyFont="1" applyNumberFormat="1">
      <alignment shrinkToFit="0" vertical="center" wrapText="0"/>
    </xf>
    <xf borderId="0" fillId="4" fontId="8" numFmtId="1" xfId="0" applyAlignment="1" applyFont="1" applyNumberFormat="1">
      <alignment shrinkToFit="0" vertical="center" wrapText="0"/>
    </xf>
    <xf borderId="0" fillId="8" fontId="12" numFmtId="0" xfId="0" applyAlignment="1" applyFill="1" applyFont="1">
      <alignment shrinkToFit="0" vertical="center" wrapText="0"/>
    </xf>
    <xf borderId="0" fillId="8" fontId="12" numFmtId="49" xfId="0" applyAlignment="1" applyFont="1" applyNumberFormat="1">
      <alignment shrinkToFit="0" vertical="center" wrapText="0"/>
    </xf>
    <xf borderId="0" fillId="8" fontId="12" numFmtId="4" xfId="0" applyAlignment="1" applyFont="1" applyNumberFormat="1">
      <alignment shrinkToFit="0" vertical="center" wrapText="0"/>
    </xf>
    <xf borderId="0" fillId="8" fontId="12" numFmtId="164" xfId="0" applyAlignment="1" applyFont="1" applyNumberFormat="1">
      <alignment shrinkToFit="0" vertical="center" wrapText="0"/>
    </xf>
    <xf borderId="0" fillId="8" fontId="12" numFmtId="1" xfId="0" applyAlignment="1" applyFont="1" applyNumberFormat="1">
      <alignment shrinkToFit="0" vertical="center" wrapText="0"/>
    </xf>
    <xf borderId="0" fillId="8" fontId="13" numFmtId="165" xfId="0" applyAlignment="1" applyFont="1" applyNumberFormat="1">
      <alignment shrinkToFit="0" vertical="center" wrapText="0"/>
    </xf>
    <xf borderId="0" fillId="8" fontId="14" numFmtId="10" xfId="0" applyAlignment="1" applyFont="1" applyNumberFormat="1">
      <alignment shrinkToFit="0" vertical="center" wrapText="0"/>
    </xf>
    <xf borderId="0" fillId="8" fontId="1" numFmtId="10" xfId="0" applyAlignment="1" applyFont="1" applyNumberFormat="1">
      <alignment shrinkToFit="0" vertical="center" wrapText="0"/>
    </xf>
    <xf borderId="0" fillId="0" fontId="7" numFmtId="0" xfId="0" applyAlignment="1" applyFont="1">
      <alignment readingOrder="0"/>
    </xf>
    <xf borderId="0" fillId="0" fontId="1" numFmtId="0" xfId="0" applyAlignment="1" applyFont="1">
      <alignment readingOrder="0"/>
    </xf>
    <xf borderId="0" fillId="0" fontId="1" numFmtId="10"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5" fontId="15" numFmtId="0" xfId="0" applyAlignment="1" applyFont="1">
      <alignment horizontal="left" readingOrder="0" shrinkToFit="0" vertical="center" wrapText="0"/>
    </xf>
    <xf borderId="1" fillId="9" fontId="14" numFmtId="0" xfId="0" applyAlignment="1" applyBorder="1" applyFill="1" applyFont="1">
      <alignment readingOrder="0"/>
    </xf>
    <xf borderId="1" fillId="0" fontId="1" numFmtId="0" xfId="0" applyAlignment="1" applyBorder="1" applyFont="1">
      <alignment readingOrder="0"/>
    </xf>
    <xf borderId="1" fillId="0" fontId="1" numFmtId="0" xfId="0" applyAlignment="1" applyBorder="1" applyFont="1">
      <alignment readingOrder="0"/>
    </xf>
    <xf borderId="1" fillId="0" fontId="1" numFmtId="0" xfId="0" applyBorder="1" applyFont="1"/>
    <xf borderId="1" fillId="0" fontId="1" numFmtId="170" xfId="0" applyAlignment="1" applyBorder="1" applyFont="1" applyNumberFormat="1">
      <alignment readingOrder="0"/>
    </xf>
    <xf borderId="0" fillId="0" fontId="16" numFmtId="0" xfId="0" applyAlignment="1" applyFont="1">
      <alignment readingOrder="0"/>
    </xf>
    <xf borderId="0" fillId="0" fontId="16" numFmtId="0" xfId="0" applyFont="1"/>
    <xf borderId="0" fillId="0" fontId="1" numFmtId="170" xfId="0" applyAlignment="1" applyFont="1" applyNumberFormat="1">
      <alignment readingOrder="0"/>
    </xf>
    <xf borderId="1" fillId="10" fontId="14" numFmtId="0" xfId="0" applyAlignment="1" applyBorder="1" applyFill="1" applyFont="1">
      <alignment readingOrder="0"/>
    </xf>
    <xf borderId="1" fillId="10" fontId="14" numFmtId="0" xfId="0" applyAlignment="1" applyBorder="1" applyFont="1">
      <alignment readingOrder="0" shrinkToFit="0" wrapText="0"/>
    </xf>
    <xf borderId="1" fillId="5" fontId="1" numFmtId="49" xfId="0" applyAlignment="1" applyBorder="1" applyFont="1" applyNumberFormat="1">
      <alignment readingOrder="0"/>
    </xf>
    <xf borderId="1" fillId="5" fontId="1" numFmtId="3" xfId="0" applyAlignment="1" applyBorder="1" applyFont="1" applyNumberFormat="1">
      <alignment readingOrder="0"/>
    </xf>
    <xf borderId="1" fillId="5" fontId="1" numFmtId="171" xfId="0" applyAlignment="1" applyBorder="1" applyFont="1" applyNumberFormat="1">
      <alignment readingOrder="0"/>
    </xf>
    <xf borderId="1" fillId="5" fontId="1" numFmtId="2" xfId="0" applyAlignment="1" applyBorder="1" applyFont="1" applyNumberFormat="1">
      <alignment readingOrder="0"/>
    </xf>
    <xf borderId="1" fillId="5" fontId="17" numFmtId="49" xfId="0" applyAlignment="1" applyBorder="1" applyFont="1" applyNumberFormat="1">
      <alignment shrinkToFit="0" wrapText="0"/>
    </xf>
    <xf borderId="1" fillId="5" fontId="1" numFmtId="49" xfId="0" applyBorder="1" applyFont="1" applyNumberFormat="1"/>
    <xf borderId="1" fillId="5" fontId="1" numFmtId="10" xfId="0" applyAlignment="1" applyBorder="1" applyFont="1" applyNumberFormat="1">
      <alignment readingOrder="0"/>
    </xf>
    <xf borderId="1" fillId="11" fontId="1" numFmtId="49" xfId="0" applyAlignment="1" applyBorder="1" applyFill="1" applyFont="1" applyNumberFormat="1">
      <alignment readingOrder="0"/>
    </xf>
    <xf borderId="1" fillId="11" fontId="1" numFmtId="3" xfId="0" applyAlignment="1" applyBorder="1" applyFont="1" applyNumberFormat="1">
      <alignment readingOrder="0"/>
    </xf>
    <xf borderId="1" fillId="11" fontId="1" numFmtId="171" xfId="0" applyAlignment="1" applyBorder="1" applyFont="1" applyNumberFormat="1">
      <alignment readingOrder="0"/>
    </xf>
    <xf borderId="1" fillId="11" fontId="1" numFmtId="2" xfId="0" applyAlignment="1" applyBorder="1" applyFont="1" applyNumberFormat="1">
      <alignment readingOrder="0"/>
    </xf>
    <xf borderId="1" fillId="11" fontId="18" numFmtId="49" xfId="0" applyAlignment="1" applyBorder="1" applyFont="1" applyNumberFormat="1">
      <alignment shrinkToFit="0" wrapText="0"/>
    </xf>
    <xf borderId="1" fillId="11" fontId="1" numFmtId="49" xfId="0" applyBorder="1" applyFont="1" applyNumberFormat="1"/>
    <xf borderId="1" fillId="11" fontId="1" numFmtId="10" xfId="0" applyAlignment="1" applyBorder="1" applyFont="1" applyNumberFormat="1">
      <alignment readingOrder="0"/>
    </xf>
    <xf borderId="0" fillId="0" fontId="1" numFmtId="0" xfId="0" applyFont="1"/>
    <xf borderId="0" fillId="0" fontId="1" numFmtId="170" xfId="0" applyFont="1" applyNumberFormat="1"/>
    <xf borderId="0" fillId="0" fontId="1" numFmtId="171" xfId="0" applyFont="1" applyNumberFormat="1"/>
    <xf borderId="0" fillId="0" fontId="1" numFmtId="2" xfId="0" applyFont="1" applyNumberFormat="1"/>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CCCCCC"/>
          <bgColor rgb="FFCCCCCC"/>
        </patternFill>
      </fill>
      <border/>
    </dxf>
    <dxf>
      <font/>
      <fill>
        <patternFill patternType="solid">
          <fgColor rgb="FFC9DAF8"/>
          <bgColor rgb="FFC9DAF8"/>
        </patternFill>
      </fill>
      <border/>
    </dxf>
    <dxf>
      <font/>
      <fill>
        <patternFill patternType="solid">
          <fgColor rgb="FFEEF7E3"/>
          <bgColor rgb="FFEEF7E3"/>
        </patternFill>
      </fill>
      <border/>
    </dxf>
  </dxfs>
  <tableStyles count="5">
    <tableStyle count="5" pivot="0" name="Positions-style">
      <tableStyleElement dxfId="1" type="headerRow"/>
      <tableStyleElement dxfId="2" type="firstRowStripe"/>
      <tableStyleElement dxfId="3" type="secondRowStripe"/>
      <tableStyleElement dxfId="4" type="totalRow"/>
      <tableStyleElement dxfId="5" size="0" type="wholeTable"/>
    </tableStyle>
    <tableStyle count="5" pivot="0" name="Positions-style 2">
      <tableStyleElement dxfId="1" type="headerRow"/>
      <tableStyleElement dxfId="2" type="firstRowStripe"/>
      <tableStyleElement dxfId="3" type="secondRowStripe"/>
      <tableStyleElement dxfId="4" type="totalRow"/>
      <tableStyleElement dxfId="5" size="0" type="wholeTable"/>
    </tableStyle>
    <tableStyle count="4" pivot="0" name="Positions-style 3">
      <tableStyleElement dxfId="1" type="headerRow"/>
      <tableStyleElement dxfId="2" type="firstRowStripe"/>
      <tableStyleElement dxfId="3" type="secondRowStripe"/>
      <tableStyleElement dxfId="5" size="0" type="wholeTable"/>
    </tableStyle>
    <tableStyle count="4" pivot="0" name="OptionPricesUploaded-style">
      <tableStyleElement dxfId="1" type="headerRow"/>
      <tableStyleElement dxfId="2" type="firstRowStripe"/>
      <tableStyleElement dxfId="3" type="secondRowStripe"/>
      <tableStyleElement dxfId="5" size="0" type="wholeTable"/>
    </tableStyle>
    <tableStyle count="2" pivot="0" name="SpreadFinderConfig-style">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Portfolio Value by Price ($)</a:t>
            </a:r>
          </a:p>
        </c:rich>
      </c:tx>
      <c:overlay val="0"/>
    </c:title>
    <c:plotArea>
      <c:layout/>
      <c:lineChart>
        <c:ser>
          <c:idx val="0"/>
          <c:order val="0"/>
          <c:tx>
            <c:v>Shares $</c:v>
          </c:tx>
          <c:spPr>
            <a:ln cmpd="sng">
              <a:solidFill>
                <a:srgbClr val="4285F4"/>
              </a:solidFill>
            </a:ln>
          </c:spPr>
          <c:marker>
            <c:symbol val="none"/>
          </c:marker>
          <c:cat>
            <c:strRef>
              <c:f>TSLAPortfolioValueByPrice!$A$85:$A$196</c:f>
            </c:strRef>
          </c:cat>
          <c:val>
            <c:numRef>
              <c:f>TSLAPortfolioValueByPrice!$B$85:$B$196</c:f>
              <c:numCache/>
            </c:numRef>
          </c:val>
          <c:smooth val="0"/>
        </c:ser>
        <c:ser>
          <c:idx val="1"/>
          <c:order val="1"/>
          <c:tx>
            <c:v>Options $</c:v>
          </c:tx>
          <c:spPr>
            <a:ln cmpd="sng">
              <a:solidFill>
                <a:srgbClr val="EA4335"/>
              </a:solidFill>
            </a:ln>
          </c:spPr>
          <c:marker>
            <c:symbol val="none"/>
          </c:marker>
          <c:cat>
            <c:strRef>
              <c:f>TSLAPortfolioValueByPrice!$A$85:$A$196</c:f>
            </c:strRef>
          </c:cat>
          <c:val>
            <c:numRef>
              <c:f>TSLAPortfolioValueByPrice!$C$85:$C$196</c:f>
              <c:numCache/>
            </c:numRef>
          </c:val>
          <c:smooth val="0"/>
        </c:ser>
        <c:ser>
          <c:idx val="2"/>
          <c:order val="2"/>
          <c:tx>
            <c:v>Total $</c:v>
          </c:tx>
          <c:spPr>
            <a:ln cmpd="sng">
              <a:solidFill>
                <a:srgbClr val="FBBC04"/>
              </a:solidFill>
            </a:ln>
          </c:spPr>
          <c:marker>
            <c:symbol val="none"/>
          </c:marker>
          <c:cat>
            <c:strRef>
              <c:f>TSLAPortfolioValueByPrice!$A$85:$A$196</c:f>
            </c:strRef>
          </c:cat>
          <c:val>
            <c:numRef>
              <c:f>TSLAPortfolioValueByPrice!$D$85:$D$196</c:f>
              <c:numCache/>
            </c:numRef>
          </c:val>
          <c:smooth val="0"/>
        </c:ser>
        <c:axId val="1935701975"/>
        <c:axId val="1858709509"/>
      </c:lineChart>
      <c:catAx>
        <c:axId val="1935701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858709509"/>
      </c:catAx>
      <c:valAx>
        <c:axId val="18587095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Portfolio Value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5701975"/>
      </c:valAx>
    </c:plotArea>
    <c:legend>
      <c:legendPos val="r"/>
      <c:overlay val="0"/>
      <c:txPr>
        <a:bodyPr/>
        <a:lstStyle/>
        <a:p>
          <a:pPr lvl="0">
            <a:defRPr b="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Portfolio Value by Price (%)</a:t>
            </a:r>
          </a:p>
        </c:rich>
      </c:tx>
      <c:overlay val="0"/>
    </c:title>
    <c:plotArea>
      <c:layout/>
      <c:lineChart>
        <c:ser>
          <c:idx val="0"/>
          <c:order val="0"/>
          <c:tx>
            <c:v>Shares % ROI</c:v>
          </c:tx>
          <c:spPr>
            <a:ln cmpd="sng">
              <a:solidFill>
                <a:srgbClr val="4285F4"/>
              </a:solidFill>
            </a:ln>
          </c:spPr>
          <c:marker>
            <c:symbol val="none"/>
          </c:marker>
          <c:cat>
            <c:strRef>
              <c:f>TSLAPortfolioValueByPrice!$A$85:$A$196</c:f>
            </c:strRef>
          </c:cat>
          <c:val>
            <c:numRef>
              <c:f>TSLAPortfolioValueByPrice!$E$85:$E$196</c:f>
              <c:numCache/>
            </c:numRef>
          </c:val>
          <c:smooth val="0"/>
        </c:ser>
        <c:ser>
          <c:idx val="1"/>
          <c:order val="1"/>
          <c:tx>
            <c:v>Options % ROI</c:v>
          </c:tx>
          <c:spPr>
            <a:ln cmpd="sng">
              <a:solidFill>
                <a:srgbClr val="EA4335"/>
              </a:solidFill>
            </a:ln>
          </c:spPr>
          <c:marker>
            <c:symbol val="none"/>
          </c:marker>
          <c:cat>
            <c:strRef>
              <c:f>TSLAPortfolioValueByPrice!$A$85:$A$196</c:f>
            </c:strRef>
          </c:cat>
          <c:val>
            <c:numRef>
              <c:f>TSLAPortfolioValueByPrice!$F$85:$F$196</c:f>
              <c:numCache/>
            </c:numRef>
          </c:val>
          <c:smooth val="0"/>
        </c:ser>
        <c:axId val="542577315"/>
        <c:axId val="214255445"/>
      </c:lineChart>
      <c:catAx>
        <c:axId val="542577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214255445"/>
      </c:catAx>
      <c:valAx>
        <c:axId val="2142554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Return (ROI)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2577315"/>
      </c:valAx>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Individual Spreads ($)</a:t>
            </a:r>
          </a:p>
        </c:rich>
      </c:tx>
      <c:overlay val="0"/>
    </c:title>
    <c:plotArea>
      <c:layout/>
      <c:lineChart>
        <c:ser>
          <c:idx val="0"/>
          <c:order val="0"/>
          <c:tx>
            <c:v>Dec 28 300/440</c:v>
          </c:tx>
          <c:spPr>
            <a:ln cmpd="sng">
              <a:solidFill>
                <a:srgbClr val="4285F4"/>
              </a:solidFill>
            </a:ln>
          </c:spPr>
          <c:marker>
            <c:symbol val="none"/>
          </c:marker>
          <c:cat>
            <c:strRef>
              <c:f>TSLAPortfolioValueByPrice!$A$85:$A$196</c:f>
            </c:strRef>
          </c:cat>
          <c:val>
            <c:numRef>
              <c:f>TSLAPortfolioValueByPrice!$G$85:$G$196</c:f>
              <c:numCache/>
            </c:numRef>
          </c:val>
          <c:smooth val="0"/>
        </c:ser>
        <c:ser>
          <c:idx val="1"/>
          <c:order val="1"/>
          <c:tx>
            <c:v>Jun 28 350/450</c:v>
          </c:tx>
          <c:spPr>
            <a:ln cmpd="sng">
              <a:solidFill>
                <a:srgbClr val="EA4335"/>
              </a:solidFill>
            </a:ln>
          </c:spPr>
          <c:marker>
            <c:symbol val="none"/>
          </c:marker>
          <c:cat>
            <c:strRef>
              <c:f>TSLAPortfolioValueByPrice!$A$85:$A$196</c:f>
            </c:strRef>
          </c:cat>
          <c:val>
            <c:numRef>
              <c:f>TSLAPortfolioValueByPrice!$H$85:$H$196</c:f>
              <c:numCache/>
            </c:numRef>
          </c:val>
          <c:smooth val="0"/>
        </c:ser>
        <c:ser>
          <c:idx val="2"/>
          <c:order val="2"/>
          <c:tx>
            <c:v>Dec 28 350/450</c:v>
          </c:tx>
          <c:spPr>
            <a:ln cmpd="sng">
              <a:solidFill>
                <a:srgbClr val="FBBC04"/>
              </a:solidFill>
            </a:ln>
          </c:spPr>
          <c:marker>
            <c:symbol val="none"/>
          </c:marker>
          <c:cat>
            <c:strRef>
              <c:f>TSLAPortfolioValueByPrice!$A$85:$A$196</c:f>
            </c:strRef>
          </c:cat>
          <c:val>
            <c:numRef>
              <c:f>TSLAPortfolioValueByPrice!$I$85:$I$196</c:f>
              <c:numCache/>
            </c:numRef>
          </c:val>
          <c:smooth val="0"/>
        </c:ser>
        <c:ser>
          <c:idx val="3"/>
          <c:order val="3"/>
          <c:tx>
            <c:v>Dec 28 350/550</c:v>
          </c:tx>
          <c:spPr>
            <a:ln cmpd="sng">
              <a:solidFill>
                <a:srgbClr val="34A853"/>
              </a:solidFill>
            </a:ln>
          </c:spPr>
          <c:marker>
            <c:symbol val="none"/>
          </c:marker>
          <c:cat>
            <c:strRef>
              <c:f>TSLAPortfolioValueByPrice!$A$85:$A$196</c:f>
            </c:strRef>
          </c:cat>
          <c:val>
            <c:numRef>
              <c:f>TSLAPortfolioValueByPrice!$J$85:$J$196</c:f>
              <c:numCache/>
            </c:numRef>
          </c:val>
          <c:smooth val="0"/>
        </c:ser>
        <c:ser>
          <c:idx val="4"/>
          <c:order val="4"/>
          <c:tx>
            <c:v>Dec 28 400/450</c:v>
          </c:tx>
          <c:spPr>
            <a:ln cmpd="sng">
              <a:solidFill>
                <a:srgbClr val="FF6D01"/>
              </a:solidFill>
            </a:ln>
          </c:spPr>
          <c:marker>
            <c:symbol val="none"/>
          </c:marker>
          <c:cat>
            <c:strRef>
              <c:f>TSLAPortfolioValueByPrice!$A$85:$A$196</c:f>
            </c:strRef>
          </c:cat>
          <c:val>
            <c:numRef>
              <c:f>TSLAPortfolioValueByPrice!$K$85:$K$196</c:f>
              <c:numCache/>
            </c:numRef>
          </c:val>
          <c:smooth val="0"/>
        </c:ser>
        <c:ser>
          <c:idx val="5"/>
          <c:order val="5"/>
          <c:tx>
            <c:v>Jun 28 400/550</c:v>
          </c:tx>
          <c:spPr>
            <a:ln cmpd="sng">
              <a:solidFill>
                <a:srgbClr val="46BDC6"/>
              </a:solidFill>
            </a:ln>
          </c:spPr>
          <c:marker>
            <c:symbol val="none"/>
          </c:marker>
          <c:cat>
            <c:strRef>
              <c:f>TSLAPortfolioValueByPrice!$A$85:$A$196</c:f>
            </c:strRef>
          </c:cat>
          <c:val>
            <c:numRef>
              <c:f>TSLAPortfolioValueByPrice!$L$85:$L$196</c:f>
              <c:numCache/>
            </c:numRef>
          </c:val>
          <c:smooth val="0"/>
        </c:ser>
        <c:ser>
          <c:idx val="6"/>
          <c:order val="6"/>
          <c:tx>
            <c:v>Dec 28 400/550</c:v>
          </c:tx>
          <c:spPr>
            <a:ln cmpd="sng">
              <a:solidFill>
                <a:srgbClr val="7BAAF7"/>
              </a:solidFill>
            </a:ln>
          </c:spPr>
          <c:marker>
            <c:symbol val="none"/>
          </c:marker>
          <c:cat>
            <c:strRef>
              <c:f>TSLAPortfolioValueByPrice!$A$85:$A$196</c:f>
            </c:strRef>
          </c:cat>
          <c:val>
            <c:numRef>
              <c:f>TSLAPortfolioValueByPrice!$M$85:$M$196</c:f>
              <c:numCache/>
            </c:numRef>
          </c:val>
          <c:smooth val="0"/>
        </c:ser>
        <c:ser>
          <c:idx val="7"/>
          <c:order val="7"/>
          <c:tx>
            <c:v>Dec 28 480/490</c:v>
          </c:tx>
          <c:spPr>
            <a:ln cmpd="sng">
              <a:solidFill>
                <a:srgbClr val="F07B72"/>
              </a:solidFill>
            </a:ln>
          </c:spPr>
          <c:marker>
            <c:symbol val="none"/>
          </c:marker>
          <c:cat>
            <c:strRef>
              <c:f>TSLAPortfolioValueByPrice!$A$85:$A$196</c:f>
            </c:strRef>
          </c:cat>
          <c:val>
            <c:numRef>
              <c:f>TSLAPortfolioValueByPrice!$N$85:$N$196</c:f>
              <c:numCache/>
            </c:numRef>
          </c:val>
          <c:smooth val="0"/>
        </c:ser>
        <c:ser>
          <c:idx val="8"/>
          <c:order val="8"/>
          <c:tx>
            <c:v>Dec 28 500/600</c:v>
          </c:tx>
          <c:spPr>
            <a:ln cmpd="sng">
              <a:solidFill>
                <a:srgbClr val="FCD04F"/>
              </a:solidFill>
            </a:ln>
          </c:spPr>
          <c:marker>
            <c:symbol val="none"/>
          </c:marker>
          <c:cat>
            <c:strRef>
              <c:f>TSLAPortfolioValueByPrice!$A$85:$A$196</c:f>
            </c:strRef>
          </c:cat>
          <c:val>
            <c:numRef>
              <c:f>TSLAPortfolioValueByPrice!$O$85:$O$196</c:f>
              <c:numCache/>
            </c:numRef>
          </c:val>
          <c:smooth val="0"/>
        </c:ser>
        <c:ser>
          <c:idx val="9"/>
          <c:order val="9"/>
          <c:tx>
            <c:v>Jun 28 500/700</c:v>
          </c:tx>
          <c:spPr>
            <a:ln cmpd="sng">
              <a:solidFill>
                <a:srgbClr val="71C287"/>
              </a:solidFill>
            </a:ln>
          </c:spPr>
          <c:marker>
            <c:symbol val="none"/>
          </c:marker>
          <c:cat>
            <c:strRef>
              <c:f>TSLAPortfolioValueByPrice!$A$85:$A$196</c:f>
            </c:strRef>
          </c:cat>
          <c:val>
            <c:numRef>
              <c:f>TSLAPortfolioValueByPrice!$P$85:$P$196</c:f>
              <c:numCache/>
            </c:numRef>
          </c:val>
          <c:smooth val="0"/>
        </c:ser>
        <c:ser>
          <c:idx val="10"/>
          <c:order val="10"/>
          <c:tx>
            <c:v>Dec 28 500/700</c:v>
          </c:tx>
          <c:spPr>
            <a:ln cmpd="sng">
              <a:solidFill>
                <a:srgbClr val="FF994D"/>
              </a:solidFill>
            </a:ln>
          </c:spPr>
          <c:marker>
            <c:symbol val="none"/>
          </c:marker>
          <c:cat>
            <c:strRef>
              <c:f>TSLAPortfolioValueByPrice!$A$85:$A$196</c:f>
            </c:strRef>
          </c:cat>
          <c:val>
            <c:numRef>
              <c:f>TSLAPortfolioValueByPrice!$Q$85:$Q$196</c:f>
              <c:numCache/>
            </c:numRef>
          </c:val>
          <c:smooth val="0"/>
        </c:ser>
        <c:ser>
          <c:idx val="11"/>
          <c:order val="11"/>
          <c:tx>
            <c:v>Jan 26 IC 380/450/450/580 (put)</c:v>
          </c:tx>
          <c:spPr>
            <a:ln cmpd="sng">
              <a:solidFill>
                <a:srgbClr val="7ED1D7"/>
              </a:solidFill>
            </a:ln>
          </c:spPr>
          <c:marker>
            <c:symbol val="none"/>
          </c:marker>
          <c:cat>
            <c:strRef>
              <c:f>TSLAPortfolioValueByPrice!$A$85:$A$196</c:f>
            </c:strRef>
          </c:cat>
          <c:val>
            <c:numRef>
              <c:f>TSLAPortfolioValueByPrice!$R$85:$R$196</c:f>
              <c:numCache/>
            </c:numRef>
          </c:val>
          <c:smooth val="0"/>
        </c:ser>
        <c:ser>
          <c:idx val="12"/>
          <c:order val="12"/>
          <c:tx>
            <c:v>Jan 26 IC 380/450/450/580 (call)</c:v>
          </c:tx>
          <c:spPr>
            <a:ln cmpd="sng">
              <a:solidFill>
                <a:srgbClr val="B3CEFB"/>
              </a:solidFill>
            </a:ln>
          </c:spPr>
          <c:marker>
            <c:symbol val="none"/>
          </c:marker>
          <c:cat>
            <c:strRef>
              <c:f>TSLAPortfolioValueByPrice!$A$85:$A$196</c:f>
            </c:strRef>
          </c:cat>
          <c:val>
            <c:numRef>
              <c:f>TSLAPortfolioValueByPrice!$S$85:$S$196</c:f>
              <c:numCache/>
            </c:numRef>
          </c:val>
          <c:smooth val="0"/>
        </c:ser>
        <c:axId val="1675641606"/>
        <c:axId val="1744052420"/>
      </c:lineChart>
      <c:catAx>
        <c:axId val="1675641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744052420"/>
      </c:catAx>
      <c:valAx>
        <c:axId val="1744052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Spread Value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5641606"/>
      </c:valAx>
    </c:plotArea>
    <c:legend>
      <c:legendPos val="r"/>
      <c:overlay val="0"/>
      <c:txPr>
        <a:bodyPr/>
        <a:lstStyle/>
        <a:p>
          <a:pPr lvl="0">
            <a:defRPr b="0">
              <a:solidFill>
                <a:srgbClr val="1A1A1A"/>
              </a:solidFill>
              <a:latin typeface="+mn-lt"/>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Individual Spreads ROI</a:t>
            </a:r>
          </a:p>
        </c:rich>
      </c:tx>
      <c:overlay val="0"/>
    </c:title>
    <c:plotArea>
      <c:layout/>
      <c:lineChart>
        <c:ser>
          <c:idx val="0"/>
          <c:order val="0"/>
          <c:tx>
            <c:v>Dec 28 300/440</c:v>
          </c:tx>
          <c:spPr>
            <a:ln cmpd="sng">
              <a:solidFill>
                <a:srgbClr val="4285F4"/>
              </a:solidFill>
            </a:ln>
          </c:spPr>
          <c:marker>
            <c:symbol val="none"/>
          </c:marker>
          <c:cat>
            <c:strRef>
              <c:f>TSLAPortfolioValueByPrice!$A$85:$A$196</c:f>
            </c:strRef>
          </c:cat>
          <c:val>
            <c:numRef>
              <c:f>TSLAPortfolioValueByPrice!$T$85:$T$196</c:f>
              <c:numCache/>
            </c:numRef>
          </c:val>
          <c:smooth val="0"/>
        </c:ser>
        <c:ser>
          <c:idx val="1"/>
          <c:order val="1"/>
          <c:tx>
            <c:v>Jun 28 350/450</c:v>
          </c:tx>
          <c:spPr>
            <a:ln cmpd="sng">
              <a:solidFill>
                <a:srgbClr val="EA4335"/>
              </a:solidFill>
            </a:ln>
          </c:spPr>
          <c:marker>
            <c:symbol val="none"/>
          </c:marker>
          <c:cat>
            <c:strRef>
              <c:f>TSLAPortfolioValueByPrice!$A$85:$A$196</c:f>
            </c:strRef>
          </c:cat>
          <c:val>
            <c:numRef>
              <c:f>TSLAPortfolioValueByPrice!$U$85:$U$196</c:f>
              <c:numCache/>
            </c:numRef>
          </c:val>
          <c:smooth val="0"/>
        </c:ser>
        <c:ser>
          <c:idx val="2"/>
          <c:order val="2"/>
          <c:tx>
            <c:v>Dec 28 350/450</c:v>
          </c:tx>
          <c:spPr>
            <a:ln cmpd="sng">
              <a:solidFill>
                <a:srgbClr val="FBBC04"/>
              </a:solidFill>
            </a:ln>
          </c:spPr>
          <c:marker>
            <c:symbol val="none"/>
          </c:marker>
          <c:cat>
            <c:strRef>
              <c:f>TSLAPortfolioValueByPrice!$A$85:$A$196</c:f>
            </c:strRef>
          </c:cat>
          <c:val>
            <c:numRef>
              <c:f>TSLAPortfolioValueByPrice!$V$85:$V$196</c:f>
              <c:numCache/>
            </c:numRef>
          </c:val>
          <c:smooth val="0"/>
        </c:ser>
        <c:ser>
          <c:idx val="3"/>
          <c:order val="3"/>
          <c:tx>
            <c:v>Dec 28 350/550</c:v>
          </c:tx>
          <c:spPr>
            <a:ln cmpd="sng">
              <a:solidFill>
                <a:srgbClr val="34A853"/>
              </a:solidFill>
            </a:ln>
          </c:spPr>
          <c:marker>
            <c:symbol val="none"/>
          </c:marker>
          <c:cat>
            <c:strRef>
              <c:f>TSLAPortfolioValueByPrice!$A$85:$A$196</c:f>
            </c:strRef>
          </c:cat>
          <c:val>
            <c:numRef>
              <c:f>TSLAPortfolioValueByPrice!$W$85:$W$196</c:f>
              <c:numCache/>
            </c:numRef>
          </c:val>
          <c:smooth val="0"/>
        </c:ser>
        <c:ser>
          <c:idx val="4"/>
          <c:order val="4"/>
          <c:tx>
            <c:v>Dec 28 400/450</c:v>
          </c:tx>
          <c:spPr>
            <a:ln cmpd="sng">
              <a:solidFill>
                <a:srgbClr val="FF6D01"/>
              </a:solidFill>
            </a:ln>
          </c:spPr>
          <c:marker>
            <c:symbol val="none"/>
          </c:marker>
          <c:cat>
            <c:strRef>
              <c:f>TSLAPortfolioValueByPrice!$A$85:$A$196</c:f>
            </c:strRef>
          </c:cat>
          <c:val>
            <c:numRef>
              <c:f>TSLAPortfolioValueByPrice!$X$85:$X$196</c:f>
              <c:numCache/>
            </c:numRef>
          </c:val>
          <c:smooth val="0"/>
        </c:ser>
        <c:ser>
          <c:idx val="5"/>
          <c:order val="5"/>
          <c:tx>
            <c:v>Jun 28 400/550</c:v>
          </c:tx>
          <c:spPr>
            <a:ln cmpd="sng">
              <a:solidFill>
                <a:srgbClr val="46BDC6"/>
              </a:solidFill>
            </a:ln>
          </c:spPr>
          <c:marker>
            <c:symbol val="none"/>
          </c:marker>
          <c:cat>
            <c:strRef>
              <c:f>TSLAPortfolioValueByPrice!$A$85:$A$196</c:f>
            </c:strRef>
          </c:cat>
          <c:val>
            <c:numRef>
              <c:f>TSLAPortfolioValueByPrice!$Y$85:$Y$196</c:f>
              <c:numCache/>
            </c:numRef>
          </c:val>
          <c:smooth val="0"/>
        </c:ser>
        <c:ser>
          <c:idx val="6"/>
          <c:order val="6"/>
          <c:tx>
            <c:v>Dec 28 400/550</c:v>
          </c:tx>
          <c:spPr>
            <a:ln cmpd="sng">
              <a:solidFill>
                <a:srgbClr val="7BAAF7"/>
              </a:solidFill>
            </a:ln>
          </c:spPr>
          <c:marker>
            <c:symbol val="none"/>
          </c:marker>
          <c:cat>
            <c:strRef>
              <c:f>TSLAPortfolioValueByPrice!$A$85:$A$196</c:f>
            </c:strRef>
          </c:cat>
          <c:val>
            <c:numRef>
              <c:f>TSLAPortfolioValueByPrice!$Z$85:$Z$196</c:f>
              <c:numCache/>
            </c:numRef>
          </c:val>
          <c:smooth val="0"/>
        </c:ser>
        <c:ser>
          <c:idx val="7"/>
          <c:order val="7"/>
          <c:tx>
            <c:v>Dec 28 480/490</c:v>
          </c:tx>
          <c:spPr>
            <a:ln cmpd="sng">
              <a:solidFill>
                <a:srgbClr val="F07B72"/>
              </a:solidFill>
            </a:ln>
          </c:spPr>
          <c:marker>
            <c:symbol val="none"/>
          </c:marker>
          <c:cat>
            <c:strRef>
              <c:f>TSLAPortfolioValueByPrice!$A$85:$A$196</c:f>
            </c:strRef>
          </c:cat>
          <c:val>
            <c:numRef>
              <c:f>TSLAPortfolioValueByPrice!$AA$85:$AA$196</c:f>
              <c:numCache/>
            </c:numRef>
          </c:val>
          <c:smooth val="0"/>
        </c:ser>
        <c:ser>
          <c:idx val="8"/>
          <c:order val="8"/>
          <c:tx>
            <c:v>Dec 28 500/600</c:v>
          </c:tx>
          <c:spPr>
            <a:ln cmpd="sng">
              <a:solidFill>
                <a:srgbClr val="FCD04F"/>
              </a:solidFill>
            </a:ln>
          </c:spPr>
          <c:marker>
            <c:symbol val="none"/>
          </c:marker>
          <c:cat>
            <c:strRef>
              <c:f>TSLAPortfolioValueByPrice!$A$85:$A$196</c:f>
            </c:strRef>
          </c:cat>
          <c:val>
            <c:numRef>
              <c:f>TSLAPortfolioValueByPrice!$AB$85:$AB$196</c:f>
              <c:numCache/>
            </c:numRef>
          </c:val>
          <c:smooth val="0"/>
        </c:ser>
        <c:ser>
          <c:idx val="9"/>
          <c:order val="9"/>
          <c:tx>
            <c:v>Jun 28 500/700</c:v>
          </c:tx>
          <c:spPr>
            <a:ln cmpd="sng">
              <a:solidFill>
                <a:srgbClr val="71C287"/>
              </a:solidFill>
            </a:ln>
          </c:spPr>
          <c:marker>
            <c:symbol val="none"/>
          </c:marker>
          <c:cat>
            <c:strRef>
              <c:f>TSLAPortfolioValueByPrice!$A$85:$A$196</c:f>
            </c:strRef>
          </c:cat>
          <c:val>
            <c:numRef>
              <c:f>TSLAPortfolioValueByPrice!$AC$85:$AC$196</c:f>
              <c:numCache/>
            </c:numRef>
          </c:val>
          <c:smooth val="0"/>
        </c:ser>
        <c:ser>
          <c:idx val="10"/>
          <c:order val="10"/>
          <c:tx>
            <c:v>Dec 28 500/700</c:v>
          </c:tx>
          <c:spPr>
            <a:ln cmpd="sng">
              <a:solidFill>
                <a:srgbClr val="FF994D"/>
              </a:solidFill>
            </a:ln>
          </c:spPr>
          <c:marker>
            <c:symbol val="none"/>
          </c:marker>
          <c:cat>
            <c:strRef>
              <c:f>TSLAPortfolioValueByPrice!$A$85:$A$196</c:f>
            </c:strRef>
          </c:cat>
          <c:val>
            <c:numRef>
              <c:f>TSLAPortfolioValueByPrice!$AD$85:$AD$196</c:f>
              <c:numCache/>
            </c:numRef>
          </c:val>
          <c:smooth val="0"/>
        </c:ser>
        <c:ser>
          <c:idx val="11"/>
          <c:order val="11"/>
          <c:tx>
            <c:v>Jan 26 IC 380/450/450/580 (put)</c:v>
          </c:tx>
          <c:spPr>
            <a:ln cmpd="sng">
              <a:solidFill>
                <a:srgbClr val="7ED1D7"/>
              </a:solidFill>
            </a:ln>
          </c:spPr>
          <c:marker>
            <c:symbol val="none"/>
          </c:marker>
          <c:cat>
            <c:strRef>
              <c:f>TSLAPortfolioValueByPrice!$A$85:$A$196</c:f>
            </c:strRef>
          </c:cat>
          <c:val>
            <c:numRef>
              <c:f>TSLAPortfolioValueByPrice!$AE$85:$AE$196</c:f>
              <c:numCache/>
            </c:numRef>
          </c:val>
          <c:smooth val="0"/>
        </c:ser>
        <c:ser>
          <c:idx val="12"/>
          <c:order val="12"/>
          <c:tx>
            <c:v>Jan 26 IC 380/450/450/580 (call)</c:v>
          </c:tx>
          <c:spPr>
            <a:ln cmpd="sng">
              <a:solidFill>
                <a:srgbClr val="B3CEFB"/>
              </a:solidFill>
            </a:ln>
          </c:spPr>
          <c:marker>
            <c:symbol val="none"/>
          </c:marker>
          <c:cat>
            <c:strRef>
              <c:f>TSLAPortfolioValueByPrice!$A$85:$A$196</c:f>
            </c:strRef>
          </c:cat>
          <c:val>
            <c:numRef>
              <c:f>TSLAPortfolioValueByPrice!$AF$85:$AF$196</c:f>
              <c:numCache/>
            </c:numRef>
          </c:val>
          <c:smooth val="0"/>
        </c:ser>
        <c:axId val="621134520"/>
        <c:axId val="1198269827"/>
      </c:lineChart>
      <c:catAx>
        <c:axId val="6211345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198269827"/>
      </c:catAx>
      <c:valAx>
        <c:axId val="1198269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Return (ROI)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134520"/>
      </c:valAx>
    </c:plotArea>
    <c:legend>
      <c:legendPos val="r"/>
      <c:overlay val="0"/>
      <c:txPr>
        <a:bodyPr/>
        <a:lstStyle/>
        <a:p>
          <a:pPr lvl="0">
            <a:defRPr b="0">
              <a:solidFill>
                <a:srgbClr val="1A1A1A"/>
              </a:solidFill>
              <a:latin typeface="+mn-lt"/>
            </a:defRPr>
          </a:pPr>
        </a:p>
      </c:txPr>
    </c:legend>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14</xdr:row>
      <xdr:rowOff>0</xdr:rowOff>
    </xdr:from>
    <xdr:ext cx="5715000" cy="35337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28</xdr:row>
      <xdr:rowOff>0</xdr:rowOff>
    </xdr:from>
    <xdr:ext cx="5715000" cy="35337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42</xdr:row>
      <xdr:rowOff>0</xdr:rowOff>
    </xdr:from>
    <xdr:ext cx="5715000" cy="35337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k Riggins" id="{b9570b6b-6276-434e-b7dc-cdb99b0659ec}" providerId="google-sheets"/>
</x18tc:personList>
</file>

<file path=xl/tables/table1.xml><?xml version="1.0" encoding="utf-8"?>
<table xmlns="http://schemas.openxmlformats.org/spreadsheetml/2006/main" totalsRowCount="1" ref="B3:S83" displayName="BullCallSpreads" name="BullCallSpreads" id="1">
  <autoFilter ref="$B$3:$S$83"/>
  <tableColumns count="18">
    <tableColumn name="Symbol" id="1"/>
    <tableColumn name="Spread" id="2"/>
    <tableColumn name="Long Strike" id="3"/>
    <tableColumn name="Short Strike" id="4"/>
    <tableColumn name="Break Even" id="5"/>
    <tableColumn name="Expiration" id="6"/>
    <tableColumn name="Rec Debit" id="7"/>
    <tableColumn name="Rec Credit" id="8"/>
    <tableColumn name="Link" id="9"/>
    <tableColumn name="Target" id="10"/>
    <tableColumn totalsRowFunction="custom" name="Target Invst" id="11"/>
    <tableColumn name="Contracts" id="12"/>
    <tableColumn name="Debit" id="13"/>
    <tableColumn name="Avg Debit" id="14"/>
    <tableColumn totalsRowFunction="custom" name="Investment" id="15"/>
    <tableColumn totalsRowFunction="custom" name="Gain" id="16"/>
    <tableColumn totalsRowFunction="custom" name="Gain %" id="17"/>
    <tableColumn name="Max Gain %" id="18"/>
  </tableColumns>
  <tableStyleInfo name="Positions-style" showColumnStripes="0" showFirstColumn="1" showLastColumn="1" showRowStripes="1"/>
</table>
</file>

<file path=xl/tables/table2.xml><?xml version="1.0" encoding="utf-8"?>
<table xmlns="http://schemas.openxmlformats.org/spreadsheetml/2006/main" totalsRowCount="1" ref="U3:AJ6" displayName="Iron_Condors" name="Iron_Condors" id="2">
  <tableColumns count="16">
    <tableColumn name="Symbol" id="1"/>
    <tableColumn name="Expiration" id="2"/>
    <tableColumn name="Status" id="3"/>
    <tableColumn name="Start" id="4"/>
    <tableColumn name="Link" id="5"/>
    <tableColumn name="Buy Put" id="6"/>
    <tableColumn name="Sell put" id="7"/>
    <tableColumn name="Sell Call" id="8"/>
    <tableColumn name="Buy Call" id="9"/>
    <tableColumn name="Break Even" id="10"/>
    <tableColumn name="Credit" id="11"/>
    <tableColumn name="Rec Credit" id="12"/>
    <tableColumn name="Rec Debit" id="13"/>
    <tableColumn name="Qty" id="14"/>
    <tableColumn totalsRowFunction="custom" name="Net" id="15"/>
    <tableColumn totalsRowFunction="custom" name="Gain" id="16"/>
  </tableColumns>
  <tableStyleInfo name="Positions-style 2" showColumnStripes="0" showFirstColumn="1" showLastColumn="1" showRowStripes="1"/>
</table>
</file>

<file path=xl/tables/table3.xml><?xml version="1.0" encoding="utf-8"?>
<table xmlns="http://schemas.openxmlformats.org/spreadsheetml/2006/main" ref="U9:AC21" displayName="Stocks" name="Stocks" id="3">
  <tableColumns count="9">
    <tableColumn name="Symbol" id="1"/>
    <tableColumn name="Date" id="2"/>
    <tableColumn name="Price" id="3"/>
    <tableColumn name="Qty" id="4"/>
    <tableColumn name="Ave Price" id="5"/>
    <tableColumn name="Investment" id="6"/>
    <tableColumn name="CurrentPrice" id="7"/>
    <tableColumn name="Net" id="8"/>
    <tableColumn name="Gain" id="9"/>
  </tableColumns>
  <tableStyleInfo name="Positions-style 3" showColumnStripes="0" showFirstColumn="1" showLastColumn="1" showRowStripes="1"/>
</table>
</file>

<file path=xl/tables/table4.xml><?xml version="1.0" encoding="utf-8"?>
<table xmlns="http://schemas.openxmlformats.org/spreadsheetml/2006/main" ref="A1:L867" displayName="OptionPricesUploaded" name="OptionPricesUploaded" id="4">
  <autoFilter ref="$A$1:$L$867"/>
  <tableColumns count="12">
    <tableColumn name="symbol" id="1"/>
    <tableColumn name="expiration" id="2"/>
    <tableColumn name="strike" id="3"/>
    <tableColumn name="type" id="4"/>
    <tableColumn name="bid" id="5"/>
    <tableColumn name="mid" id="6"/>
    <tableColumn name="ask" id="7"/>
    <tableColumn name="iv" id="8"/>
    <tableColumn name="delta" id="9"/>
    <tableColumn name="volume" id="10"/>
    <tableColumn name="openint" id="11"/>
    <tableColumn name="moneyness" id="12"/>
  </tableColumns>
  <tableStyleInfo name="OptionPricesUploaded-style" showColumnStripes="0" showFirstColumn="1" showLastColumn="1" showRowStripes="1"/>
</table>
</file>

<file path=xl/tables/table5.xml><?xml version="1.0" encoding="utf-8"?>
<table xmlns="http://schemas.openxmlformats.org/spreadsheetml/2006/main" headerRowCount="0" ref="A2:C17" displayName="Table_1" name="Table_1" id="5">
  <tableColumns count="3">
    <tableColumn name="Column1" id="1"/>
    <tableColumn name="Column2" id="2"/>
    <tableColumn name="Column3" id="3"/>
  </tableColumns>
  <tableStyleInfo name="SpreadFinderConfi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9T17:50:23.00" personId="{b9570b6b-6276-434e-b7dc-cdb99b0659ec}" id="{603570b5-9c82-40d2-8bed-58276ca465e2}" done="0">
    <x18tc:text xml:space="preserve">Surprisingly small because you can only buy a few contracts</x18tc:text>
  </x18tc:threadedComment>
  <x18tc:threadedComment ref="A1" dT="2025-12-19T19:23:37.00" personId="{b9570b6b-6276-434e-b7dc-cdb99b0659ec}" id="{4cbe788d-81bf-4288-9957-3f1c227a4883}" done="0">
    <x18tc:text xml:space="preserve">Number of shares or contracts we can buy with our Investment, rounded down</x18tc:text>
  </x18tc:threadedComment>
  <x18tc:threadedComment ref="A1" dT="2026-01-13T13:37:29.00" personId="{b9570b6b-6276-434e-b7dc-cdb99b0659ec}" id="{345c8772-bca5-41bd-a5fc-fca723b68dd9}" done="0">
    <x18tc:text xml:space="preserve">TSLA/OptionPrices/Barchart.com</x18tc:text>
    <x18tc:extLst>
      <ext uri="{F7C98A9C-CBB3-438F-8F68-D28B6AF4A901}">
        <xltc2:checksum/>
        <xltc2:hyperlink startIndex="18" length="12" url="http://Barchart.com"/>
      </ext>
    </x18tc:extLst>
  </x18tc:threadedComment>
  <x18tc:threadedComment ref="A1" dT="2025-12-19T19:25:41.00" personId="{b9570b6b-6276-434e-b7dc-cdb99b0659ec}" id="{e9c2cb0c-8d22-41da-88d9-2347c7344134}" done="0">
    <x18tc:text xml:space="preserve">Without fractional quantities, we cannot invest 100% of available funds</x18tc:text>
  </x18tc:threadedComment>
  <x18tc:threadedComment ref="A1" dT="2025-12-19T15:32:46.00" personId="{b9570b6b-6276-434e-b7dc-cdb99b0659ec}" id="{4ebd48da-49b5-4bf5-8104-560974e47f73}" done="0">
    <x18tc:text xml:space="preserve">When buying options, we have to pay closer to Ask than Bid</x18tc:text>
  </x18tc:threadedComment>
  <x18tc:threadedComment ref="A1" dT="2026-01-03T15:08:05.00" personId="{b9570b6b-6276-434e-b7dc-cdb99b0659ec}" id="{14df535b-ef31-42c5-8359-fb7e611f9531}" done="0">
    <x18tc:text xml:space="preserve">Net price of the spread after buying the low leg and selling the upper one</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optionstrat.com/V0osZTQKda2n" TargetMode="External"/><Relationship Id="rId22" Type="http://schemas.openxmlformats.org/officeDocument/2006/relationships/table" Target="../tables/table1.xml"/><Relationship Id="rId10" Type="http://schemas.openxmlformats.org/officeDocument/2006/relationships/hyperlink" Target="https://optionstrat.com/vOPx0VrfIOAb" TargetMode="External"/><Relationship Id="rId13" Type="http://schemas.openxmlformats.org/officeDocument/2006/relationships/hyperlink" Target="https://optionstrat.com/iHrBQIiN8IxB" TargetMode="External"/><Relationship Id="rId24" Type="http://schemas.openxmlformats.org/officeDocument/2006/relationships/table" Target="../tables/table3.xml"/><Relationship Id="rId12" Type="http://schemas.openxmlformats.org/officeDocument/2006/relationships/hyperlink" Target="https://optionstrat.com/NyquCCW8b2ee" TargetMode="External"/><Relationship Id="rId23" Type="http://schemas.openxmlformats.org/officeDocument/2006/relationships/table" Target="../tables/table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optionstrat.com/FTIl2EggYZoo" TargetMode="External"/><Relationship Id="rId9" Type="http://schemas.openxmlformats.org/officeDocument/2006/relationships/hyperlink" Target="https://optionstrat.com/LYejacDbLSwI" TargetMode="External"/><Relationship Id="rId15" Type="http://schemas.openxmlformats.org/officeDocument/2006/relationships/hyperlink" Target="https://optionstrat.com/G7N3PsJdJy2e" TargetMode="External"/><Relationship Id="rId14" Type="http://schemas.openxmlformats.org/officeDocument/2006/relationships/hyperlink" Target="https://optionstrat.com/iO6ipVOY0Xdk" TargetMode="External"/><Relationship Id="rId17" Type="http://schemas.openxmlformats.org/officeDocument/2006/relationships/drawing" Target="../drawings/drawing1.xml"/><Relationship Id="rId16" Type="http://schemas.openxmlformats.org/officeDocument/2006/relationships/hyperlink" Target="https://optionstrat.com/8I3KWqZfN1Xs" TargetMode="External"/><Relationship Id="rId5" Type="http://schemas.openxmlformats.org/officeDocument/2006/relationships/hyperlink" Target="https://optionstrat.com/VOUvLKt884pn" TargetMode="External"/><Relationship Id="rId6" Type="http://schemas.openxmlformats.org/officeDocument/2006/relationships/hyperlink" Target="https://optionstrat.com/XKUiiOIeBNHm" TargetMode="External"/><Relationship Id="rId18" Type="http://schemas.openxmlformats.org/officeDocument/2006/relationships/vmlDrawing" Target="../drawings/vmlDrawing1.vml"/><Relationship Id="rId7" Type="http://schemas.openxmlformats.org/officeDocument/2006/relationships/hyperlink" Target="https://optionstrat.com/TG7vQjv91ABh" TargetMode="External"/><Relationship Id="rId8" Type="http://schemas.openxmlformats.org/officeDocument/2006/relationships/hyperlink" Target="https://optionstrat.com/PxIITSwWeXf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4" max="4" width="11.88"/>
    <col customWidth="1" min="6" max="6" width="10.63"/>
    <col customWidth="1" min="7" max="7" width="16.88"/>
    <col customWidth="1" min="8" max="8" width="17.25"/>
    <col customWidth="1" min="9" max="9" width="19.25"/>
    <col customWidth="1" min="10" max="10" width="13.75"/>
    <col customWidth="1" min="11" max="11" width="10.13"/>
    <col customWidth="1" min="15" max="15" width="10.38"/>
    <col customWidth="1" min="16" max="16" width="13.0"/>
    <col customWidth="1" min="17" max="17" width="14.38"/>
    <col customWidth="1" min="18" max="18" width="9.88"/>
    <col customWidth="1" min="19" max="19" width="11.0"/>
    <col customWidth="1" min="20" max="20" width="14.25"/>
    <col customWidth="1" min="21" max="21" width="11.63"/>
    <col customWidth="1" min="22" max="23" width="12.75"/>
    <col customWidth="1" min="24" max="24" width="10.25"/>
    <col customWidth="1" min="25" max="25" width="10.88"/>
    <col customWidth="1" min="26" max="26" width="21.88"/>
    <col customWidth="1" min="27" max="27" width="11.5"/>
    <col customWidth="1" min="28" max="28" width="10.5"/>
    <col customWidth="1" min="29" max="29" width="12.63"/>
    <col customWidth="1" min="30" max="30" width="9.13"/>
    <col customWidth="1" min="31" max="31" width="11.38"/>
  </cols>
  <sheetData>
    <row r="1">
      <c r="A1" s="1" t="s">
        <v>0</v>
      </c>
      <c r="D1" s="2"/>
      <c r="E1" s="2"/>
      <c r="F1" s="3"/>
      <c r="G1" s="2"/>
      <c r="K1" s="4"/>
    </row>
    <row r="2">
      <c r="D2" s="2"/>
      <c r="E2" s="2"/>
      <c r="F2" s="5"/>
      <c r="G2" s="2"/>
      <c r="K2" s="4"/>
    </row>
    <row r="3" ht="22.5" customHeight="1">
      <c r="B3" s="6" t="s">
        <v>1</v>
      </c>
      <c r="C3" s="6" t="s">
        <v>2</v>
      </c>
      <c r="D3" s="7" t="s">
        <v>3</v>
      </c>
      <c r="E3" s="7" t="s">
        <v>4</v>
      </c>
      <c r="F3" s="8" t="s">
        <v>5</v>
      </c>
      <c r="G3" s="9" t="s">
        <v>6</v>
      </c>
      <c r="H3" s="10" t="s">
        <v>7</v>
      </c>
      <c r="I3" s="10" t="s">
        <v>8</v>
      </c>
      <c r="J3" s="6" t="s">
        <v>9</v>
      </c>
      <c r="K3" s="11" t="s">
        <v>10</v>
      </c>
      <c r="L3" s="7" t="s">
        <v>11</v>
      </c>
      <c r="M3" s="6" t="s">
        <v>12</v>
      </c>
      <c r="N3" s="6" t="s">
        <v>13</v>
      </c>
      <c r="O3" s="12" t="s">
        <v>14</v>
      </c>
      <c r="P3" s="13" t="s">
        <v>15</v>
      </c>
      <c r="Q3" s="13" t="s">
        <v>16</v>
      </c>
      <c r="R3" s="13" t="s">
        <v>17</v>
      </c>
      <c r="S3" s="14" t="s">
        <v>18</v>
      </c>
      <c r="U3" s="6" t="s">
        <v>1</v>
      </c>
      <c r="V3" s="6" t="s">
        <v>6</v>
      </c>
      <c r="W3" s="10" t="s">
        <v>19</v>
      </c>
      <c r="X3" s="10" t="s">
        <v>20</v>
      </c>
      <c r="Y3" s="6" t="s">
        <v>9</v>
      </c>
      <c r="Z3" s="6" t="s">
        <v>21</v>
      </c>
      <c r="AA3" s="6" t="s">
        <v>22</v>
      </c>
      <c r="AB3" s="6" t="s">
        <v>23</v>
      </c>
      <c r="AC3" s="6" t="s">
        <v>24</v>
      </c>
      <c r="AD3" s="7" t="s">
        <v>5</v>
      </c>
      <c r="AE3" s="6" t="s">
        <v>25</v>
      </c>
      <c r="AF3" s="10" t="s">
        <v>8</v>
      </c>
      <c r="AG3" s="10" t="s">
        <v>7</v>
      </c>
      <c r="AH3" s="6" t="s">
        <v>26</v>
      </c>
      <c r="AI3" s="6" t="s">
        <v>27</v>
      </c>
      <c r="AJ3" s="13" t="s">
        <v>16</v>
      </c>
    </row>
    <row r="4" ht="22.5" customHeight="1">
      <c r="B4" s="15" t="s">
        <v>28</v>
      </c>
      <c r="C4" s="15" t="s">
        <v>29</v>
      </c>
      <c r="D4" s="16">
        <f>IFERROR(__xludf.DUMMYFUNCTION("index(split(index(SPLIT($C4, "" ""),1), ""/"", 1),1)"),300.0)</f>
        <v>300</v>
      </c>
      <c r="E4" s="16">
        <f>IFERROR(__xludf.DUMMYFUNCTION("index(split(index(SPLIT($C4, "" ""),1), ""/"", 1),2)"),440.0)</f>
        <v>440</v>
      </c>
      <c r="F4" s="17">
        <f>D4+O4</f>
        <v>357</v>
      </c>
      <c r="G4" s="18">
        <v>47102.0</v>
      </c>
      <c r="H4" s="19">
        <f>recommendBullCallSpreadOpenDebit($B4, $G4, $D4, $E4, 60)</f>
        <v>57.72</v>
      </c>
      <c r="I4" s="19">
        <f>recommendBullCallSpreadCloseCredit($B4, $G4, $D4, $E4, 60)</f>
        <v>52.78</v>
      </c>
      <c r="J4" s="20" t="s">
        <v>30</v>
      </c>
      <c r="K4" s="21">
        <v>16.0</v>
      </c>
      <c r="L4" s="19">
        <f>100*K4*H4</f>
        <v>92352</v>
      </c>
      <c r="M4" s="22">
        <f>sum(M5:M8)</f>
        <v>7</v>
      </c>
      <c r="O4" s="23">
        <f>IF(COUNTA(M5:M8)=0, H4, SUMPRODUCT(M5:M8, N5:N8) / SUM(M5:M8))</f>
        <v>57</v>
      </c>
      <c r="P4" s="24">
        <f t="shared" ref="P4:P16" si="1">IF(LEN(O4), O4*M4*100, "")</f>
        <v>39900</v>
      </c>
      <c r="Q4" s="23">
        <f>(I4-O4)*100*M4</f>
        <v>-2954</v>
      </c>
      <c r="R4" s="25">
        <f>IFERROR(Q4/P4, 0)</f>
        <v>-0.07403508772</v>
      </c>
      <c r="S4" s="25">
        <f>(E4 - D4 - O4) / O4</f>
        <v>1.456140351</v>
      </c>
      <c r="U4" s="19" t="s">
        <v>28</v>
      </c>
      <c r="V4" s="26">
        <v>46028.0</v>
      </c>
      <c r="W4" s="27" t="s">
        <v>31</v>
      </c>
      <c r="X4" s="26">
        <v>46036.0</v>
      </c>
      <c r="Y4" s="28" t="s">
        <v>32</v>
      </c>
      <c r="Z4" s="19">
        <v>380.0</v>
      </c>
      <c r="AA4" s="19">
        <v>450.0</v>
      </c>
      <c r="AB4" s="19">
        <v>450.0</v>
      </c>
      <c r="AC4" s="19">
        <v>580.0</v>
      </c>
      <c r="AD4" s="19" t="str">
        <f t="shared" ref="AD4:AD5" si="2">(AA4 - AE4) &amp; " - " &amp; (AB4 + AE4)</f>
        <v>405.9 - 494.1</v>
      </c>
      <c r="AE4" s="19">
        <v>44.1</v>
      </c>
      <c r="AF4" s="19" t="str">
        <f t="shared" ref="AF4:AF5" si="3">recommendIronCondorOpenCredit(
  $U4,
  $V4,
  $Z4,
  $AA4,
  $AB4,
  $AC4,
  60)</f>
        <v>#No Data for Buy Put:TSLA 2026-01-06 @380</v>
      </c>
      <c r="AG4" s="19">
        <v>35.0</v>
      </c>
      <c r="AH4" s="19">
        <v>2.0</v>
      </c>
      <c r="AI4" s="23">
        <f t="shared" ref="AI4:AI5" si="4">AH4*AE4*100</f>
        <v>8820</v>
      </c>
      <c r="AJ4" s="23">
        <f t="shared" ref="AJ4:AJ5" si="5">(AE4-AG4)*AH4*100</f>
        <v>1820</v>
      </c>
    </row>
    <row r="5" ht="22.5" customHeight="1">
      <c r="B5" s="15"/>
      <c r="C5" s="15"/>
      <c r="D5" s="16"/>
      <c r="E5" s="16"/>
      <c r="F5" s="29"/>
      <c r="G5" s="30"/>
      <c r="K5" s="31">
        <v>46042.0</v>
      </c>
      <c r="M5" s="19">
        <v>7.0</v>
      </c>
      <c r="N5" s="19">
        <v>57.0</v>
      </c>
      <c r="O5" s="23" t="str">
        <f>IF(COUNTA(M6:M9)=0, "", SUMPRODUCT(M6:M9, N6:N9) / SUM(M6:M9))</f>
        <v/>
      </c>
      <c r="P5" s="24" t="str">
        <f t="shared" si="1"/>
        <v/>
      </c>
      <c r="R5" s="25"/>
      <c r="S5" s="25"/>
      <c r="U5" s="19" t="s">
        <v>33</v>
      </c>
      <c r="V5" s="26">
        <v>46059.0</v>
      </c>
      <c r="W5" s="27" t="s">
        <v>34</v>
      </c>
      <c r="X5" s="26">
        <v>46034.0</v>
      </c>
      <c r="Y5" s="32" t="s">
        <v>35</v>
      </c>
      <c r="Z5" s="19">
        <v>220.0</v>
      </c>
      <c r="AA5" s="19">
        <v>235.0</v>
      </c>
      <c r="AB5" s="19">
        <v>260.0</v>
      </c>
      <c r="AC5" s="19">
        <v>275.0</v>
      </c>
      <c r="AD5" s="19" t="str">
        <f t="shared" si="2"/>
        <v>228.7 - 266.3</v>
      </c>
      <c r="AE5" s="19">
        <v>6.3</v>
      </c>
      <c r="AF5" s="19">
        <f t="shared" si="3"/>
        <v>6.53</v>
      </c>
      <c r="AG5" s="19">
        <v>7.97</v>
      </c>
      <c r="AH5" s="19">
        <v>10.0</v>
      </c>
      <c r="AI5" s="23">
        <f t="shared" si="4"/>
        <v>6300</v>
      </c>
      <c r="AJ5" s="23">
        <f t="shared" si="5"/>
        <v>-1670</v>
      </c>
    </row>
    <row r="6" ht="22.5" customHeight="1">
      <c r="B6" s="15"/>
      <c r="C6" s="15"/>
      <c r="D6" s="16"/>
      <c r="E6" s="16"/>
      <c r="F6" s="29"/>
      <c r="G6" s="30"/>
      <c r="K6" s="21"/>
      <c r="L6" s="33"/>
      <c r="M6" s="33"/>
      <c r="P6" s="24" t="str">
        <f t="shared" si="1"/>
        <v/>
      </c>
      <c r="R6" s="25"/>
      <c r="S6" s="25"/>
      <c r="U6" s="34"/>
      <c r="V6" s="34"/>
      <c r="W6" s="34"/>
      <c r="X6" s="34"/>
      <c r="Y6" s="34"/>
      <c r="Z6" s="34"/>
      <c r="AA6" s="34"/>
      <c r="AB6" s="34"/>
      <c r="AC6" s="34"/>
      <c r="AD6" s="34"/>
      <c r="AE6" s="34"/>
      <c r="AF6" s="34"/>
      <c r="AG6" s="34"/>
      <c r="AH6" s="34"/>
      <c r="AI6" s="35">
        <f>SUM(Iron_Condors[Net])</f>
        <v>15120</v>
      </c>
      <c r="AJ6" s="35">
        <f>SUM(Iron_Condors[Gain])</f>
        <v>150</v>
      </c>
    </row>
    <row r="7" ht="22.5" customHeight="1">
      <c r="B7" s="15"/>
      <c r="C7" s="15"/>
      <c r="D7" s="16"/>
      <c r="E7" s="16"/>
      <c r="F7" s="29"/>
      <c r="G7" s="30"/>
      <c r="K7" s="21"/>
      <c r="L7" s="33"/>
      <c r="M7" s="33"/>
      <c r="P7" s="24" t="str">
        <f t="shared" si="1"/>
        <v/>
      </c>
      <c r="R7" s="25"/>
      <c r="S7" s="25"/>
    </row>
    <row r="8" ht="22.5" customHeight="1">
      <c r="B8" s="15"/>
      <c r="C8" s="15"/>
      <c r="D8" s="16"/>
      <c r="E8" s="16"/>
      <c r="F8" s="29"/>
      <c r="G8" s="30"/>
      <c r="K8" s="21"/>
      <c r="L8" s="33"/>
      <c r="M8" s="33"/>
      <c r="P8" s="24" t="str">
        <f t="shared" si="1"/>
        <v/>
      </c>
      <c r="R8" s="25"/>
      <c r="S8" s="25"/>
    </row>
    <row r="9" ht="22.5" customHeight="1">
      <c r="B9" s="36"/>
      <c r="C9" s="36"/>
      <c r="D9" s="37"/>
      <c r="E9" s="37"/>
      <c r="F9" s="38"/>
      <c r="G9" s="39"/>
      <c r="H9" s="40"/>
      <c r="I9" s="40"/>
      <c r="J9" s="40"/>
      <c r="K9" s="41"/>
      <c r="L9" s="42"/>
      <c r="M9" s="42"/>
      <c r="N9" s="40"/>
      <c r="O9" s="40"/>
      <c r="P9" s="43" t="str">
        <f t="shared" si="1"/>
        <v/>
      </c>
      <c r="Q9" s="43" t="str">
        <f t="shared" ref="Q9:S9" si="6">IF(LEN(P9), P9*N9*100, "")</f>
        <v/>
      </c>
      <c r="R9" s="43" t="str">
        <f t="shared" si="6"/>
        <v/>
      </c>
      <c r="S9" s="44" t="str">
        <f t="shared" si="6"/>
        <v/>
      </c>
      <c r="U9" s="6" t="s">
        <v>1</v>
      </c>
      <c r="V9" s="6" t="s">
        <v>36</v>
      </c>
      <c r="W9" s="6" t="s">
        <v>37</v>
      </c>
      <c r="X9" s="6" t="s">
        <v>26</v>
      </c>
      <c r="Y9" s="6" t="s">
        <v>38</v>
      </c>
      <c r="Z9" s="6" t="s">
        <v>15</v>
      </c>
      <c r="AA9" s="13" t="s">
        <v>39</v>
      </c>
      <c r="AB9" s="13" t="s">
        <v>27</v>
      </c>
      <c r="AC9" s="13" t="s">
        <v>16</v>
      </c>
    </row>
    <row r="10" ht="22.5" customHeight="1">
      <c r="B10" s="15" t="s">
        <v>28</v>
      </c>
      <c r="C10" s="15" t="s">
        <v>40</v>
      </c>
      <c r="D10" s="16">
        <f>IFERROR(__xludf.DUMMYFUNCTION("index(split(index(SPLIT($C10, "" ""),1), ""/"", 1),1)"),350.0)</f>
        <v>350</v>
      </c>
      <c r="E10" s="16" t="s">
        <v>41</v>
      </c>
      <c r="F10" s="17">
        <f>D10+O10</f>
        <v>391.29</v>
      </c>
      <c r="G10" s="26">
        <v>46920.0</v>
      </c>
      <c r="H10" s="19">
        <f>recommendBullCallSpreadOpenDebit($B10, $G10, $D10, $E10, 60)</f>
        <v>39.11</v>
      </c>
      <c r="I10" s="19">
        <f>recommendBullCallSpreadCloseCredit($B10, $G10, $D10, $E10, 60)</f>
        <v>36.3</v>
      </c>
      <c r="J10" s="20" t="s">
        <v>42</v>
      </c>
      <c r="K10" s="21">
        <v>1.0</v>
      </c>
      <c r="L10" s="19">
        <f>100*K10*H10</f>
        <v>3911</v>
      </c>
      <c r="M10" s="22">
        <f>sum(M11:M14)</f>
        <v>1</v>
      </c>
      <c r="O10" s="23">
        <f>IF(COUNTA(M11:M14)=0, H10, SUMPRODUCT(M11:M14, N11:N14) / SUM(M11:M14))</f>
        <v>41.29</v>
      </c>
      <c r="P10" s="24">
        <f t="shared" si="1"/>
        <v>4129</v>
      </c>
      <c r="Q10" s="23">
        <f>(I10-O10)*100*M10</f>
        <v>-499</v>
      </c>
      <c r="R10" s="25">
        <f>IFERROR(Q10/P10, 0)</f>
        <v>-0.1208525067</v>
      </c>
      <c r="S10" s="25">
        <f>(E10 - D10 - O10) / O10</f>
        <v>1.421893921</v>
      </c>
      <c r="U10" s="19" t="s">
        <v>28</v>
      </c>
      <c r="X10" s="19">
        <f>SUM(X11:X14)</f>
        <v>647</v>
      </c>
      <c r="Y10" s="45">
        <f>IF(COUNTA(W11:W15)=0, 0, SUMPRODUCT(W11:W15, X11:X15) / SUM(X11:X15))</f>
        <v>276.2174034</v>
      </c>
      <c r="Z10" s="45">
        <f>Y10*X10</f>
        <v>178712.66</v>
      </c>
      <c r="AA10" s="23">
        <f>IFERROR(__xludf.DUMMYFUNCTION("GOOGLEFINANCE(U10,""price"")"),430.41)</f>
        <v>430.41</v>
      </c>
      <c r="AB10" s="23">
        <f>AA10*X10</f>
        <v>278475.27</v>
      </c>
      <c r="AC10" s="45">
        <f>AB10-Z10</f>
        <v>99762.61</v>
      </c>
    </row>
    <row r="11" ht="22.5" customHeight="1">
      <c r="B11" s="19"/>
      <c r="C11" s="19"/>
      <c r="D11" s="46"/>
      <c r="E11" s="46"/>
      <c r="F11" s="17"/>
      <c r="G11" s="26"/>
      <c r="J11" s="23"/>
      <c r="K11" s="47" t="s">
        <v>43</v>
      </c>
      <c r="L11" s="19"/>
      <c r="M11" s="19">
        <v>1.0</v>
      </c>
      <c r="N11" s="48">
        <v>41.29</v>
      </c>
      <c r="P11" s="24" t="str">
        <f t="shared" si="1"/>
        <v/>
      </c>
      <c r="R11" s="25"/>
      <c r="S11" s="25"/>
      <c r="V11" s="49">
        <v>44798.0</v>
      </c>
      <c r="W11" s="19">
        <v>297.0</v>
      </c>
      <c r="X11" s="19">
        <v>122.0</v>
      </c>
      <c r="Y11" s="45"/>
      <c r="Z11" s="45"/>
    </row>
    <row r="12" ht="22.5" customHeight="1">
      <c r="B12" s="19"/>
      <c r="C12" s="19"/>
      <c r="D12" s="46"/>
      <c r="E12" s="46"/>
      <c r="F12" s="17"/>
      <c r="G12" s="26"/>
      <c r="J12" s="23"/>
      <c r="K12" s="50"/>
      <c r="P12" s="24" t="str">
        <f t="shared" si="1"/>
        <v/>
      </c>
      <c r="R12" s="25"/>
      <c r="S12" s="25"/>
      <c r="V12" s="49">
        <v>44848.0</v>
      </c>
      <c r="W12" s="19">
        <v>208.0</v>
      </c>
      <c r="X12" s="19">
        <v>225.0</v>
      </c>
      <c r="Y12" s="45"/>
      <c r="Z12" s="45"/>
    </row>
    <row r="13" ht="22.5" customHeight="1">
      <c r="B13" s="19"/>
      <c r="C13" s="19"/>
      <c r="D13" s="46"/>
      <c r="E13" s="46"/>
      <c r="F13" s="17"/>
      <c r="G13" s="26"/>
      <c r="J13" s="23"/>
      <c r="K13" s="51"/>
      <c r="P13" s="24" t="str">
        <f t="shared" si="1"/>
        <v/>
      </c>
      <c r="R13" s="25"/>
      <c r="S13" s="25"/>
      <c r="V13" s="49">
        <v>44858.0</v>
      </c>
      <c r="W13" s="19">
        <v>235.0</v>
      </c>
      <c r="X13" s="19">
        <v>200.0</v>
      </c>
      <c r="Y13" s="45"/>
      <c r="Z13" s="45"/>
    </row>
    <row r="14" ht="22.5" customHeight="1">
      <c r="B14" s="19"/>
      <c r="C14" s="19"/>
      <c r="D14" s="46"/>
      <c r="E14" s="46"/>
      <c r="F14" s="17"/>
      <c r="G14" s="26"/>
      <c r="J14" s="23"/>
      <c r="K14" s="51"/>
      <c r="P14" s="24" t="str">
        <f t="shared" si="1"/>
        <v/>
      </c>
      <c r="R14" s="25"/>
      <c r="S14" s="25"/>
      <c r="V14" s="52">
        <v>46010.0</v>
      </c>
      <c r="W14" s="19">
        <v>486.7866</v>
      </c>
      <c r="X14" s="19">
        <v>100.0</v>
      </c>
      <c r="Y14" s="45"/>
      <c r="Z14" s="45"/>
    </row>
    <row r="15" ht="22.5" customHeight="1">
      <c r="B15" s="36"/>
      <c r="C15" s="36"/>
      <c r="D15" s="37"/>
      <c r="E15" s="37"/>
      <c r="F15" s="38"/>
      <c r="G15" s="39"/>
      <c r="H15" s="40"/>
      <c r="I15" s="40"/>
      <c r="J15" s="40"/>
      <c r="K15" s="41"/>
      <c r="L15" s="42"/>
      <c r="M15" s="42"/>
      <c r="N15" s="40"/>
      <c r="O15" s="40"/>
      <c r="P15" s="43" t="str">
        <f t="shared" si="1"/>
        <v/>
      </c>
      <c r="Q15" s="43" t="str">
        <f t="shared" ref="Q15:S15" si="7">IF(LEN(P15), P15*N15*100, "")</f>
        <v/>
      </c>
      <c r="R15" s="43" t="str">
        <f t="shared" si="7"/>
        <v/>
      </c>
      <c r="S15" s="44" t="str">
        <f t="shared" si="7"/>
        <v/>
      </c>
      <c r="V15" s="52"/>
      <c r="Y15" s="45"/>
      <c r="Z15" s="45"/>
    </row>
    <row r="16" ht="22.5" customHeight="1">
      <c r="B16" s="15" t="s">
        <v>28</v>
      </c>
      <c r="C16" s="15" t="s">
        <v>40</v>
      </c>
      <c r="D16" s="16">
        <f>IFERROR(__xludf.DUMMYFUNCTION("index(split(index(SPLIT($C16, "" ""),1), ""/"", 1),1)"),350.0)</f>
        <v>350</v>
      </c>
      <c r="E16" s="16">
        <f>IFERROR(__xludf.DUMMYFUNCTION("index(split(index(SPLIT($C16, "" ""),1), ""/"", 1),2)"),450.0)</f>
        <v>450</v>
      </c>
      <c r="F16" s="17">
        <f>D16+O16</f>
        <v>387</v>
      </c>
      <c r="G16" s="18">
        <v>47102.0</v>
      </c>
      <c r="H16" s="19">
        <f>recommendBullCallSpreadOpenDebit($B16, $G16, $D16, $E16, 60)</f>
        <v>37.08</v>
      </c>
      <c r="I16" s="19">
        <f>recommendBullCallSpreadCloseCredit($B16, $G16, $D16, $E16, 60)</f>
        <v>33.22</v>
      </c>
      <c r="J16" s="32" t="s">
        <v>44</v>
      </c>
      <c r="K16" s="21">
        <v>21.0</v>
      </c>
      <c r="L16" s="19">
        <f>100*K16*H16</f>
        <v>77868</v>
      </c>
      <c r="M16" s="23">
        <f>sum(M17:M20)</f>
        <v>7</v>
      </c>
      <c r="O16" s="23">
        <f>IF(COUNTA(M17:M20)=0, H16, SUMPRODUCT(M17:M20, N17:N20) / SUM(M17:M20))</f>
        <v>37</v>
      </c>
      <c r="P16" s="24">
        <f t="shared" si="1"/>
        <v>25900</v>
      </c>
      <c r="Q16" s="23">
        <f>(I16-O16)*100*M16</f>
        <v>-2646</v>
      </c>
      <c r="R16" s="25">
        <f>IFERROR(Q16/P16, 0)</f>
        <v>-0.1021621622</v>
      </c>
      <c r="S16" s="25">
        <f>(E16 - D16 - O16) / O16</f>
        <v>1.702702703</v>
      </c>
      <c r="U16" s="40"/>
      <c r="V16" s="40"/>
      <c r="W16" s="40"/>
      <c r="X16" s="40"/>
      <c r="Y16" s="53"/>
      <c r="Z16" s="53"/>
      <c r="AA16" s="40"/>
      <c r="AB16" s="40"/>
      <c r="AC16" s="40"/>
    </row>
    <row r="17" ht="22.5" customHeight="1">
      <c r="B17" s="19"/>
      <c r="C17" s="19"/>
      <c r="D17" s="46"/>
      <c r="E17" s="46"/>
      <c r="F17" s="17"/>
      <c r="G17" s="26"/>
      <c r="K17" s="50">
        <v>46034.0</v>
      </c>
      <c r="M17" s="19">
        <v>7.0</v>
      </c>
      <c r="N17" s="19">
        <v>37.0</v>
      </c>
      <c r="P17" s="24"/>
      <c r="R17" s="25"/>
      <c r="S17" s="25"/>
      <c r="Y17" s="45"/>
      <c r="Z17" s="45"/>
    </row>
    <row r="18" ht="22.5" customHeight="1">
      <c r="B18" s="19"/>
      <c r="C18" s="19"/>
      <c r="D18" s="46"/>
      <c r="E18" s="46"/>
      <c r="F18" s="17"/>
      <c r="G18" s="26"/>
      <c r="P18" s="24" t="str">
        <f>IF(LEN(O18), O18*M17*100, "")</f>
        <v/>
      </c>
      <c r="R18" s="25"/>
      <c r="S18" s="25"/>
      <c r="V18" s="49"/>
      <c r="Y18" s="45"/>
      <c r="Z18" s="45"/>
    </row>
    <row r="19" ht="22.5" customHeight="1">
      <c r="B19" s="19"/>
      <c r="C19" s="19"/>
      <c r="D19" s="46"/>
      <c r="E19" s="46"/>
      <c r="F19" s="17"/>
      <c r="G19" s="26"/>
      <c r="K19" s="51"/>
      <c r="P19" s="24" t="str">
        <f t="shared" ref="P19:P28" si="8">IF(LEN(O19), O19*M19*100, "")</f>
        <v/>
      </c>
      <c r="R19" s="25"/>
      <c r="S19" s="25"/>
      <c r="V19" s="49"/>
      <c r="Y19" s="45"/>
      <c r="Z19" s="45"/>
    </row>
    <row r="20" ht="22.5" customHeight="1">
      <c r="B20" s="19"/>
      <c r="C20" s="19"/>
      <c r="D20" s="46"/>
      <c r="E20" s="46"/>
      <c r="F20" s="17"/>
      <c r="G20" s="26"/>
      <c r="K20" s="51"/>
      <c r="P20" s="24" t="str">
        <f t="shared" si="8"/>
        <v/>
      </c>
      <c r="R20" s="25"/>
      <c r="S20" s="25"/>
      <c r="V20" s="49"/>
      <c r="Y20" s="45"/>
      <c r="Z20" s="45"/>
    </row>
    <row r="21" ht="22.5" customHeight="1">
      <c r="B21" s="36"/>
      <c r="C21" s="36"/>
      <c r="D21" s="37"/>
      <c r="E21" s="37"/>
      <c r="F21" s="38"/>
      <c r="G21" s="39"/>
      <c r="H21" s="40"/>
      <c r="I21" s="40"/>
      <c r="J21" s="40"/>
      <c r="K21" s="41"/>
      <c r="L21" s="42"/>
      <c r="M21" s="42"/>
      <c r="N21" s="40"/>
      <c r="O21" s="40"/>
      <c r="P21" s="43" t="str">
        <f t="shared" si="8"/>
        <v/>
      </c>
      <c r="Q21" s="43" t="str">
        <f t="shared" ref="Q21:S21" si="9">IF(LEN(P21), P21*N21*100, "")</f>
        <v/>
      </c>
      <c r="R21" s="43" t="str">
        <f t="shared" si="9"/>
        <v/>
      </c>
      <c r="S21" s="44" t="str">
        <f t="shared" si="9"/>
        <v/>
      </c>
      <c r="U21" s="40"/>
      <c r="V21" s="40"/>
      <c r="W21" s="40"/>
      <c r="X21" s="40"/>
      <c r="Y21" s="53"/>
      <c r="Z21" s="54">
        <f>sum(Z10:Z14)</f>
        <v>178712.66</v>
      </c>
      <c r="AA21" s="53"/>
      <c r="AB21" s="53"/>
      <c r="AC21" s="54">
        <f>sum(AC10:AC14)</f>
        <v>99762.61</v>
      </c>
    </row>
    <row r="22" ht="22.5" customHeight="1">
      <c r="A22" s="55"/>
      <c r="B22" s="15" t="s">
        <v>28</v>
      </c>
      <c r="C22" s="56" t="s">
        <v>45</v>
      </c>
      <c r="D22" s="16">
        <f>IFERROR(__xludf.DUMMYFUNCTION("index(split(index(SPLIT($C22, "" ""),1), ""/"", 1),1)"),350.0)</f>
        <v>350</v>
      </c>
      <c r="E22" s="16">
        <f>IFERROR(__xludf.DUMMYFUNCTION("index(split(index(SPLIT($C22, "" ""),1), ""/"", 1),2)"),550.0)</f>
        <v>550</v>
      </c>
      <c r="F22" s="17">
        <f>D22+O22</f>
        <v>415</v>
      </c>
      <c r="G22" s="18">
        <v>47102.0</v>
      </c>
      <c r="H22" s="19">
        <f>recommendBullCallSpreadOpenDebit($B22, $G22, $D22, $E22, 60)</f>
        <v>65.19</v>
      </c>
      <c r="I22" s="19">
        <f>recommendBullCallSpreadCloseCredit($B22, $G22, $D22, $E22, 60)</f>
        <v>59.86</v>
      </c>
      <c r="J22" s="57" t="s">
        <v>46</v>
      </c>
      <c r="K22" s="58">
        <v>8.0</v>
      </c>
      <c r="L22" s="19">
        <f>100*K22*H22</f>
        <v>52152</v>
      </c>
      <c r="M22" s="59">
        <f>sum(M23:M26)</f>
        <v>8</v>
      </c>
      <c r="N22" s="60"/>
      <c r="O22" s="23">
        <f>IF(COUNTA(M23:M26)=0, H22, SUMPRODUCT(M23:M26, N23:N26) / SUM(M23:M26))</f>
        <v>65</v>
      </c>
      <c r="P22" s="61">
        <f t="shared" si="8"/>
        <v>52000</v>
      </c>
      <c r="Q22" s="23">
        <f>(I22-O22)*100*M22</f>
        <v>-4112</v>
      </c>
      <c r="R22" s="25">
        <f>IFERROR(Q22/P22, 0)</f>
        <v>-0.07907692308</v>
      </c>
      <c r="S22" s="25">
        <f>(E22 - D22 - O22) / O22</f>
        <v>2.076923077</v>
      </c>
      <c r="AD22" s="55"/>
      <c r="AE22" s="55"/>
      <c r="AF22" s="55"/>
      <c r="AG22" s="55"/>
      <c r="AH22" s="55"/>
      <c r="AI22" s="55"/>
      <c r="AJ22" s="55"/>
      <c r="AK22" s="55"/>
    </row>
    <row r="23" ht="22.5" customHeight="1">
      <c r="A23" s="55"/>
      <c r="B23" s="62"/>
      <c r="C23" s="62"/>
      <c r="D23" s="63"/>
      <c r="E23" s="63"/>
      <c r="F23" s="64"/>
      <c r="G23" s="65"/>
      <c r="H23" s="66"/>
      <c r="I23" s="66"/>
      <c r="J23" s="66"/>
      <c r="K23" s="67">
        <v>46031.0</v>
      </c>
      <c r="L23" s="68"/>
      <c r="M23" s="69">
        <v>8.0</v>
      </c>
      <c r="N23" s="70">
        <v>65.0</v>
      </c>
      <c r="O23" s="66" t="str">
        <f>IF(COUNTA(M24:M27)=0, "", SUMPRODUCT(M24:M27, N24:N27) / SUM(M24:M27))</f>
        <v/>
      </c>
      <c r="P23" s="71" t="str">
        <f t="shared" si="8"/>
        <v/>
      </c>
      <c r="Q23" s="72"/>
      <c r="R23" s="73"/>
      <c r="S23" s="73"/>
      <c r="T23" s="55"/>
      <c r="U23" s="55"/>
      <c r="V23" s="55"/>
      <c r="W23" s="55"/>
      <c r="X23" s="55"/>
      <c r="Y23" s="55"/>
      <c r="Z23" s="55"/>
      <c r="AA23" s="55"/>
      <c r="AB23" s="55"/>
      <c r="AC23" s="55"/>
      <c r="AD23" s="55"/>
      <c r="AE23" s="55"/>
      <c r="AF23" s="55"/>
      <c r="AG23" s="55"/>
      <c r="AH23" s="55"/>
      <c r="AI23" s="55"/>
      <c r="AJ23" s="55"/>
      <c r="AK23" s="55"/>
    </row>
    <row r="24" ht="22.5" customHeight="1">
      <c r="A24" s="55"/>
      <c r="B24" s="74"/>
      <c r="C24" s="74"/>
      <c r="D24" s="75"/>
      <c r="E24" s="75"/>
      <c r="F24" s="76"/>
      <c r="G24" s="77"/>
      <c r="H24" s="60"/>
      <c r="I24" s="60"/>
      <c r="J24" s="60"/>
      <c r="K24" s="78"/>
      <c r="L24" s="60"/>
      <c r="M24" s="60"/>
      <c r="N24" s="60"/>
      <c r="O24" s="60"/>
      <c r="P24" s="79" t="str">
        <f t="shared" si="8"/>
        <v/>
      </c>
      <c r="Q24" s="72"/>
      <c r="R24" s="73"/>
      <c r="S24" s="73"/>
      <c r="T24" s="55"/>
      <c r="U24" s="55"/>
      <c r="V24" s="55"/>
      <c r="W24" s="55"/>
      <c r="X24" s="55"/>
      <c r="Y24" s="55"/>
      <c r="Z24" s="55"/>
      <c r="AA24" s="55"/>
      <c r="AB24" s="55"/>
      <c r="AC24" s="55"/>
      <c r="AD24" s="55"/>
      <c r="AE24" s="55"/>
      <c r="AF24" s="55"/>
      <c r="AG24" s="55"/>
      <c r="AH24" s="55"/>
      <c r="AI24" s="55"/>
      <c r="AJ24" s="55"/>
      <c r="AK24" s="55"/>
    </row>
    <row r="25" ht="22.5" customHeight="1">
      <c r="A25" s="55"/>
      <c r="B25" s="62"/>
      <c r="C25" s="62"/>
      <c r="D25" s="63"/>
      <c r="E25" s="63"/>
      <c r="F25" s="64"/>
      <c r="G25" s="65"/>
      <c r="H25" s="66"/>
      <c r="I25" s="66"/>
      <c r="J25" s="66"/>
      <c r="K25" s="80"/>
      <c r="L25" s="66"/>
      <c r="M25" s="66"/>
      <c r="N25" s="66"/>
      <c r="O25" s="66"/>
      <c r="P25" s="71" t="str">
        <f t="shared" si="8"/>
        <v/>
      </c>
      <c r="Q25" s="72"/>
      <c r="R25" s="73"/>
      <c r="S25" s="73"/>
      <c r="T25" s="55"/>
      <c r="U25" s="55"/>
      <c r="V25" s="55"/>
      <c r="W25" s="55"/>
      <c r="X25" s="55"/>
      <c r="Y25" s="55"/>
      <c r="Z25" s="55"/>
      <c r="AA25" s="55"/>
      <c r="AB25" s="55"/>
      <c r="AC25" s="55"/>
      <c r="AD25" s="55"/>
      <c r="AE25" s="55"/>
      <c r="AF25" s="55"/>
      <c r="AG25" s="55"/>
      <c r="AH25" s="55"/>
      <c r="AI25" s="55"/>
      <c r="AJ25" s="55"/>
      <c r="AK25" s="55"/>
    </row>
    <row r="26" ht="22.5" customHeight="1">
      <c r="A26" s="55"/>
      <c r="B26" s="74"/>
      <c r="C26" s="74"/>
      <c r="D26" s="75"/>
      <c r="E26" s="75"/>
      <c r="F26" s="76"/>
      <c r="G26" s="77"/>
      <c r="H26" s="60"/>
      <c r="I26" s="60"/>
      <c r="J26" s="60"/>
      <c r="K26" s="78"/>
      <c r="L26" s="60"/>
      <c r="M26" s="60"/>
      <c r="N26" s="60"/>
      <c r="O26" s="60"/>
      <c r="P26" s="79" t="str">
        <f t="shared" si="8"/>
        <v/>
      </c>
      <c r="Q26" s="72"/>
      <c r="R26" s="73"/>
      <c r="S26" s="73"/>
      <c r="T26" s="55"/>
      <c r="U26" s="55"/>
      <c r="V26" s="55"/>
      <c r="W26" s="55"/>
      <c r="X26" s="55"/>
      <c r="Y26" s="55"/>
      <c r="Z26" s="55"/>
      <c r="AA26" s="55"/>
      <c r="AB26" s="55"/>
      <c r="AC26" s="55"/>
      <c r="AD26" s="55"/>
      <c r="AE26" s="55"/>
      <c r="AF26" s="55"/>
      <c r="AG26" s="55"/>
      <c r="AH26" s="55"/>
      <c r="AI26" s="55"/>
      <c r="AJ26" s="55"/>
      <c r="AK26" s="55"/>
    </row>
    <row r="27" ht="22.5" customHeight="1">
      <c r="A27" s="55"/>
      <c r="B27" s="36"/>
      <c r="C27" s="36"/>
      <c r="D27" s="37"/>
      <c r="E27" s="37"/>
      <c r="F27" s="38"/>
      <c r="G27" s="39"/>
      <c r="H27" s="40"/>
      <c r="I27" s="40"/>
      <c r="J27" s="40"/>
      <c r="K27" s="41"/>
      <c r="L27" s="42"/>
      <c r="M27" s="42"/>
      <c r="N27" s="40"/>
      <c r="O27" s="40"/>
      <c r="P27" s="43" t="str">
        <f t="shared" si="8"/>
        <v/>
      </c>
      <c r="Q27" s="43" t="str">
        <f t="shared" ref="Q27:S27" si="10">IF(LEN(P27), P27*N27*100, "")</f>
        <v/>
      </c>
      <c r="R27" s="43" t="str">
        <f t="shared" si="10"/>
        <v/>
      </c>
      <c r="S27" s="44" t="str">
        <f t="shared" si="10"/>
        <v/>
      </c>
      <c r="T27" s="55"/>
      <c r="U27" s="55"/>
      <c r="V27" s="55"/>
      <c r="W27" s="55"/>
      <c r="X27" s="55"/>
      <c r="Y27" s="55"/>
      <c r="Z27" s="55"/>
      <c r="AA27" s="55"/>
      <c r="AB27" s="55"/>
      <c r="AC27" s="55"/>
      <c r="AD27" s="55"/>
      <c r="AE27" s="55"/>
      <c r="AF27" s="55"/>
      <c r="AG27" s="55"/>
      <c r="AH27" s="55"/>
      <c r="AI27" s="55"/>
      <c r="AJ27" s="55"/>
      <c r="AK27" s="55"/>
    </row>
    <row r="28" ht="22.5" customHeight="1">
      <c r="B28" s="15" t="s">
        <v>28</v>
      </c>
      <c r="C28" s="19" t="s">
        <v>47</v>
      </c>
      <c r="D28" s="16">
        <f>IFERROR(__xludf.DUMMYFUNCTION("index(split(index(SPLIT($C28, "" ""),1), ""/"", 1),1)"),400.0)</f>
        <v>400</v>
      </c>
      <c r="E28" s="16">
        <f>IFERROR(__xludf.DUMMYFUNCTION("index(split(index(SPLIT($C28, "" ""),1), ""/"", 1),2)"),450.0)</f>
        <v>450</v>
      </c>
      <c r="F28" s="17">
        <f>D28+O28</f>
        <v>418</v>
      </c>
      <c r="G28" s="18">
        <v>47102.0</v>
      </c>
      <c r="H28" s="19">
        <f>recommendBullCallSpreadOpenDebit($B28, $G28, $D28, $E28, 60)</f>
        <v>17.49</v>
      </c>
      <c r="I28" s="19">
        <f>recommendBullCallSpreadCloseCredit($B28, $G28, $D28, $E28, 60)</f>
        <v>15.21</v>
      </c>
      <c r="J28" s="32" t="s">
        <v>48</v>
      </c>
      <c r="K28" s="81">
        <v>4.0</v>
      </c>
      <c r="L28" s="19">
        <f>100*K28*H28</f>
        <v>6996</v>
      </c>
      <c r="M28" s="82">
        <f>sum(M29:M32)</f>
        <v>8</v>
      </c>
      <c r="O28" s="23">
        <f>IF(COUNTA(M29:M32)=0, H28, SUMPRODUCT(M29:M32, N29:N32) / SUM(M29:M32))</f>
        <v>18</v>
      </c>
      <c r="P28" s="24">
        <f t="shared" si="8"/>
        <v>14400</v>
      </c>
      <c r="Q28" s="23">
        <f>(I28-O28)*100*M28</f>
        <v>-2232</v>
      </c>
      <c r="R28" s="25">
        <f>IFERROR(Q28/P28, 0)</f>
        <v>-0.155</v>
      </c>
      <c r="S28" s="25">
        <f>(E28 - D28 - O28) / O28</f>
        <v>1.777777778</v>
      </c>
      <c r="T28" s="55"/>
      <c r="U28" s="55"/>
      <c r="V28" s="55"/>
      <c r="W28" s="55"/>
      <c r="X28" s="55"/>
      <c r="Y28" s="55"/>
      <c r="Z28" s="55"/>
      <c r="AA28" s="55"/>
      <c r="AB28" s="55"/>
      <c r="AC28" s="55"/>
    </row>
    <row r="29" ht="22.5" customHeight="1">
      <c r="D29" s="83"/>
      <c r="E29" s="83"/>
      <c r="F29" s="84"/>
      <c r="G29" s="85"/>
      <c r="K29" s="50">
        <v>46038.0</v>
      </c>
      <c r="L29" s="19"/>
      <c r="M29" s="19">
        <v>8.0</v>
      </c>
      <c r="N29" s="19">
        <v>18.0</v>
      </c>
      <c r="P29" s="24"/>
      <c r="R29" s="25"/>
      <c r="S29" s="25"/>
    </row>
    <row r="30" ht="22.5" customHeight="1">
      <c r="D30" s="83"/>
      <c r="E30" s="83"/>
      <c r="F30" s="84"/>
      <c r="G30" s="85"/>
      <c r="K30" s="50"/>
      <c r="P30" s="24"/>
      <c r="R30" s="25"/>
      <c r="S30" s="25"/>
    </row>
    <row r="31" ht="22.5" customHeight="1">
      <c r="D31" s="83"/>
      <c r="E31" s="83"/>
      <c r="F31" s="84"/>
      <c r="G31" s="85"/>
      <c r="K31" s="86"/>
      <c r="P31" s="24"/>
      <c r="R31" s="25"/>
      <c r="S31" s="25"/>
    </row>
    <row r="32" ht="22.5" customHeight="1">
      <c r="D32" s="83"/>
      <c r="E32" s="83"/>
      <c r="F32" s="84"/>
      <c r="G32" s="85"/>
      <c r="K32" s="86"/>
      <c r="P32" s="24"/>
      <c r="R32" s="25"/>
      <c r="S32" s="25"/>
    </row>
    <row r="33" ht="22.5" customHeight="1">
      <c r="A33" s="55"/>
      <c r="B33" s="36"/>
      <c r="C33" s="36"/>
      <c r="D33" s="37"/>
      <c r="E33" s="37"/>
      <c r="F33" s="38"/>
      <c r="G33" s="39"/>
      <c r="H33" s="40"/>
      <c r="I33" s="40"/>
      <c r="J33" s="40"/>
      <c r="K33" s="41"/>
      <c r="L33" s="42"/>
      <c r="M33" s="42"/>
      <c r="N33" s="40"/>
      <c r="O33" s="40"/>
      <c r="P33" s="43" t="str">
        <f t="shared" ref="P33:S33" si="11">IF(LEN(O33), O33*M33*100, "")</f>
        <v/>
      </c>
      <c r="Q33" s="43" t="str">
        <f t="shared" si="11"/>
        <v/>
      </c>
      <c r="R33" s="43" t="str">
        <f t="shared" si="11"/>
        <v/>
      </c>
      <c r="S33" s="44" t="str">
        <f t="shared" si="11"/>
        <v/>
      </c>
      <c r="AD33" s="55"/>
      <c r="AE33" s="55"/>
      <c r="AF33" s="55"/>
      <c r="AG33" s="55"/>
      <c r="AH33" s="55"/>
      <c r="AI33" s="55"/>
      <c r="AJ33" s="55"/>
      <c r="AK33" s="55"/>
    </row>
    <row r="34" ht="22.5" customHeight="1">
      <c r="B34" s="15" t="s">
        <v>28</v>
      </c>
      <c r="C34" s="19" t="s">
        <v>49</v>
      </c>
      <c r="D34" s="16">
        <f>IFERROR(__xludf.DUMMYFUNCTION("index(split(index(SPLIT($C34, "" ""),1), ""/"", 1),1)"),400.0)</f>
        <v>400</v>
      </c>
      <c r="E34" s="16">
        <f>IFERROR(__xludf.DUMMYFUNCTION("index(split(index(SPLIT($C34, "" ""),1), ""/"", 1),2)"),550.0)</f>
        <v>550</v>
      </c>
      <c r="F34" s="17">
        <f>D34+O34</f>
        <v>447</v>
      </c>
      <c r="G34" s="26">
        <v>46920.0</v>
      </c>
      <c r="H34" s="19">
        <f>recommendBullCallSpreadOpenDebit($B34, $G34, $D34, $E34, 60)</f>
        <v>45.76</v>
      </c>
      <c r="I34" s="19">
        <f>recommendBullCallSpreadCloseCredit($B34, $G34, $D34, $E34, 60)</f>
        <v>43.94</v>
      </c>
      <c r="J34" s="32" t="s">
        <v>50</v>
      </c>
      <c r="K34" s="51">
        <v>4.0</v>
      </c>
      <c r="L34" s="19">
        <f>100*K34*H34</f>
        <v>18304</v>
      </c>
      <c r="M34" s="23">
        <f>sum(M35:M38)</f>
        <v>4</v>
      </c>
      <c r="O34" s="23">
        <f>IF(COUNTA(M35:M38)=0, H34, SUMPRODUCT(M35:M38, N35:N38) / SUM(M35:M38))</f>
        <v>47</v>
      </c>
      <c r="P34" s="24">
        <f>IF(LEN(O34), O34*M34*100, "")</f>
        <v>18800</v>
      </c>
      <c r="Q34" s="23">
        <f>(I34-O34)*100*M34</f>
        <v>-1224</v>
      </c>
      <c r="R34" s="25">
        <f>IFERROR(Q34/P34, 0)</f>
        <v>-0.06510638298</v>
      </c>
      <c r="S34" s="25">
        <f>(E34 - D34 - O34) / O34</f>
        <v>2.191489362</v>
      </c>
      <c r="T34" s="55"/>
      <c r="U34" s="55"/>
      <c r="V34" s="55"/>
      <c r="W34" s="55"/>
      <c r="X34" s="55"/>
      <c r="Y34" s="55"/>
      <c r="Z34" s="55"/>
      <c r="AA34" s="55"/>
      <c r="AB34" s="55"/>
      <c r="AC34" s="55"/>
    </row>
    <row r="35" ht="22.5" customHeight="1">
      <c r="D35" s="83"/>
      <c r="E35" s="83"/>
      <c r="F35" s="84"/>
      <c r="G35" s="85"/>
      <c r="K35" s="86"/>
      <c r="L35" s="50">
        <v>46024.0</v>
      </c>
      <c r="M35" s="19">
        <v>2.0</v>
      </c>
      <c r="N35" s="19">
        <v>48.0</v>
      </c>
      <c r="P35" s="24"/>
      <c r="R35" s="25"/>
      <c r="S35" s="25"/>
    </row>
    <row r="36" ht="22.5" customHeight="1">
      <c r="D36" s="83"/>
      <c r="E36" s="83"/>
      <c r="F36" s="84"/>
      <c r="G36" s="85"/>
      <c r="K36" s="86"/>
      <c r="L36" s="50">
        <v>46028.0</v>
      </c>
      <c r="M36" s="19">
        <v>2.0</v>
      </c>
      <c r="N36" s="19">
        <v>46.0</v>
      </c>
      <c r="P36" s="24"/>
      <c r="R36" s="25"/>
      <c r="S36" s="25"/>
    </row>
    <row r="37" ht="22.5" customHeight="1">
      <c r="D37" s="83"/>
      <c r="E37" s="83"/>
      <c r="F37" s="84"/>
      <c r="G37" s="85"/>
      <c r="K37" s="86"/>
      <c r="P37" s="24"/>
      <c r="R37" s="25"/>
      <c r="S37" s="25"/>
    </row>
    <row r="38" ht="22.5" customHeight="1">
      <c r="D38" s="83"/>
      <c r="E38" s="83"/>
      <c r="F38" s="84"/>
      <c r="G38" s="85"/>
      <c r="K38" s="86"/>
      <c r="P38" s="24"/>
      <c r="R38" s="25"/>
      <c r="S38" s="25"/>
    </row>
    <row r="39" ht="22.5" customHeight="1">
      <c r="A39" s="55"/>
      <c r="B39" s="36"/>
      <c r="C39" s="36"/>
      <c r="D39" s="37"/>
      <c r="E39" s="37"/>
      <c r="F39" s="38"/>
      <c r="G39" s="39"/>
      <c r="H39" s="40"/>
      <c r="I39" s="40"/>
      <c r="J39" s="40"/>
      <c r="K39" s="41"/>
      <c r="L39" s="42"/>
      <c r="M39" s="42"/>
      <c r="N39" s="40"/>
      <c r="O39" s="40"/>
      <c r="P39" s="43" t="str">
        <f t="shared" ref="P39:S39" si="12">IF(LEN(O39), O39*M39*100, "")</f>
        <v/>
      </c>
      <c r="Q39" s="43" t="str">
        <f t="shared" si="12"/>
        <v/>
      </c>
      <c r="R39" s="43" t="str">
        <f t="shared" si="12"/>
        <v/>
      </c>
      <c r="S39" s="44" t="str">
        <f t="shared" si="12"/>
        <v/>
      </c>
      <c r="AD39" s="55"/>
      <c r="AE39" s="55"/>
      <c r="AF39" s="55"/>
      <c r="AG39" s="55"/>
      <c r="AH39" s="55"/>
      <c r="AI39" s="55"/>
      <c r="AJ39" s="55"/>
      <c r="AK39" s="55"/>
    </row>
    <row r="40" ht="22.5" customHeight="1">
      <c r="B40" s="15" t="s">
        <v>28</v>
      </c>
      <c r="C40" s="19" t="s">
        <v>49</v>
      </c>
      <c r="D40" s="16">
        <f>IFERROR(__xludf.DUMMYFUNCTION("index(split(index(SPLIT($C40, "" ""),1), ""/"", 1),1)"),400.0)</f>
        <v>400</v>
      </c>
      <c r="E40" s="16">
        <f>IFERROR(__xludf.DUMMYFUNCTION("index(split(index(SPLIT($C40, "" ""),1), ""/"", 1),2)"),550.0)</f>
        <v>550</v>
      </c>
      <c r="F40" s="17">
        <f>D40+O40</f>
        <v>444</v>
      </c>
      <c r="G40" s="87">
        <v>47102.0</v>
      </c>
      <c r="H40" s="19">
        <f>recommendBullCallSpreadOpenDebit($B40, $G40, $D40, $E40, 60)</f>
        <v>45.6</v>
      </c>
      <c r="I40" s="19">
        <f>recommendBullCallSpreadCloseCredit($B40, $G40, $D40, $E40, 60)</f>
        <v>41.85</v>
      </c>
      <c r="J40" s="32" t="s">
        <v>51</v>
      </c>
      <c r="K40" s="51">
        <v>13.0</v>
      </c>
      <c r="L40" s="19">
        <f>100*K40*H40</f>
        <v>59280</v>
      </c>
      <c r="M40" s="23">
        <f>sum(M41:M44)</f>
        <v>10</v>
      </c>
      <c r="O40" s="23">
        <f>IF(COUNTA(M41:M44)=0, H40, SUMPRODUCT(M41:M44, N41:N44) / SUM(M41:M44))</f>
        <v>44</v>
      </c>
      <c r="P40" s="24">
        <f>IF(LEN(O40), O40*M40*100, "")</f>
        <v>44000</v>
      </c>
      <c r="Q40" s="23">
        <f>(I40-O40)*100*M40</f>
        <v>-2150</v>
      </c>
      <c r="R40" s="25">
        <f>IFERROR(Q40/P40, 0)</f>
        <v>-0.04886363636</v>
      </c>
      <c r="S40" s="25">
        <f>(E40 - D40 - O40) / O40</f>
        <v>2.409090909</v>
      </c>
      <c r="T40" s="55"/>
      <c r="U40" s="55"/>
      <c r="V40" s="55"/>
      <c r="W40" s="55"/>
      <c r="X40" s="55"/>
      <c r="Y40" s="55"/>
      <c r="Z40" s="55"/>
      <c r="AA40" s="55"/>
      <c r="AB40" s="55"/>
      <c r="AC40" s="55"/>
    </row>
    <row r="41" ht="22.5" customHeight="1">
      <c r="D41" s="83"/>
      <c r="E41" s="83"/>
      <c r="F41" s="84"/>
      <c r="G41" s="85"/>
      <c r="K41" s="86"/>
      <c r="L41" s="50">
        <v>46028.0</v>
      </c>
      <c r="M41" s="19">
        <v>5.0</v>
      </c>
      <c r="N41" s="19">
        <v>45.0</v>
      </c>
      <c r="P41" s="24"/>
      <c r="R41" s="25"/>
      <c r="S41" s="25"/>
    </row>
    <row r="42" ht="22.5" customHeight="1">
      <c r="D42" s="83"/>
      <c r="E42" s="83"/>
      <c r="F42" s="84"/>
      <c r="G42" s="85"/>
      <c r="K42" s="86"/>
      <c r="L42" s="50">
        <v>46051.0</v>
      </c>
      <c r="M42" s="19">
        <v>5.0</v>
      </c>
      <c r="N42" s="19">
        <v>43.0</v>
      </c>
      <c r="P42" s="24"/>
      <c r="R42" s="25"/>
      <c r="S42" s="25"/>
    </row>
    <row r="43" ht="22.5" customHeight="1">
      <c r="D43" s="83"/>
      <c r="E43" s="83"/>
      <c r="F43" s="84"/>
      <c r="G43" s="85"/>
      <c r="K43" s="86"/>
      <c r="P43" s="24"/>
      <c r="R43" s="25"/>
      <c r="S43" s="25"/>
    </row>
    <row r="44" ht="22.5" customHeight="1">
      <c r="D44" s="83"/>
      <c r="E44" s="83"/>
      <c r="F44" s="84"/>
      <c r="G44" s="85"/>
      <c r="K44" s="86"/>
      <c r="P44" s="24"/>
      <c r="R44" s="25"/>
      <c r="S44" s="25"/>
    </row>
    <row r="45" ht="22.5" customHeight="1">
      <c r="B45" s="36"/>
      <c r="C45" s="36"/>
      <c r="D45" s="37"/>
      <c r="E45" s="37"/>
      <c r="F45" s="38"/>
      <c r="G45" s="39"/>
      <c r="H45" s="40"/>
      <c r="I45" s="40"/>
      <c r="J45" s="40"/>
      <c r="K45" s="41"/>
      <c r="L45" s="42"/>
      <c r="M45" s="42"/>
      <c r="N45" s="40"/>
      <c r="O45" s="40"/>
      <c r="P45" s="43" t="str">
        <f t="shared" ref="P45:S45" si="13">IF(LEN(O45), O45*M45*100, "")</f>
        <v/>
      </c>
      <c r="Q45" s="43" t="str">
        <f t="shared" si="13"/>
        <v/>
      </c>
      <c r="R45" s="43" t="str">
        <f t="shared" si="13"/>
        <v/>
      </c>
      <c r="S45" s="44" t="str">
        <f t="shared" si="13"/>
        <v/>
      </c>
    </row>
    <row r="46" ht="22.5" customHeight="1">
      <c r="B46" s="15" t="s">
        <v>28</v>
      </c>
      <c r="C46" s="19" t="s">
        <v>52</v>
      </c>
      <c r="D46" s="16">
        <f>IFERROR(__xludf.DUMMYFUNCTION("index(split(index(SPLIT($C46, "" ""),1), ""/"", 1),1)"),400.0)</f>
        <v>400</v>
      </c>
      <c r="E46" s="16">
        <f>IFERROR(__xludf.DUMMYFUNCTION("index(split(index(SPLIT($C46, "" ""),1), ""/"", 1),2)"),600.0)</f>
        <v>600</v>
      </c>
      <c r="F46" s="17">
        <f>D46+O46</f>
        <v>456.68</v>
      </c>
      <c r="G46" s="26">
        <v>46920.0</v>
      </c>
      <c r="H46" s="19">
        <f>recommendBullCallSpreadOpenDebit($B46, $G46, $D46, $E46, 60)</f>
        <v>56.68</v>
      </c>
      <c r="I46" s="19">
        <f>recommendBullCallSpreadCloseCredit($B46, $G46, $D46, $E46, 60)</f>
        <v>54.98</v>
      </c>
      <c r="J46" s="20" t="str">
        <f>buildOptionStratUrl(C46,"TSLA","bull-call-spread", G46)
</f>
        <v>https://optionstrat.com/build/bull-call-spread/TSLA/.TSLA280616C400,-.TSLA280616C600</v>
      </c>
      <c r="K46" s="51">
        <v>2.0</v>
      </c>
      <c r="L46" s="19">
        <f>100*K46*H46</f>
        <v>11336</v>
      </c>
      <c r="M46" s="23">
        <f>sum(M47:M50)</f>
        <v>0</v>
      </c>
      <c r="O46" s="23">
        <f>IF(COUNTA(M47:M50)=0, H46, SUMPRODUCT(M47:M50, N47:N50) / SUM(M47:M50))</f>
        <v>56.68</v>
      </c>
      <c r="P46" s="24">
        <f>IF(LEN(O46), O46*M46*100, "")</f>
        <v>0</v>
      </c>
      <c r="Q46" s="23">
        <f>(I46-O46)*100*M46</f>
        <v>0</v>
      </c>
      <c r="R46" s="25">
        <f>IFERROR(Q46/P46, 0)</f>
        <v>0</v>
      </c>
      <c r="S46" s="25">
        <f>(E46 - D46 - O46) / O46</f>
        <v>2.52858151</v>
      </c>
    </row>
    <row r="47" ht="22.5" customHeight="1">
      <c r="D47" s="83"/>
      <c r="E47" s="83"/>
      <c r="F47" s="84"/>
      <c r="G47" s="85"/>
      <c r="K47" s="86"/>
      <c r="N47" s="19"/>
      <c r="P47" s="24"/>
      <c r="R47" s="25"/>
      <c r="S47" s="25"/>
    </row>
    <row r="48" ht="22.5" customHeight="1">
      <c r="D48" s="83"/>
      <c r="E48" s="83"/>
      <c r="F48" s="84"/>
      <c r="G48" s="85"/>
      <c r="K48" s="86"/>
      <c r="P48" s="24"/>
      <c r="R48" s="25"/>
      <c r="S48" s="25"/>
    </row>
    <row r="49" ht="22.5" customHeight="1">
      <c r="D49" s="83"/>
      <c r="E49" s="83"/>
      <c r="F49" s="84"/>
      <c r="G49" s="85"/>
      <c r="K49" s="86"/>
      <c r="P49" s="24"/>
      <c r="R49" s="25"/>
      <c r="S49" s="25"/>
    </row>
    <row r="50" ht="22.5" customHeight="1">
      <c r="D50" s="83"/>
      <c r="E50" s="83"/>
      <c r="F50" s="84"/>
      <c r="G50" s="85"/>
      <c r="K50" s="86"/>
      <c r="P50" s="24"/>
      <c r="R50" s="25"/>
      <c r="S50" s="25"/>
    </row>
    <row r="51" ht="22.5" customHeight="1">
      <c r="B51" s="36"/>
      <c r="C51" s="36"/>
      <c r="D51" s="37"/>
      <c r="E51" s="37"/>
      <c r="F51" s="38"/>
      <c r="G51" s="39"/>
      <c r="H51" s="40"/>
      <c r="I51" s="40"/>
      <c r="J51" s="40"/>
      <c r="K51" s="41"/>
      <c r="L51" s="42"/>
      <c r="M51" s="42"/>
      <c r="N51" s="40"/>
      <c r="O51" s="40"/>
      <c r="P51" s="43" t="str">
        <f t="shared" ref="P51:S51" si="14">IF(LEN(O51), O51*M51*100, "")</f>
        <v/>
      </c>
      <c r="Q51" s="43" t="str">
        <f t="shared" si="14"/>
        <v/>
      </c>
      <c r="R51" s="43" t="str">
        <f t="shared" si="14"/>
        <v/>
      </c>
      <c r="S51" s="44" t="str">
        <f t="shared" si="14"/>
        <v/>
      </c>
    </row>
    <row r="52" ht="22.5" customHeight="1">
      <c r="B52" s="15" t="s">
        <v>28</v>
      </c>
      <c r="C52" s="19" t="s">
        <v>53</v>
      </c>
      <c r="D52" s="16">
        <f>IFERROR(__xludf.DUMMYFUNCTION("index(split(index(SPLIT($C52, "" ""),1), ""/"", 1),1)"),480.0)</f>
        <v>480</v>
      </c>
      <c r="E52" s="16">
        <f>IFERROR(__xludf.DUMMYFUNCTION("index(split(index(SPLIT($C52, "" ""),1), ""/"", 1),2)"),490.0)</f>
        <v>490</v>
      </c>
      <c r="F52" s="17">
        <f>D52+O52</f>
        <v>482.8</v>
      </c>
      <c r="G52" s="18">
        <v>47102.0</v>
      </c>
      <c r="H52" s="19">
        <f>recommendBullCallSpreadOpenDebit($B52, $G52, $D52, $E52, 60)</f>
        <v>5.39</v>
      </c>
      <c r="I52" s="19">
        <f>recommendBullCallSpreadCloseCredit($B52, $G52, $D52, $E52, 60)</f>
        <v>0.11</v>
      </c>
      <c r="J52" s="20" t="s">
        <v>54</v>
      </c>
      <c r="K52" s="51">
        <v>60.0</v>
      </c>
      <c r="L52" s="19">
        <f>100*K52*H52</f>
        <v>32340</v>
      </c>
      <c r="M52" s="23">
        <f>sum(M53:M56)</f>
        <v>10</v>
      </c>
      <c r="O52" s="23">
        <f>IF(COUNTA(M53:M56)=0, H52, SUMPRODUCT(M53:M56, N53:N56) / SUM(M53:M56))</f>
        <v>2.8</v>
      </c>
      <c r="P52" s="24">
        <f>IF(LEN(O52), O52*M52*100, "")</f>
        <v>2800</v>
      </c>
      <c r="Q52" s="23">
        <f>(I52-O52)*100*M52</f>
        <v>-2690</v>
      </c>
      <c r="R52" s="25">
        <f>IFERROR(Q52/P52, 0)</f>
        <v>-0.9607142857</v>
      </c>
      <c r="S52" s="25">
        <f>(E52 - D52 - O52) / O52</f>
        <v>2.571428571</v>
      </c>
    </row>
    <row r="53" ht="22.5" customHeight="1">
      <c r="D53" s="83"/>
      <c r="E53" s="83"/>
      <c r="F53" s="84"/>
      <c r="G53" s="85"/>
      <c r="K53" s="86"/>
      <c r="L53" s="50">
        <v>46051.0</v>
      </c>
      <c r="M53" s="19">
        <v>10.0</v>
      </c>
      <c r="N53" s="19">
        <v>2.8</v>
      </c>
      <c r="P53" s="24"/>
      <c r="R53" s="25"/>
      <c r="S53" s="25"/>
    </row>
    <row r="54" ht="22.5" customHeight="1">
      <c r="D54" s="83"/>
      <c r="E54" s="83"/>
      <c r="F54" s="84"/>
      <c r="G54" s="85"/>
      <c r="K54" s="86"/>
      <c r="P54" s="24"/>
      <c r="R54" s="25"/>
      <c r="S54" s="25"/>
    </row>
    <row r="55" ht="22.5" customHeight="1">
      <c r="D55" s="83"/>
      <c r="E55" s="83"/>
      <c r="F55" s="84"/>
      <c r="G55" s="85"/>
      <c r="K55" s="86"/>
      <c r="P55" s="24"/>
      <c r="R55" s="25"/>
      <c r="S55" s="25"/>
    </row>
    <row r="56" ht="22.5" customHeight="1">
      <c r="D56" s="83"/>
      <c r="E56" s="83"/>
      <c r="F56" s="84"/>
      <c r="G56" s="85"/>
      <c r="K56" s="86"/>
      <c r="P56" s="24"/>
      <c r="R56" s="25"/>
      <c r="S56" s="25"/>
    </row>
    <row r="57" ht="22.5" customHeight="1">
      <c r="B57" s="15" t="s">
        <v>28</v>
      </c>
      <c r="C57" s="88" t="s">
        <v>55</v>
      </c>
      <c r="D57" s="16">
        <f>IFERROR(__xludf.DUMMYFUNCTION("index(split(index(SPLIT($C57, "" ""),1), ""/"", 1),1)"),500.0)</f>
        <v>500</v>
      </c>
      <c r="E57" s="16">
        <f>IFERROR(__xludf.DUMMYFUNCTION("index(split(index(SPLIT($C57, "" ""),1), ""/"", 1),2)"),600.0)</f>
        <v>600</v>
      </c>
      <c r="F57" s="17">
        <f>D57+O57</f>
        <v>523.5</v>
      </c>
      <c r="G57" s="18">
        <v>47102.0</v>
      </c>
      <c r="H57" s="19">
        <f>recommendBullCallSpreadOpenDebit($B57, $G57, $D57, $E57, 60)</f>
        <v>25</v>
      </c>
      <c r="I57" s="19">
        <f>recommendBullCallSpreadCloseCredit($B57, $G57, $D57, $E57, 60)</f>
        <v>21.44</v>
      </c>
      <c r="J57" s="20" t="s">
        <v>56</v>
      </c>
      <c r="K57" s="89">
        <v>2.0</v>
      </c>
      <c r="L57" s="19">
        <f>100*K57*H57</f>
        <v>5000</v>
      </c>
      <c r="M57" s="90">
        <f>sum(M58:M61)</f>
        <v>10</v>
      </c>
      <c r="N57" s="66"/>
      <c r="O57" s="23">
        <f>IF(COUNTA(M58:M61)=0, H57, SUMPRODUCT(M58:M61, N58:N61) / SUM(M58:M61))</f>
        <v>23.5</v>
      </c>
      <c r="P57" s="24">
        <f>IF(LEN(O57), O57*M57*100, "")</f>
        <v>23500</v>
      </c>
      <c r="Q57" s="23">
        <f>(I57-O57)*100*M57</f>
        <v>-2060</v>
      </c>
      <c r="R57" s="25">
        <f>IFERROR(Q57/P57, 0)</f>
        <v>-0.08765957447</v>
      </c>
      <c r="S57" s="25">
        <f>(E57 - D57 - O57) / O57</f>
        <v>3.255319149</v>
      </c>
    </row>
    <row r="58" ht="22.5" customHeight="1">
      <c r="B58" s="60"/>
      <c r="C58" s="60"/>
      <c r="D58" s="75"/>
      <c r="E58" s="75"/>
      <c r="F58" s="76"/>
      <c r="G58" s="77"/>
      <c r="H58" s="60"/>
      <c r="I58" s="60"/>
      <c r="J58" s="60"/>
      <c r="K58" s="78"/>
      <c r="L58" s="91">
        <v>46051.0</v>
      </c>
      <c r="M58" s="92">
        <v>10.0</v>
      </c>
      <c r="N58" s="92">
        <v>23.5</v>
      </c>
      <c r="O58" s="60"/>
      <c r="P58" s="24"/>
      <c r="R58" s="25"/>
      <c r="S58" s="25"/>
    </row>
    <row r="59" ht="22.5" customHeight="1">
      <c r="B59" s="66"/>
      <c r="C59" s="66"/>
      <c r="D59" s="63"/>
      <c r="E59" s="63"/>
      <c r="F59" s="64"/>
      <c r="G59" s="65"/>
      <c r="H59" s="66"/>
      <c r="I59" s="66"/>
      <c r="J59" s="66"/>
      <c r="K59" s="80"/>
      <c r="L59" s="66"/>
      <c r="M59" s="66"/>
      <c r="N59" s="66"/>
      <c r="O59" s="66"/>
      <c r="P59" s="24"/>
      <c r="R59" s="25"/>
      <c r="S59" s="25"/>
    </row>
    <row r="60" ht="22.5" customHeight="1">
      <c r="B60" s="60"/>
      <c r="C60" s="60"/>
      <c r="D60" s="75"/>
      <c r="E60" s="75"/>
      <c r="F60" s="76"/>
      <c r="G60" s="77"/>
      <c r="H60" s="60"/>
      <c r="I60" s="60"/>
      <c r="J60" s="60"/>
      <c r="K60" s="78"/>
      <c r="L60" s="60"/>
      <c r="M60" s="60"/>
      <c r="N60" s="60"/>
      <c r="O60" s="60"/>
      <c r="P60" s="24"/>
      <c r="R60" s="25"/>
      <c r="S60" s="25"/>
    </row>
    <row r="61" ht="22.5" customHeight="1">
      <c r="B61" s="66"/>
      <c r="C61" s="66"/>
      <c r="D61" s="63"/>
      <c r="E61" s="63"/>
      <c r="F61" s="64"/>
      <c r="G61" s="65"/>
      <c r="H61" s="66"/>
      <c r="I61" s="66"/>
      <c r="J61" s="66"/>
      <c r="K61" s="80"/>
      <c r="L61" s="66"/>
      <c r="M61" s="66"/>
      <c r="N61" s="66"/>
      <c r="O61" s="66"/>
      <c r="P61" s="24"/>
      <c r="R61" s="25"/>
      <c r="S61" s="25"/>
    </row>
    <row r="62" ht="22.5" customHeight="1">
      <c r="B62" s="36"/>
      <c r="C62" s="36"/>
      <c r="D62" s="37"/>
      <c r="E62" s="37"/>
      <c r="F62" s="38"/>
      <c r="G62" s="39"/>
      <c r="H62" s="40"/>
      <c r="I62" s="40"/>
      <c r="J62" s="40"/>
      <c r="K62" s="41"/>
      <c r="L62" s="42"/>
      <c r="M62" s="42"/>
      <c r="N62" s="40"/>
      <c r="O62" s="40"/>
      <c r="P62" s="43" t="str">
        <f t="shared" ref="P62:S62" si="15">IF(LEN(O62), O62*M62*100, "")</f>
        <v/>
      </c>
      <c r="Q62" s="43" t="str">
        <f t="shared" si="15"/>
        <v/>
      </c>
      <c r="R62" s="43" t="str">
        <f t="shared" si="15"/>
        <v/>
      </c>
      <c r="S62" s="44" t="str">
        <f t="shared" si="15"/>
        <v/>
      </c>
    </row>
    <row r="63" ht="22.5" customHeight="1">
      <c r="B63" s="15" t="s">
        <v>28</v>
      </c>
      <c r="C63" s="88" t="s">
        <v>57</v>
      </c>
      <c r="D63" s="16">
        <f>IFERROR(__xludf.DUMMYFUNCTION("index(split(index(SPLIT($C63, "" ""),1), ""/"", 1),1)"),500.0)</f>
        <v>500</v>
      </c>
      <c r="E63" s="16">
        <f>IFERROR(__xludf.DUMMYFUNCTION("index(split(index(SPLIT($C63, "" ""),1), ""/"", 1),2)"),700.0)</f>
        <v>700</v>
      </c>
      <c r="F63" s="17">
        <f>D63+O63</f>
        <v>545.5</v>
      </c>
      <c r="G63" s="26">
        <v>46920.0</v>
      </c>
      <c r="H63" s="19">
        <f>recommendBullCallSpreadOpenDebit($B63, $G63, $D63, $E63, 60)</f>
        <v>41.83</v>
      </c>
      <c r="I63" s="19">
        <f>recommendBullCallSpreadCloseCredit($B63, $G63, $D63, $E63, 60)</f>
        <v>40.37</v>
      </c>
      <c r="J63" s="20" t="s">
        <v>58</v>
      </c>
      <c r="K63" s="89">
        <v>2.0</v>
      </c>
      <c r="L63" s="19">
        <f>100*K63*H63</f>
        <v>8366</v>
      </c>
      <c r="M63" s="90">
        <f>sum(M64:M67)</f>
        <v>2</v>
      </c>
      <c r="N63" s="66"/>
      <c r="O63" s="23">
        <f>IF(COUNTA(M64:M67)=0, H63, SUMPRODUCT(M64:M67, N64:N67) / SUM(M64:M67))</f>
        <v>45.5</v>
      </c>
      <c r="P63" s="24">
        <f>IF(LEN(O63), O63*M63*100, "")</f>
        <v>9100</v>
      </c>
      <c r="Q63" s="23">
        <f>(I63-O63)*100*M63</f>
        <v>-1026</v>
      </c>
      <c r="R63" s="25">
        <f>IFERROR(Q63/P63, 0)</f>
        <v>-0.1127472527</v>
      </c>
      <c r="S63" s="25">
        <f>(E63 - D63 - O63) / O63</f>
        <v>3.395604396</v>
      </c>
    </row>
    <row r="64" ht="22.5" customHeight="1">
      <c r="B64" s="60"/>
      <c r="C64" s="60"/>
      <c r="D64" s="75"/>
      <c r="E64" s="75"/>
      <c r="F64" s="76"/>
      <c r="G64" s="77"/>
      <c r="H64" s="60"/>
      <c r="I64" s="60"/>
      <c r="J64" s="60"/>
      <c r="K64" s="78"/>
      <c r="L64" s="91">
        <v>46024.0</v>
      </c>
      <c r="M64" s="93">
        <v>2.0</v>
      </c>
      <c r="N64" s="92">
        <v>45.5</v>
      </c>
      <c r="O64" s="60"/>
      <c r="P64" s="24"/>
      <c r="R64" s="25"/>
      <c r="S64" s="25"/>
    </row>
    <row r="65" ht="22.5" customHeight="1">
      <c r="B65" s="66"/>
      <c r="C65" s="66"/>
      <c r="D65" s="63"/>
      <c r="E65" s="63"/>
      <c r="F65" s="64"/>
      <c r="G65" s="65"/>
      <c r="H65" s="66"/>
      <c r="I65" s="66"/>
      <c r="J65" s="66"/>
      <c r="K65" s="80"/>
      <c r="L65" s="66"/>
      <c r="M65" s="66"/>
      <c r="N65" s="66"/>
      <c r="O65" s="66"/>
      <c r="P65" s="24"/>
      <c r="R65" s="25"/>
      <c r="S65" s="25"/>
    </row>
    <row r="66" ht="22.5" customHeight="1">
      <c r="B66" s="60"/>
      <c r="C66" s="60"/>
      <c r="D66" s="75"/>
      <c r="E66" s="75"/>
      <c r="F66" s="76"/>
      <c r="G66" s="77"/>
      <c r="H66" s="60"/>
      <c r="I66" s="60"/>
      <c r="J66" s="60"/>
      <c r="K66" s="78"/>
      <c r="L66" s="60"/>
      <c r="M66" s="60"/>
      <c r="N66" s="60"/>
      <c r="O66" s="60"/>
      <c r="P66" s="24"/>
      <c r="R66" s="25"/>
      <c r="S66" s="25"/>
    </row>
    <row r="67" ht="22.5" customHeight="1">
      <c r="B67" s="66"/>
      <c r="C67" s="66"/>
      <c r="D67" s="63"/>
      <c r="E67" s="63"/>
      <c r="F67" s="64"/>
      <c r="G67" s="65"/>
      <c r="H67" s="66"/>
      <c r="I67" s="66"/>
      <c r="J67" s="66"/>
      <c r="K67" s="80"/>
      <c r="L67" s="66"/>
      <c r="M67" s="66"/>
      <c r="N67" s="66"/>
      <c r="O67" s="66"/>
      <c r="P67" s="24"/>
      <c r="R67" s="25"/>
      <c r="S67" s="25"/>
    </row>
    <row r="68" ht="22.5" customHeight="1">
      <c r="B68" s="36"/>
      <c r="C68" s="36"/>
      <c r="D68" s="37"/>
      <c r="E68" s="37"/>
      <c r="F68" s="38"/>
      <c r="G68" s="39"/>
      <c r="H68" s="40"/>
      <c r="I68" s="40"/>
      <c r="J68" s="40"/>
      <c r="K68" s="41"/>
      <c r="L68" s="42"/>
      <c r="M68" s="42"/>
      <c r="N68" s="40"/>
      <c r="O68" s="40"/>
      <c r="P68" s="43" t="str">
        <f t="shared" ref="P68:S68" si="16">IF(LEN(O68), O68*M68*100, "")</f>
        <v/>
      </c>
      <c r="Q68" s="43" t="str">
        <f t="shared" si="16"/>
        <v/>
      </c>
      <c r="R68" s="43" t="str">
        <f t="shared" si="16"/>
        <v/>
      </c>
      <c r="S68" s="44" t="str">
        <f t="shared" si="16"/>
        <v/>
      </c>
    </row>
    <row r="69" ht="22.5" customHeight="1">
      <c r="B69" s="15" t="s">
        <v>28</v>
      </c>
      <c r="C69" s="88" t="s">
        <v>57</v>
      </c>
      <c r="D69" s="16">
        <f>IFERROR(__xludf.DUMMYFUNCTION("index(split(index(SPLIT($C69, "" ""),1), ""/"", 1),1)"),500.0)</f>
        <v>500</v>
      </c>
      <c r="E69" s="16">
        <f>IFERROR(__xludf.DUMMYFUNCTION("index(split(index(SPLIT($C69, "" ""),1), ""/"", 1),2)"),700.0)</f>
        <v>700</v>
      </c>
      <c r="F69" s="17">
        <f>D69+O69</f>
        <v>544</v>
      </c>
      <c r="G69" s="18">
        <v>47102.0</v>
      </c>
      <c r="H69" s="19">
        <f>recommendBullCallSpreadOpenDebit($B69, $G69, $D69, $E69, 60)</f>
        <v>42.64</v>
      </c>
      <c r="I69" s="19">
        <f>recommendBullCallSpreadCloseCredit($B69, $G69, $D69, $E69, 60)</f>
        <v>39.35</v>
      </c>
      <c r="J69" s="32" t="s">
        <v>59</v>
      </c>
      <c r="K69" s="89">
        <v>2.0</v>
      </c>
      <c r="L69" s="19">
        <f>100*K69*H69</f>
        <v>8528</v>
      </c>
      <c r="M69" s="90">
        <f>sum(M70:M73)</f>
        <v>2</v>
      </c>
      <c r="N69" s="66"/>
      <c r="O69" s="23">
        <f>IF(COUNTA(M70:M73)=0, H69, SUMPRODUCT(M70:M73, N70:N73) / SUM(M70:M73))</f>
        <v>44</v>
      </c>
      <c r="P69" s="24">
        <f>IF(LEN(O69), O69*M69*100, "")</f>
        <v>8800</v>
      </c>
      <c r="Q69" s="23">
        <f>(I69-O69)*100*M69</f>
        <v>-930</v>
      </c>
      <c r="R69" s="25">
        <f>IFERROR(Q69/P69, 0)</f>
        <v>-0.1056818182</v>
      </c>
      <c r="S69" s="25">
        <f>(E69 - D69 - O69) / O69</f>
        <v>3.545454545</v>
      </c>
    </row>
    <row r="70" ht="22.5" customHeight="1">
      <c r="B70" s="60"/>
      <c r="C70" s="60"/>
      <c r="D70" s="75"/>
      <c r="E70" s="75"/>
      <c r="F70" s="76"/>
      <c r="G70" s="77"/>
      <c r="H70" s="60"/>
      <c r="I70" s="60"/>
      <c r="J70" s="60"/>
      <c r="K70" s="78"/>
      <c r="L70" s="93"/>
      <c r="M70" s="93">
        <v>2.0</v>
      </c>
      <c r="N70" s="92">
        <v>44.0</v>
      </c>
      <c r="O70" s="60"/>
      <c r="P70" s="24"/>
      <c r="R70" s="25"/>
      <c r="S70" s="25"/>
    </row>
    <row r="71" ht="22.5" customHeight="1">
      <c r="B71" s="66"/>
      <c r="C71" s="66"/>
      <c r="D71" s="63"/>
      <c r="E71" s="63"/>
      <c r="F71" s="64"/>
      <c r="G71" s="65"/>
      <c r="H71" s="66"/>
      <c r="I71" s="66"/>
      <c r="J71" s="66"/>
      <c r="K71" s="80"/>
      <c r="L71" s="66"/>
      <c r="M71" s="66"/>
      <c r="N71" s="66"/>
      <c r="O71" s="66"/>
      <c r="P71" s="24"/>
      <c r="R71" s="25"/>
      <c r="S71" s="25"/>
    </row>
    <row r="72" ht="22.5" customHeight="1">
      <c r="B72" s="60"/>
      <c r="C72" s="60"/>
      <c r="D72" s="75"/>
      <c r="E72" s="75"/>
      <c r="F72" s="76"/>
      <c r="G72" s="77"/>
      <c r="H72" s="60"/>
      <c r="I72" s="60"/>
      <c r="J72" s="60"/>
      <c r="K72" s="78"/>
      <c r="L72" s="60"/>
      <c r="M72" s="60"/>
      <c r="N72" s="60"/>
      <c r="O72" s="60"/>
      <c r="P72" s="24"/>
      <c r="R72" s="25"/>
      <c r="S72" s="25"/>
    </row>
    <row r="73" ht="22.5" customHeight="1">
      <c r="B73" s="66"/>
      <c r="C73" s="66"/>
      <c r="D73" s="63"/>
      <c r="E73" s="63"/>
      <c r="F73" s="64"/>
      <c r="G73" s="65"/>
      <c r="H73" s="66"/>
      <c r="I73" s="66"/>
      <c r="J73" s="66"/>
      <c r="K73" s="80"/>
      <c r="L73" s="66"/>
      <c r="M73" s="66"/>
      <c r="N73" s="66"/>
      <c r="O73" s="66"/>
      <c r="P73" s="24"/>
      <c r="R73" s="25"/>
      <c r="S73" s="25"/>
    </row>
    <row r="74" ht="22.5" customHeight="1">
      <c r="B74" s="36"/>
      <c r="C74" s="36"/>
      <c r="D74" s="37"/>
      <c r="E74" s="37"/>
      <c r="F74" s="38"/>
      <c r="G74" s="39"/>
      <c r="H74" s="40"/>
      <c r="I74" s="40"/>
      <c r="J74" s="40"/>
      <c r="K74" s="41"/>
      <c r="L74" s="42"/>
      <c r="M74" s="42"/>
      <c r="N74" s="40"/>
      <c r="O74" s="40"/>
      <c r="P74" s="43" t="str">
        <f t="shared" ref="P74:S74" si="17">IF(LEN(O74), O74*M74*100, "")</f>
        <v/>
      </c>
      <c r="Q74" s="43" t="str">
        <f t="shared" si="17"/>
        <v/>
      </c>
      <c r="R74" s="43" t="str">
        <f t="shared" si="17"/>
        <v/>
      </c>
      <c r="S74" s="44" t="str">
        <f t="shared" si="17"/>
        <v/>
      </c>
    </row>
    <row r="75" ht="22.5" customHeight="1">
      <c r="B75" s="15" t="s">
        <v>28</v>
      </c>
      <c r="C75" s="88" t="s">
        <v>60</v>
      </c>
      <c r="D75" s="16">
        <f>IFERROR(__xludf.DUMMYFUNCTION("index(split(index(SPLIT($C75, "" ""),1), ""/"", 1),1)"),650.0)</f>
        <v>650</v>
      </c>
      <c r="E75" s="16">
        <f>IFERROR(__xludf.DUMMYFUNCTION("index(split(index(SPLIT($C75, "" ""),1), ""/"", 1),2)"),700.0)</f>
        <v>700</v>
      </c>
      <c r="F75" s="17">
        <f>D75+O75</f>
        <v>658.75</v>
      </c>
      <c r="G75" s="26">
        <v>46920.0</v>
      </c>
      <c r="H75" s="19">
        <f>recommendBullCallSpreadOpenDebit($B75, $G75, $D75, $E75, 60)</f>
        <v>8.75</v>
      </c>
      <c r="I75" s="19">
        <f>recommendBullCallSpreadCloseCredit($B75, $G75, $D75, $E75, 60)</f>
        <v>7.71</v>
      </c>
      <c r="J75" s="20" t="str">
        <f>buildOptionStratUrl(C75,"TSLA","bull-call-spread", G75)
</f>
        <v>https://optionstrat.com/build/bull-call-spread/TSLA/.TSLA280616C650,-.TSLA280616C700</v>
      </c>
      <c r="K75" s="89">
        <v>1.0</v>
      </c>
      <c r="L75" s="19">
        <f>100*K75*H75</f>
        <v>875</v>
      </c>
      <c r="M75" s="23">
        <f>sum(M76:M79)</f>
        <v>0</v>
      </c>
      <c r="N75" s="66"/>
      <c r="O75" s="23">
        <f>IF(COUNTA(M76:M79)=0, H75, SUMPRODUCT(M76:M79, N76:N79) / SUM(M76:M79))</f>
        <v>8.75</v>
      </c>
      <c r="P75" s="24">
        <f>IF(LEN(O75), O75*M75*100, "")</f>
        <v>0</v>
      </c>
      <c r="Q75" s="23">
        <f>(I75-O75)*100*M75</f>
        <v>0</v>
      </c>
      <c r="R75" s="25">
        <f>IFERROR(Q75/P75, 0)</f>
        <v>0</v>
      </c>
      <c r="S75" s="25">
        <f>(E75 - D75 - O75) / O75</f>
        <v>4.714285714</v>
      </c>
    </row>
    <row r="76" ht="22.5" customHeight="1">
      <c r="B76" s="60"/>
      <c r="C76" s="60"/>
      <c r="D76" s="75"/>
      <c r="E76" s="75"/>
      <c r="F76" s="76"/>
      <c r="G76" s="77"/>
      <c r="H76" s="60"/>
      <c r="I76" s="60"/>
      <c r="J76" s="60"/>
      <c r="K76" s="78"/>
      <c r="L76" s="93"/>
      <c r="M76" s="93"/>
      <c r="N76" s="92"/>
      <c r="O76" s="60"/>
      <c r="P76" s="24"/>
      <c r="R76" s="25"/>
      <c r="S76" s="25"/>
    </row>
    <row r="77" ht="22.5" customHeight="1">
      <c r="B77" s="66"/>
      <c r="C77" s="66"/>
      <c r="D77" s="63"/>
      <c r="E77" s="63"/>
      <c r="F77" s="64"/>
      <c r="G77" s="65"/>
      <c r="H77" s="66"/>
      <c r="I77" s="66"/>
      <c r="J77" s="66"/>
      <c r="K77" s="80"/>
      <c r="L77" s="66"/>
      <c r="M77" s="66"/>
      <c r="N77" s="66"/>
      <c r="O77" s="66"/>
      <c r="P77" s="24"/>
      <c r="R77" s="25"/>
      <c r="S77" s="25"/>
    </row>
    <row r="78" ht="22.5" customHeight="1">
      <c r="B78" s="60"/>
      <c r="C78" s="60"/>
      <c r="D78" s="75"/>
      <c r="E78" s="75"/>
      <c r="F78" s="76"/>
      <c r="G78" s="77"/>
      <c r="H78" s="60"/>
      <c r="I78" s="60"/>
      <c r="J78" s="60"/>
      <c r="K78" s="78"/>
      <c r="L78" s="60"/>
      <c r="M78" s="60"/>
      <c r="N78" s="60"/>
      <c r="O78" s="60"/>
      <c r="P78" s="24"/>
      <c r="R78" s="25"/>
      <c r="S78" s="25"/>
    </row>
    <row r="79" ht="22.5" customHeight="1">
      <c r="B79" s="66"/>
      <c r="C79" s="66"/>
      <c r="D79" s="63"/>
      <c r="E79" s="63"/>
      <c r="F79" s="64"/>
      <c r="G79" s="65"/>
      <c r="H79" s="66"/>
      <c r="I79" s="66"/>
      <c r="J79" s="66"/>
      <c r="K79" s="80"/>
      <c r="L79" s="66"/>
      <c r="M79" s="66"/>
      <c r="N79" s="66"/>
      <c r="O79" s="66"/>
      <c r="P79" s="24"/>
      <c r="R79" s="25"/>
      <c r="S79" s="25"/>
    </row>
    <row r="80" ht="22.5" customHeight="1">
      <c r="B80" s="94"/>
      <c r="C80" s="94"/>
      <c r="D80" s="95"/>
      <c r="E80" s="95"/>
      <c r="F80" s="96"/>
      <c r="G80" s="97"/>
      <c r="H80" s="94"/>
      <c r="I80" s="94"/>
      <c r="J80" s="94"/>
      <c r="K80" s="98"/>
      <c r="L80" s="94"/>
      <c r="M80" s="94"/>
      <c r="N80" s="94"/>
      <c r="O80" s="94"/>
      <c r="P80" s="24"/>
      <c r="R80" s="25"/>
      <c r="S80" s="25"/>
    </row>
    <row r="81" ht="22.5" customHeight="1">
      <c r="D81" s="83"/>
      <c r="E81" s="83"/>
      <c r="F81" s="84"/>
      <c r="G81" s="85"/>
      <c r="K81" s="86"/>
      <c r="P81" s="24"/>
      <c r="R81" s="25"/>
      <c r="S81" s="25"/>
    </row>
    <row r="82" ht="22.5" customHeight="1">
      <c r="D82" s="83"/>
      <c r="E82" s="83"/>
      <c r="F82" s="84"/>
      <c r="G82" s="85"/>
      <c r="K82" s="86"/>
      <c r="P82" s="24"/>
      <c r="R82" s="25"/>
      <c r="S82" s="25"/>
    </row>
    <row r="83" ht="22.5" customHeight="1">
      <c r="B83" s="99"/>
      <c r="C83" s="99"/>
      <c r="D83" s="100"/>
      <c r="E83" s="100"/>
      <c r="F83" s="101"/>
      <c r="G83" s="102"/>
      <c r="H83" s="99"/>
      <c r="I83" s="99"/>
      <c r="J83" s="99"/>
      <c r="K83" s="103"/>
      <c r="L83" s="99">
        <f>sum(BullCallSpreads[Target Invst])</f>
        <v>699565</v>
      </c>
      <c r="M83" s="99"/>
      <c r="N83" s="99"/>
      <c r="O83" s="99"/>
      <c r="P83" s="104">
        <f>sum(BullCallSpreads[Investment])</f>
        <v>243329</v>
      </c>
      <c r="Q83" s="104">
        <f>sum(BullCallSpreads[Gain])</f>
        <v>-22523</v>
      </c>
      <c r="R83" s="105">
        <f>IFERROR(Q83/P83, 0)</f>
        <v>-0.09256192234</v>
      </c>
      <c r="S83" s="106"/>
    </row>
    <row r="84">
      <c r="D84" s="2"/>
      <c r="E84" s="2"/>
      <c r="F84" s="3"/>
      <c r="G84" s="2"/>
      <c r="K84" s="4"/>
    </row>
    <row r="85">
      <c r="D85" s="2"/>
      <c r="E85" s="2"/>
      <c r="F85" s="3"/>
      <c r="G85" s="2"/>
      <c r="K85" s="4"/>
    </row>
    <row r="86">
      <c r="D86" s="2"/>
      <c r="E86" s="2"/>
      <c r="F86" s="3"/>
      <c r="G86" s="2"/>
      <c r="K86" s="4"/>
    </row>
    <row r="87">
      <c r="D87" s="2"/>
      <c r="E87" s="2"/>
      <c r="F87" s="3"/>
      <c r="G87" s="2"/>
      <c r="K87" s="4"/>
    </row>
    <row r="88">
      <c r="D88" s="2"/>
      <c r="E88" s="2"/>
      <c r="F88" s="3"/>
      <c r="G88" s="2"/>
      <c r="K88" s="4"/>
    </row>
    <row r="89">
      <c r="D89" s="2"/>
      <c r="E89" s="2"/>
      <c r="F89" s="3"/>
      <c r="G89" s="2"/>
      <c r="K89" s="4"/>
    </row>
    <row r="90">
      <c r="D90" s="2"/>
      <c r="E90" s="2"/>
      <c r="F90" s="3"/>
      <c r="G90" s="2"/>
      <c r="K90" s="4"/>
    </row>
    <row r="91">
      <c r="D91" s="2"/>
      <c r="E91" s="2"/>
      <c r="F91" s="3"/>
      <c r="G91" s="2"/>
      <c r="K91" s="4"/>
    </row>
    <row r="92">
      <c r="D92" s="2"/>
      <c r="E92" s="2"/>
      <c r="F92" s="3"/>
      <c r="G92" s="2"/>
      <c r="K92" s="4"/>
    </row>
    <row r="93">
      <c r="D93" s="2"/>
      <c r="E93" s="2"/>
      <c r="F93" s="3"/>
      <c r="G93" s="2"/>
      <c r="K93" s="4"/>
    </row>
    <row r="94">
      <c r="D94" s="2"/>
      <c r="E94" s="2"/>
      <c r="F94" s="3"/>
      <c r="G94" s="2"/>
      <c r="K94" s="4"/>
    </row>
    <row r="95">
      <c r="D95" s="2"/>
      <c r="E95" s="2"/>
      <c r="F95" s="3"/>
      <c r="G95" s="2"/>
      <c r="K95" s="4"/>
    </row>
    <row r="96">
      <c r="D96" s="2"/>
      <c r="E96" s="2"/>
      <c r="F96" s="3"/>
      <c r="G96" s="2"/>
      <c r="K96" s="4"/>
    </row>
    <row r="97">
      <c r="D97" s="2"/>
      <c r="E97" s="2"/>
      <c r="F97" s="3"/>
      <c r="G97" s="2"/>
      <c r="K97" s="4"/>
    </row>
    <row r="98">
      <c r="D98" s="2"/>
      <c r="E98" s="2"/>
      <c r="F98" s="3"/>
      <c r="G98" s="2"/>
      <c r="K98" s="4"/>
    </row>
    <row r="99">
      <c r="D99" s="2"/>
      <c r="E99" s="2"/>
      <c r="F99" s="3"/>
      <c r="G99" s="2"/>
      <c r="K99" s="4"/>
    </row>
    <row r="100">
      <c r="D100" s="2"/>
      <c r="E100" s="2"/>
      <c r="F100" s="3"/>
      <c r="G100" s="2"/>
      <c r="K100" s="4"/>
    </row>
    <row r="101">
      <c r="D101" s="2"/>
      <c r="E101" s="2"/>
      <c r="F101" s="3"/>
      <c r="G101" s="2"/>
      <c r="K101" s="4"/>
    </row>
    <row r="102">
      <c r="D102" s="2"/>
      <c r="E102" s="2"/>
      <c r="F102" s="3"/>
      <c r="G102" s="2"/>
      <c r="K102" s="4"/>
    </row>
    <row r="103">
      <c r="D103" s="2"/>
      <c r="E103" s="2"/>
      <c r="F103" s="3"/>
      <c r="G103" s="2"/>
      <c r="K103" s="4"/>
    </row>
    <row r="104">
      <c r="D104" s="2"/>
      <c r="E104" s="2"/>
      <c r="F104" s="3"/>
      <c r="G104" s="2"/>
      <c r="K104" s="4"/>
    </row>
    <row r="105">
      <c r="D105" s="2"/>
      <c r="E105" s="2"/>
      <c r="F105" s="3"/>
      <c r="G105" s="2"/>
      <c r="K105" s="4"/>
    </row>
    <row r="106">
      <c r="D106" s="2"/>
      <c r="E106" s="2"/>
      <c r="F106" s="3"/>
      <c r="G106" s="2"/>
      <c r="K106" s="4"/>
    </row>
    <row r="107">
      <c r="D107" s="2"/>
      <c r="E107" s="2"/>
      <c r="F107" s="3"/>
      <c r="G107" s="2"/>
      <c r="K107" s="4"/>
    </row>
    <row r="108">
      <c r="D108" s="2"/>
      <c r="E108" s="2"/>
      <c r="F108" s="3"/>
      <c r="G108" s="2"/>
      <c r="K108" s="4"/>
    </row>
    <row r="109">
      <c r="D109" s="2"/>
      <c r="E109" s="2"/>
      <c r="F109" s="3"/>
      <c r="G109" s="2"/>
      <c r="K109" s="4"/>
    </row>
    <row r="110">
      <c r="D110" s="2"/>
      <c r="E110" s="2"/>
      <c r="F110" s="3"/>
      <c r="G110" s="2"/>
      <c r="K110" s="4"/>
    </row>
    <row r="111">
      <c r="D111" s="2"/>
      <c r="E111" s="2"/>
      <c r="F111" s="3"/>
      <c r="G111" s="2"/>
      <c r="K111" s="4"/>
    </row>
    <row r="112">
      <c r="D112" s="2"/>
      <c r="E112" s="2"/>
      <c r="F112" s="3"/>
      <c r="G112" s="2"/>
      <c r="K112" s="4"/>
    </row>
    <row r="113">
      <c r="D113" s="2"/>
      <c r="E113" s="2"/>
      <c r="F113" s="3"/>
      <c r="G113" s="2"/>
      <c r="K113" s="4"/>
    </row>
    <row r="114">
      <c r="D114" s="2"/>
      <c r="E114" s="2"/>
      <c r="F114" s="3"/>
      <c r="G114" s="2"/>
      <c r="K114" s="4"/>
    </row>
    <row r="115">
      <c r="D115" s="2"/>
      <c r="E115" s="2"/>
      <c r="F115" s="3"/>
      <c r="G115" s="2"/>
      <c r="K115" s="4"/>
    </row>
    <row r="116">
      <c r="D116" s="2"/>
      <c r="E116" s="2"/>
      <c r="F116" s="3"/>
      <c r="G116" s="2"/>
      <c r="K116" s="4"/>
    </row>
    <row r="117">
      <c r="D117" s="2"/>
      <c r="E117" s="2"/>
      <c r="F117" s="3"/>
      <c r="G117" s="2"/>
      <c r="K117" s="4"/>
    </row>
    <row r="118">
      <c r="D118" s="2"/>
      <c r="E118" s="2"/>
      <c r="F118" s="3"/>
      <c r="G118" s="2"/>
      <c r="K118" s="4"/>
    </row>
    <row r="119">
      <c r="D119" s="2"/>
      <c r="E119" s="2"/>
      <c r="F119" s="3"/>
      <c r="G119" s="2"/>
      <c r="K119" s="4"/>
    </row>
    <row r="120">
      <c r="D120" s="2"/>
      <c r="E120" s="2"/>
      <c r="F120" s="3"/>
      <c r="G120" s="2"/>
      <c r="K120" s="4"/>
    </row>
    <row r="121">
      <c r="D121" s="2"/>
      <c r="E121" s="2"/>
      <c r="F121" s="3"/>
      <c r="G121" s="2"/>
      <c r="K121" s="4"/>
    </row>
    <row r="122">
      <c r="D122" s="2"/>
      <c r="E122" s="2"/>
      <c r="F122" s="3"/>
      <c r="G122" s="2"/>
      <c r="K122" s="4"/>
    </row>
    <row r="123">
      <c r="D123" s="2"/>
      <c r="E123" s="2"/>
      <c r="F123" s="3"/>
      <c r="G123" s="2"/>
      <c r="K123" s="4"/>
    </row>
    <row r="124">
      <c r="D124" s="2"/>
      <c r="E124" s="2"/>
      <c r="F124" s="3"/>
      <c r="G124" s="2"/>
      <c r="K124" s="4"/>
    </row>
    <row r="125">
      <c r="D125" s="2"/>
      <c r="E125" s="2"/>
      <c r="F125" s="3"/>
      <c r="G125" s="2"/>
      <c r="K125" s="4"/>
    </row>
    <row r="126">
      <c r="D126" s="2"/>
      <c r="E126" s="2"/>
      <c r="F126" s="3"/>
      <c r="G126" s="2"/>
      <c r="K126" s="4"/>
    </row>
    <row r="127">
      <c r="D127" s="2"/>
      <c r="E127" s="2"/>
      <c r="F127" s="3"/>
      <c r="G127" s="2"/>
      <c r="K127" s="4"/>
    </row>
    <row r="128">
      <c r="D128" s="2"/>
      <c r="E128" s="2"/>
      <c r="F128" s="3"/>
      <c r="G128" s="2"/>
      <c r="K128" s="4"/>
    </row>
    <row r="129">
      <c r="D129" s="2"/>
      <c r="E129" s="2"/>
      <c r="F129" s="3"/>
      <c r="G129" s="2"/>
      <c r="K129" s="4"/>
    </row>
    <row r="130">
      <c r="D130" s="2"/>
      <c r="E130" s="2"/>
      <c r="F130" s="3"/>
      <c r="G130" s="2"/>
      <c r="K130" s="4"/>
    </row>
    <row r="131">
      <c r="D131" s="2"/>
      <c r="E131" s="2"/>
      <c r="F131" s="3"/>
      <c r="G131" s="2"/>
      <c r="K131" s="4"/>
    </row>
    <row r="132">
      <c r="D132" s="2"/>
      <c r="E132" s="2"/>
      <c r="F132" s="3"/>
      <c r="G132" s="2"/>
      <c r="K132" s="4"/>
    </row>
    <row r="133">
      <c r="D133" s="2"/>
      <c r="E133" s="2"/>
      <c r="F133" s="3"/>
      <c r="G133" s="2"/>
      <c r="K133" s="4"/>
    </row>
    <row r="134">
      <c r="D134" s="2"/>
      <c r="E134" s="2"/>
      <c r="F134" s="3"/>
      <c r="G134" s="2"/>
      <c r="K134" s="4"/>
    </row>
    <row r="135">
      <c r="D135" s="2"/>
      <c r="E135" s="2"/>
      <c r="F135" s="3"/>
      <c r="G135" s="2"/>
      <c r="K135" s="4"/>
    </row>
    <row r="136">
      <c r="D136" s="2"/>
      <c r="E136" s="2"/>
      <c r="F136" s="3"/>
      <c r="G136" s="2"/>
      <c r="K136" s="4"/>
    </row>
    <row r="137">
      <c r="D137" s="2"/>
      <c r="E137" s="2"/>
      <c r="F137" s="3"/>
      <c r="G137" s="2"/>
      <c r="K137" s="4"/>
    </row>
    <row r="138">
      <c r="D138" s="2"/>
      <c r="E138" s="2"/>
      <c r="F138" s="3"/>
      <c r="G138" s="2"/>
      <c r="K138" s="4"/>
    </row>
    <row r="139">
      <c r="D139" s="2"/>
      <c r="E139" s="2"/>
      <c r="F139" s="3"/>
      <c r="G139" s="2"/>
      <c r="K139" s="4"/>
    </row>
    <row r="140">
      <c r="D140" s="2"/>
      <c r="E140" s="2"/>
      <c r="F140" s="3"/>
      <c r="G140" s="2"/>
      <c r="K140" s="4"/>
    </row>
    <row r="141">
      <c r="D141" s="2"/>
      <c r="E141" s="2"/>
      <c r="F141" s="3"/>
      <c r="G141" s="2"/>
      <c r="K141" s="4"/>
    </row>
    <row r="142">
      <c r="D142" s="2"/>
      <c r="E142" s="2"/>
      <c r="F142" s="3"/>
      <c r="G142" s="2"/>
      <c r="K142" s="4"/>
    </row>
    <row r="143">
      <c r="D143" s="2"/>
      <c r="E143" s="2"/>
      <c r="F143" s="3"/>
      <c r="G143" s="2"/>
      <c r="K143" s="4"/>
    </row>
    <row r="144">
      <c r="D144" s="2"/>
      <c r="E144" s="2"/>
      <c r="F144" s="3"/>
      <c r="G144" s="2"/>
      <c r="K144" s="4"/>
    </row>
    <row r="145">
      <c r="D145" s="2"/>
      <c r="E145" s="2"/>
      <c r="F145" s="3"/>
      <c r="G145" s="2"/>
      <c r="K145" s="4"/>
    </row>
    <row r="146">
      <c r="D146" s="2"/>
      <c r="E146" s="2"/>
      <c r="F146" s="3"/>
      <c r="G146" s="2"/>
      <c r="K146" s="4"/>
    </row>
    <row r="147">
      <c r="D147" s="2"/>
      <c r="E147" s="2"/>
      <c r="F147" s="3"/>
      <c r="G147" s="2"/>
      <c r="K147" s="4"/>
    </row>
    <row r="148">
      <c r="D148" s="2"/>
      <c r="E148" s="2"/>
      <c r="F148" s="3"/>
      <c r="G148" s="2"/>
      <c r="K148" s="4"/>
    </row>
    <row r="149">
      <c r="D149" s="2"/>
      <c r="E149" s="2"/>
      <c r="F149" s="3"/>
      <c r="G149" s="2"/>
      <c r="K149" s="4"/>
    </row>
    <row r="150">
      <c r="D150" s="2"/>
      <c r="E150" s="2"/>
      <c r="F150" s="3"/>
      <c r="G150" s="2"/>
      <c r="K150" s="4"/>
    </row>
    <row r="151">
      <c r="D151" s="2"/>
      <c r="E151" s="2"/>
      <c r="F151" s="3"/>
      <c r="G151" s="2"/>
      <c r="K151" s="4"/>
    </row>
    <row r="152">
      <c r="D152" s="2"/>
      <c r="E152" s="2"/>
      <c r="F152" s="3"/>
      <c r="G152" s="2"/>
      <c r="K152" s="4"/>
    </row>
    <row r="153">
      <c r="D153" s="2"/>
      <c r="E153" s="2"/>
      <c r="F153" s="3"/>
      <c r="G153" s="2"/>
      <c r="K153" s="4"/>
    </row>
    <row r="154">
      <c r="D154" s="2"/>
      <c r="E154" s="2"/>
      <c r="F154" s="3"/>
      <c r="G154" s="2"/>
      <c r="K154" s="4"/>
    </row>
    <row r="155">
      <c r="D155" s="2"/>
      <c r="E155" s="2"/>
      <c r="F155" s="3"/>
      <c r="G155" s="2"/>
      <c r="K155" s="4"/>
    </row>
    <row r="156">
      <c r="D156" s="2"/>
      <c r="E156" s="2"/>
      <c r="F156" s="3"/>
      <c r="G156" s="2"/>
      <c r="K156" s="4"/>
    </row>
    <row r="157">
      <c r="D157" s="2"/>
      <c r="E157" s="2"/>
      <c r="F157" s="3"/>
      <c r="G157" s="2"/>
      <c r="K157" s="4"/>
    </row>
    <row r="158">
      <c r="D158" s="2"/>
      <c r="E158" s="2"/>
      <c r="F158" s="3"/>
      <c r="G158" s="2"/>
      <c r="K158" s="4"/>
    </row>
    <row r="159">
      <c r="D159" s="2"/>
      <c r="E159" s="2"/>
      <c r="F159" s="3"/>
      <c r="G159" s="2"/>
      <c r="K159" s="4"/>
    </row>
    <row r="160">
      <c r="D160" s="2"/>
      <c r="E160" s="2"/>
      <c r="F160" s="3"/>
      <c r="G160" s="2"/>
      <c r="K160" s="4"/>
    </row>
    <row r="161">
      <c r="D161" s="2"/>
      <c r="E161" s="2"/>
      <c r="F161" s="3"/>
      <c r="G161" s="2"/>
      <c r="K161" s="4"/>
    </row>
    <row r="162">
      <c r="D162" s="2"/>
      <c r="E162" s="2"/>
      <c r="F162" s="3"/>
      <c r="G162" s="2"/>
      <c r="K162" s="4"/>
    </row>
    <row r="163">
      <c r="D163" s="2"/>
      <c r="E163" s="2"/>
      <c r="F163" s="3"/>
      <c r="G163" s="2"/>
      <c r="K163" s="4"/>
    </row>
    <row r="164">
      <c r="D164" s="2"/>
      <c r="E164" s="2"/>
      <c r="F164" s="3"/>
      <c r="G164" s="2"/>
      <c r="K164" s="4"/>
    </row>
    <row r="165">
      <c r="D165" s="2"/>
      <c r="E165" s="2"/>
      <c r="F165" s="3"/>
      <c r="G165" s="2"/>
      <c r="K165" s="4"/>
    </row>
    <row r="166">
      <c r="D166" s="2"/>
      <c r="E166" s="2"/>
      <c r="F166" s="3"/>
      <c r="G166" s="2"/>
      <c r="K166" s="4"/>
    </row>
    <row r="167">
      <c r="D167" s="2"/>
      <c r="E167" s="2"/>
      <c r="F167" s="3"/>
      <c r="G167" s="2"/>
      <c r="K167" s="4"/>
    </row>
    <row r="168">
      <c r="D168" s="2"/>
      <c r="E168" s="2"/>
      <c r="F168" s="3"/>
      <c r="G168" s="2"/>
      <c r="K168" s="4"/>
    </row>
    <row r="169">
      <c r="D169" s="2"/>
      <c r="E169" s="2"/>
      <c r="F169" s="3"/>
      <c r="G169" s="2"/>
      <c r="K169" s="4"/>
    </row>
    <row r="170">
      <c r="D170" s="2"/>
      <c r="E170" s="2"/>
      <c r="F170" s="3"/>
      <c r="G170" s="2"/>
      <c r="K170" s="4"/>
    </row>
    <row r="171">
      <c r="D171" s="2"/>
      <c r="E171" s="2"/>
      <c r="F171" s="3"/>
      <c r="G171" s="2"/>
      <c r="K171" s="4"/>
    </row>
    <row r="172">
      <c r="D172" s="2"/>
      <c r="E172" s="2"/>
      <c r="F172" s="3"/>
      <c r="G172" s="2"/>
      <c r="K172" s="4"/>
    </row>
    <row r="173">
      <c r="D173" s="2"/>
      <c r="E173" s="2"/>
      <c r="F173" s="3"/>
      <c r="G173" s="2"/>
      <c r="K173" s="4"/>
    </row>
    <row r="174">
      <c r="D174" s="2"/>
      <c r="E174" s="2"/>
      <c r="F174" s="3"/>
      <c r="G174" s="2"/>
      <c r="K174" s="4"/>
    </row>
    <row r="175">
      <c r="D175" s="2"/>
      <c r="E175" s="2"/>
      <c r="F175" s="3"/>
      <c r="G175" s="2"/>
      <c r="K175" s="4"/>
    </row>
    <row r="176">
      <c r="D176" s="2"/>
      <c r="E176" s="2"/>
      <c r="F176" s="3"/>
      <c r="G176" s="2"/>
      <c r="K176" s="4"/>
    </row>
    <row r="177">
      <c r="D177" s="2"/>
      <c r="E177" s="2"/>
      <c r="F177" s="3"/>
      <c r="G177" s="2"/>
      <c r="K177" s="4"/>
    </row>
    <row r="178">
      <c r="D178" s="2"/>
      <c r="E178" s="2"/>
      <c r="F178" s="3"/>
      <c r="G178" s="2"/>
      <c r="K178" s="4"/>
    </row>
    <row r="179">
      <c r="D179" s="2"/>
      <c r="E179" s="2"/>
      <c r="F179" s="3"/>
      <c r="G179" s="2"/>
      <c r="K179" s="4"/>
    </row>
    <row r="180">
      <c r="D180" s="2"/>
      <c r="E180" s="2"/>
      <c r="F180" s="3"/>
      <c r="G180" s="2"/>
      <c r="K180" s="4"/>
    </row>
    <row r="181">
      <c r="D181" s="2"/>
      <c r="E181" s="2"/>
      <c r="F181" s="3"/>
      <c r="G181" s="2"/>
      <c r="K181" s="4"/>
    </row>
    <row r="182">
      <c r="D182" s="2"/>
      <c r="E182" s="2"/>
      <c r="F182" s="3"/>
      <c r="G182" s="2"/>
      <c r="K182" s="4"/>
    </row>
    <row r="183">
      <c r="D183" s="2"/>
      <c r="E183" s="2"/>
      <c r="F183" s="3"/>
      <c r="G183" s="2"/>
      <c r="K183" s="4"/>
    </row>
    <row r="184">
      <c r="D184" s="2"/>
      <c r="E184" s="2"/>
      <c r="F184" s="3"/>
      <c r="G184" s="2"/>
      <c r="K184" s="4"/>
    </row>
    <row r="185">
      <c r="D185" s="2"/>
      <c r="E185" s="2"/>
      <c r="F185" s="3"/>
      <c r="G185" s="2"/>
      <c r="K185" s="4"/>
    </row>
    <row r="186">
      <c r="D186" s="2"/>
      <c r="E186" s="2"/>
      <c r="F186" s="3"/>
      <c r="G186" s="2"/>
      <c r="K186" s="4"/>
    </row>
    <row r="187">
      <c r="D187" s="2"/>
      <c r="E187" s="2"/>
      <c r="F187" s="3"/>
      <c r="G187" s="2"/>
      <c r="K187" s="4"/>
    </row>
    <row r="188">
      <c r="D188" s="2"/>
      <c r="E188" s="2"/>
      <c r="F188" s="3"/>
      <c r="G188" s="2"/>
      <c r="K188" s="4"/>
    </row>
    <row r="189">
      <c r="D189" s="2"/>
      <c r="E189" s="2"/>
      <c r="F189" s="3"/>
      <c r="G189" s="2"/>
      <c r="K189" s="4"/>
    </row>
    <row r="190">
      <c r="D190" s="2"/>
      <c r="E190" s="2"/>
      <c r="F190" s="3"/>
      <c r="G190" s="2"/>
      <c r="K190" s="4"/>
    </row>
    <row r="191">
      <c r="D191" s="2"/>
      <c r="E191" s="2"/>
      <c r="F191" s="3"/>
      <c r="G191" s="2"/>
      <c r="K191" s="4"/>
    </row>
    <row r="192">
      <c r="D192" s="2"/>
      <c r="E192" s="2"/>
      <c r="F192" s="3"/>
      <c r="G192" s="2"/>
      <c r="K192" s="4"/>
    </row>
    <row r="193">
      <c r="D193" s="2"/>
      <c r="E193" s="2"/>
      <c r="F193" s="3"/>
      <c r="G193" s="2"/>
      <c r="K193" s="4"/>
    </row>
    <row r="194">
      <c r="D194" s="2"/>
      <c r="E194" s="2"/>
      <c r="F194" s="3"/>
      <c r="G194" s="2"/>
      <c r="K194" s="4"/>
    </row>
    <row r="195">
      <c r="D195" s="2"/>
      <c r="E195" s="2"/>
      <c r="F195" s="3"/>
      <c r="G195" s="2"/>
      <c r="K195" s="4"/>
    </row>
    <row r="196">
      <c r="D196" s="2"/>
      <c r="E196" s="2"/>
      <c r="F196" s="3"/>
      <c r="G196" s="2"/>
      <c r="K196" s="4"/>
    </row>
    <row r="197">
      <c r="D197" s="2"/>
      <c r="E197" s="2"/>
      <c r="F197" s="3"/>
      <c r="G197" s="2"/>
      <c r="K197" s="4"/>
    </row>
    <row r="198">
      <c r="D198" s="2"/>
      <c r="E198" s="2"/>
      <c r="F198" s="3"/>
      <c r="G198" s="2"/>
      <c r="K198" s="4"/>
    </row>
    <row r="199">
      <c r="D199" s="2"/>
      <c r="E199" s="2"/>
      <c r="F199" s="3"/>
      <c r="G199" s="2"/>
      <c r="K199" s="4"/>
    </row>
    <row r="200">
      <c r="D200" s="2"/>
      <c r="E200" s="2"/>
      <c r="F200" s="3"/>
      <c r="G200" s="2"/>
      <c r="K200" s="4"/>
    </row>
    <row r="201">
      <c r="D201" s="2"/>
      <c r="E201" s="2"/>
      <c r="F201" s="3"/>
      <c r="G201" s="2"/>
      <c r="K201" s="4"/>
    </row>
    <row r="202">
      <c r="D202" s="2"/>
      <c r="E202" s="2"/>
      <c r="F202" s="3"/>
      <c r="G202" s="2"/>
      <c r="K202" s="4"/>
    </row>
    <row r="203">
      <c r="D203" s="2"/>
      <c r="E203" s="2"/>
      <c r="F203" s="3"/>
      <c r="G203" s="2"/>
      <c r="K203" s="4"/>
    </row>
    <row r="204">
      <c r="D204" s="2"/>
      <c r="E204" s="2"/>
      <c r="F204" s="3"/>
      <c r="G204" s="2"/>
      <c r="K204" s="4"/>
    </row>
    <row r="205">
      <c r="D205" s="2"/>
      <c r="E205" s="2"/>
      <c r="F205" s="3"/>
      <c r="G205" s="2"/>
      <c r="K205" s="4"/>
    </row>
    <row r="206">
      <c r="D206" s="2"/>
      <c r="E206" s="2"/>
      <c r="F206" s="3"/>
      <c r="G206" s="2"/>
      <c r="K206" s="4"/>
    </row>
    <row r="207">
      <c r="D207" s="2"/>
      <c r="E207" s="2"/>
      <c r="F207" s="3"/>
      <c r="G207" s="2"/>
      <c r="K207" s="4"/>
    </row>
    <row r="208">
      <c r="D208" s="2"/>
      <c r="E208" s="2"/>
      <c r="F208" s="3"/>
      <c r="G208" s="2"/>
      <c r="K208" s="4"/>
    </row>
    <row r="209">
      <c r="D209" s="2"/>
      <c r="E209" s="2"/>
      <c r="F209" s="3"/>
      <c r="G209" s="2"/>
      <c r="K209" s="4"/>
    </row>
    <row r="210">
      <c r="D210" s="2"/>
      <c r="E210" s="2"/>
      <c r="F210" s="3"/>
      <c r="G210" s="2"/>
      <c r="K210" s="4"/>
    </row>
    <row r="211">
      <c r="D211" s="2"/>
      <c r="E211" s="2"/>
      <c r="F211" s="3"/>
      <c r="G211" s="2"/>
      <c r="K211" s="4"/>
    </row>
    <row r="212">
      <c r="D212" s="2"/>
      <c r="E212" s="2"/>
      <c r="F212" s="3"/>
      <c r="G212" s="2"/>
      <c r="K212" s="4"/>
    </row>
    <row r="213">
      <c r="D213" s="2"/>
      <c r="E213" s="2"/>
      <c r="F213" s="3"/>
      <c r="G213" s="2"/>
      <c r="K213" s="4"/>
    </row>
    <row r="214">
      <c r="D214" s="2"/>
      <c r="E214" s="2"/>
      <c r="F214" s="3"/>
      <c r="G214" s="2"/>
      <c r="K214" s="4"/>
    </row>
    <row r="215">
      <c r="D215" s="2"/>
      <c r="E215" s="2"/>
      <c r="F215" s="3"/>
      <c r="G215" s="2"/>
      <c r="K215" s="4"/>
    </row>
    <row r="216">
      <c r="D216" s="2"/>
      <c r="E216" s="2"/>
      <c r="F216" s="3"/>
      <c r="G216" s="2"/>
      <c r="K216" s="4"/>
    </row>
    <row r="217">
      <c r="D217" s="2"/>
      <c r="E217" s="2"/>
      <c r="F217" s="3"/>
      <c r="G217" s="2"/>
      <c r="K217" s="4"/>
    </row>
    <row r="218">
      <c r="D218" s="2"/>
      <c r="E218" s="2"/>
      <c r="F218" s="3"/>
      <c r="G218" s="2"/>
      <c r="K218" s="4"/>
    </row>
    <row r="219">
      <c r="D219" s="2"/>
      <c r="E219" s="2"/>
      <c r="F219" s="3"/>
      <c r="G219" s="2"/>
      <c r="K219" s="4"/>
    </row>
    <row r="220">
      <c r="D220" s="2"/>
      <c r="E220" s="2"/>
      <c r="F220" s="3"/>
      <c r="G220" s="2"/>
      <c r="K220" s="4"/>
    </row>
    <row r="221">
      <c r="D221" s="2"/>
      <c r="E221" s="2"/>
      <c r="F221" s="3"/>
      <c r="G221" s="2"/>
      <c r="K221" s="4"/>
    </row>
    <row r="222">
      <c r="D222" s="2"/>
      <c r="E222" s="2"/>
      <c r="F222" s="3"/>
      <c r="G222" s="2"/>
      <c r="K222" s="4"/>
    </row>
    <row r="223">
      <c r="D223" s="2"/>
      <c r="E223" s="2"/>
      <c r="F223" s="3"/>
      <c r="G223" s="2"/>
      <c r="K223" s="4"/>
    </row>
    <row r="224">
      <c r="D224" s="2"/>
      <c r="E224" s="2"/>
      <c r="F224" s="3"/>
      <c r="G224" s="2"/>
      <c r="K224" s="4"/>
    </row>
    <row r="225">
      <c r="D225" s="2"/>
      <c r="E225" s="2"/>
      <c r="F225" s="3"/>
      <c r="G225" s="2"/>
      <c r="K225" s="4"/>
    </row>
    <row r="226">
      <c r="D226" s="2"/>
      <c r="E226" s="2"/>
      <c r="F226" s="3"/>
      <c r="G226" s="2"/>
      <c r="K226" s="4"/>
    </row>
    <row r="227">
      <c r="D227" s="2"/>
      <c r="E227" s="2"/>
      <c r="F227" s="3"/>
      <c r="G227" s="2"/>
      <c r="K227" s="4"/>
    </row>
    <row r="228">
      <c r="D228" s="2"/>
      <c r="E228" s="2"/>
      <c r="F228" s="3"/>
      <c r="G228" s="2"/>
      <c r="K228" s="4"/>
    </row>
    <row r="229">
      <c r="D229" s="2"/>
      <c r="E229" s="2"/>
      <c r="F229" s="3"/>
      <c r="G229" s="2"/>
      <c r="K229" s="4"/>
    </row>
    <row r="230">
      <c r="D230" s="2"/>
      <c r="E230" s="2"/>
      <c r="F230" s="3"/>
      <c r="G230" s="2"/>
      <c r="K230" s="4"/>
    </row>
    <row r="231">
      <c r="D231" s="2"/>
      <c r="E231" s="2"/>
      <c r="F231" s="3"/>
      <c r="G231" s="2"/>
      <c r="K231" s="4"/>
    </row>
    <row r="232">
      <c r="D232" s="2"/>
      <c r="E232" s="2"/>
      <c r="F232" s="3"/>
      <c r="G232" s="2"/>
      <c r="K232" s="4"/>
    </row>
    <row r="233">
      <c r="D233" s="2"/>
      <c r="E233" s="2"/>
      <c r="F233" s="3"/>
      <c r="G233" s="2"/>
      <c r="K233" s="4"/>
    </row>
    <row r="234">
      <c r="D234" s="2"/>
      <c r="E234" s="2"/>
      <c r="F234" s="3"/>
      <c r="G234" s="2"/>
      <c r="K234" s="4"/>
    </row>
    <row r="235">
      <c r="D235" s="2"/>
      <c r="E235" s="2"/>
      <c r="F235" s="3"/>
      <c r="G235" s="2"/>
      <c r="K235" s="4"/>
    </row>
    <row r="236">
      <c r="D236" s="2"/>
      <c r="E236" s="2"/>
      <c r="F236" s="3"/>
      <c r="G236" s="2"/>
      <c r="K236" s="4"/>
    </row>
    <row r="237">
      <c r="D237" s="2"/>
      <c r="E237" s="2"/>
      <c r="F237" s="3"/>
      <c r="G237" s="2"/>
      <c r="K237" s="4"/>
    </row>
    <row r="238">
      <c r="D238" s="2"/>
      <c r="E238" s="2"/>
      <c r="F238" s="3"/>
      <c r="G238" s="2"/>
      <c r="K238" s="4"/>
    </row>
    <row r="239">
      <c r="D239" s="2"/>
      <c r="E239" s="2"/>
      <c r="F239" s="3"/>
      <c r="G239" s="2"/>
      <c r="K239" s="4"/>
    </row>
    <row r="240">
      <c r="D240" s="2"/>
      <c r="E240" s="2"/>
      <c r="F240" s="3"/>
      <c r="G240" s="2"/>
      <c r="K240" s="4"/>
    </row>
    <row r="241">
      <c r="D241" s="2"/>
      <c r="E241" s="2"/>
      <c r="F241" s="3"/>
      <c r="G241" s="2"/>
      <c r="K241" s="4"/>
    </row>
    <row r="242">
      <c r="D242" s="2"/>
      <c r="E242" s="2"/>
      <c r="F242" s="3"/>
      <c r="G242" s="2"/>
      <c r="K242" s="4"/>
    </row>
    <row r="243">
      <c r="D243" s="2"/>
      <c r="E243" s="2"/>
      <c r="F243" s="3"/>
      <c r="G243" s="2"/>
      <c r="K243" s="4"/>
    </row>
    <row r="244">
      <c r="D244" s="2"/>
      <c r="E244" s="2"/>
      <c r="F244" s="3"/>
      <c r="G244" s="2"/>
      <c r="K244" s="4"/>
    </row>
    <row r="245">
      <c r="D245" s="2"/>
      <c r="E245" s="2"/>
      <c r="F245" s="3"/>
      <c r="G245" s="2"/>
      <c r="K245" s="4"/>
    </row>
    <row r="246">
      <c r="D246" s="2"/>
      <c r="E246" s="2"/>
      <c r="F246" s="3"/>
      <c r="G246" s="2"/>
      <c r="K246" s="4"/>
    </row>
    <row r="247">
      <c r="D247" s="2"/>
      <c r="E247" s="2"/>
      <c r="F247" s="3"/>
      <c r="G247" s="2"/>
      <c r="K247" s="4"/>
    </row>
    <row r="248">
      <c r="D248" s="2"/>
      <c r="E248" s="2"/>
      <c r="F248" s="3"/>
      <c r="G248" s="2"/>
      <c r="K248" s="4"/>
    </row>
    <row r="249">
      <c r="D249" s="2"/>
      <c r="E249" s="2"/>
      <c r="F249" s="3"/>
      <c r="G249" s="2"/>
      <c r="K249" s="4"/>
    </row>
    <row r="250">
      <c r="D250" s="2"/>
      <c r="E250" s="2"/>
      <c r="F250" s="3"/>
      <c r="G250" s="2"/>
      <c r="K250" s="4"/>
    </row>
    <row r="251">
      <c r="D251" s="2"/>
      <c r="E251" s="2"/>
      <c r="F251" s="3"/>
      <c r="G251" s="2"/>
      <c r="K251" s="4"/>
    </row>
    <row r="252">
      <c r="D252" s="2"/>
      <c r="E252" s="2"/>
      <c r="F252" s="3"/>
      <c r="G252" s="2"/>
      <c r="K252" s="4"/>
    </row>
    <row r="253">
      <c r="D253" s="2"/>
      <c r="E253" s="2"/>
      <c r="F253" s="3"/>
      <c r="G253" s="2"/>
      <c r="K253" s="4"/>
    </row>
    <row r="254">
      <c r="D254" s="2"/>
      <c r="E254" s="2"/>
      <c r="F254" s="3"/>
      <c r="G254" s="2"/>
      <c r="K254" s="4"/>
    </row>
    <row r="255">
      <c r="D255" s="2"/>
      <c r="E255" s="2"/>
      <c r="F255" s="3"/>
      <c r="G255" s="2"/>
      <c r="K255" s="4"/>
    </row>
    <row r="256">
      <c r="D256" s="2"/>
      <c r="E256" s="2"/>
      <c r="F256" s="3"/>
      <c r="G256" s="2"/>
      <c r="K256" s="4"/>
    </row>
    <row r="257">
      <c r="D257" s="2"/>
      <c r="E257" s="2"/>
      <c r="F257" s="3"/>
      <c r="G257" s="2"/>
      <c r="K257" s="4"/>
    </row>
    <row r="258">
      <c r="D258" s="2"/>
      <c r="E258" s="2"/>
      <c r="F258" s="3"/>
      <c r="G258" s="2"/>
      <c r="K258" s="4"/>
    </row>
    <row r="259">
      <c r="D259" s="2"/>
      <c r="E259" s="2"/>
      <c r="F259" s="3"/>
      <c r="G259" s="2"/>
      <c r="K259" s="4"/>
    </row>
    <row r="260">
      <c r="D260" s="2"/>
      <c r="E260" s="2"/>
      <c r="F260" s="3"/>
      <c r="G260" s="2"/>
      <c r="K260" s="4"/>
    </row>
    <row r="261">
      <c r="D261" s="2"/>
      <c r="E261" s="2"/>
      <c r="F261" s="3"/>
      <c r="G261" s="2"/>
      <c r="K261" s="4"/>
    </row>
    <row r="262">
      <c r="D262" s="2"/>
      <c r="E262" s="2"/>
      <c r="F262" s="3"/>
      <c r="G262" s="2"/>
      <c r="K262" s="4"/>
    </row>
    <row r="263">
      <c r="D263" s="2"/>
      <c r="E263" s="2"/>
      <c r="F263" s="3"/>
      <c r="G263" s="2"/>
      <c r="K263" s="4"/>
    </row>
    <row r="264">
      <c r="D264" s="2"/>
      <c r="E264" s="2"/>
      <c r="F264" s="3"/>
      <c r="G264" s="2"/>
      <c r="K264" s="4"/>
    </row>
    <row r="265">
      <c r="D265" s="2"/>
      <c r="E265" s="2"/>
      <c r="F265" s="3"/>
      <c r="G265" s="2"/>
      <c r="K265" s="4"/>
    </row>
    <row r="266">
      <c r="D266" s="2"/>
      <c r="E266" s="2"/>
      <c r="F266" s="3"/>
      <c r="G266" s="2"/>
      <c r="K266" s="4"/>
    </row>
    <row r="267">
      <c r="D267" s="2"/>
      <c r="E267" s="2"/>
      <c r="F267" s="3"/>
      <c r="G267" s="2"/>
      <c r="K267" s="4"/>
    </row>
    <row r="268">
      <c r="D268" s="2"/>
      <c r="E268" s="2"/>
      <c r="F268" s="3"/>
      <c r="G268" s="2"/>
      <c r="K268" s="4"/>
    </row>
    <row r="269">
      <c r="D269" s="2"/>
      <c r="E269" s="2"/>
      <c r="F269" s="3"/>
      <c r="G269" s="2"/>
      <c r="K269" s="4"/>
    </row>
    <row r="270">
      <c r="D270" s="2"/>
      <c r="E270" s="2"/>
      <c r="F270" s="3"/>
      <c r="G270" s="2"/>
      <c r="K270" s="4"/>
    </row>
    <row r="271">
      <c r="D271" s="2"/>
      <c r="E271" s="2"/>
      <c r="F271" s="3"/>
      <c r="G271" s="2"/>
      <c r="K271" s="4"/>
    </row>
    <row r="272">
      <c r="D272" s="2"/>
      <c r="E272" s="2"/>
      <c r="F272" s="3"/>
      <c r="G272" s="2"/>
      <c r="K272" s="4"/>
    </row>
    <row r="273">
      <c r="D273" s="2"/>
      <c r="E273" s="2"/>
      <c r="F273" s="3"/>
      <c r="G273" s="2"/>
      <c r="K273" s="4"/>
    </row>
    <row r="274">
      <c r="D274" s="2"/>
      <c r="E274" s="2"/>
      <c r="F274" s="3"/>
      <c r="G274" s="2"/>
      <c r="K274" s="4"/>
    </row>
    <row r="275">
      <c r="D275" s="2"/>
      <c r="E275" s="2"/>
      <c r="F275" s="3"/>
      <c r="G275" s="2"/>
      <c r="K275" s="4"/>
    </row>
    <row r="276">
      <c r="D276" s="2"/>
      <c r="E276" s="2"/>
      <c r="F276" s="3"/>
      <c r="G276" s="2"/>
      <c r="K276" s="4"/>
    </row>
    <row r="277">
      <c r="D277" s="2"/>
      <c r="E277" s="2"/>
      <c r="F277" s="3"/>
      <c r="G277" s="2"/>
      <c r="K277" s="4"/>
    </row>
    <row r="278">
      <c r="D278" s="2"/>
      <c r="E278" s="2"/>
      <c r="F278" s="3"/>
      <c r="G278" s="2"/>
      <c r="K278" s="4"/>
    </row>
    <row r="279">
      <c r="D279" s="2"/>
      <c r="E279" s="2"/>
      <c r="F279" s="3"/>
      <c r="G279" s="2"/>
      <c r="K279" s="4"/>
    </row>
    <row r="280">
      <c r="D280" s="2"/>
      <c r="E280" s="2"/>
      <c r="F280" s="3"/>
      <c r="G280" s="2"/>
      <c r="K280" s="4"/>
    </row>
    <row r="281">
      <c r="D281" s="2"/>
      <c r="E281" s="2"/>
      <c r="F281" s="3"/>
      <c r="G281" s="2"/>
      <c r="K281" s="4"/>
    </row>
    <row r="282">
      <c r="D282" s="2"/>
      <c r="E282" s="2"/>
      <c r="F282" s="3"/>
      <c r="G282" s="2"/>
      <c r="K282" s="4"/>
    </row>
    <row r="283">
      <c r="D283" s="2"/>
      <c r="E283" s="2"/>
      <c r="F283" s="3"/>
      <c r="G283" s="2"/>
      <c r="K283" s="4"/>
    </row>
    <row r="284">
      <c r="D284" s="2"/>
      <c r="E284" s="2"/>
      <c r="F284" s="3"/>
      <c r="G284" s="2"/>
      <c r="K284" s="4"/>
    </row>
    <row r="285">
      <c r="D285" s="2"/>
      <c r="E285" s="2"/>
      <c r="F285" s="3"/>
      <c r="G285" s="2"/>
      <c r="K285" s="4"/>
    </row>
    <row r="286">
      <c r="D286" s="2"/>
      <c r="E286" s="2"/>
      <c r="F286" s="3"/>
      <c r="G286" s="2"/>
      <c r="K286" s="4"/>
    </row>
    <row r="287">
      <c r="D287" s="2"/>
      <c r="E287" s="2"/>
      <c r="F287" s="3"/>
      <c r="G287" s="2"/>
      <c r="K287" s="4"/>
    </row>
    <row r="288">
      <c r="D288" s="2"/>
      <c r="E288" s="2"/>
      <c r="F288" s="3"/>
      <c r="G288" s="2"/>
      <c r="K288" s="4"/>
    </row>
    <row r="289">
      <c r="D289" s="2"/>
      <c r="E289" s="2"/>
      <c r="F289" s="3"/>
      <c r="G289" s="2"/>
      <c r="K289" s="4"/>
    </row>
    <row r="290">
      <c r="D290" s="2"/>
      <c r="E290" s="2"/>
      <c r="F290" s="3"/>
      <c r="G290" s="2"/>
      <c r="K290" s="4"/>
    </row>
    <row r="291">
      <c r="D291" s="2"/>
      <c r="E291" s="2"/>
      <c r="F291" s="3"/>
      <c r="G291" s="2"/>
      <c r="K291" s="4"/>
    </row>
    <row r="292">
      <c r="D292" s="2"/>
      <c r="E292" s="2"/>
      <c r="F292" s="3"/>
      <c r="G292" s="2"/>
      <c r="K292" s="4"/>
    </row>
    <row r="293">
      <c r="D293" s="2"/>
      <c r="E293" s="2"/>
      <c r="F293" s="3"/>
      <c r="G293" s="2"/>
      <c r="K293" s="4"/>
    </row>
    <row r="294">
      <c r="D294" s="2"/>
      <c r="E294" s="2"/>
      <c r="F294" s="3"/>
      <c r="G294" s="2"/>
      <c r="K294" s="4"/>
    </row>
    <row r="295">
      <c r="D295" s="2"/>
      <c r="E295" s="2"/>
      <c r="F295" s="3"/>
      <c r="G295" s="2"/>
      <c r="K295" s="4"/>
    </row>
    <row r="296">
      <c r="D296" s="2"/>
      <c r="E296" s="2"/>
      <c r="F296" s="3"/>
      <c r="G296" s="2"/>
      <c r="K296" s="4"/>
    </row>
    <row r="297">
      <c r="D297" s="2"/>
      <c r="E297" s="2"/>
      <c r="F297" s="3"/>
      <c r="G297" s="2"/>
      <c r="K297" s="4"/>
    </row>
    <row r="298">
      <c r="D298" s="2"/>
      <c r="E298" s="2"/>
      <c r="F298" s="3"/>
      <c r="G298" s="2"/>
      <c r="K298" s="4"/>
    </row>
    <row r="299">
      <c r="D299" s="2"/>
      <c r="E299" s="2"/>
      <c r="F299" s="3"/>
      <c r="G299" s="2"/>
      <c r="K299" s="4"/>
    </row>
    <row r="300">
      <c r="D300" s="2"/>
      <c r="E300" s="2"/>
      <c r="F300" s="3"/>
      <c r="G300" s="2"/>
      <c r="K300" s="4"/>
    </row>
    <row r="301">
      <c r="D301" s="2"/>
      <c r="E301" s="2"/>
      <c r="F301" s="3"/>
      <c r="G301" s="2"/>
      <c r="K301" s="4"/>
    </row>
    <row r="302">
      <c r="D302" s="2"/>
      <c r="E302" s="2"/>
      <c r="F302" s="3"/>
      <c r="G302" s="2"/>
      <c r="K302" s="4"/>
    </row>
    <row r="303">
      <c r="D303" s="2"/>
      <c r="E303" s="2"/>
      <c r="F303" s="3"/>
      <c r="G303" s="2"/>
      <c r="K303" s="4"/>
    </row>
    <row r="304">
      <c r="D304" s="2"/>
      <c r="E304" s="2"/>
      <c r="F304" s="3"/>
      <c r="G304" s="2"/>
      <c r="K304" s="4"/>
    </row>
    <row r="305">
      <c r="D305" s="2"/>
      <c r="E305" s="2"/>
      <c r="F305" s="3"/>
      <c r="G305" s="2"/>
      <c r="K305" s="4"/>
    </row>
    <row r="306">
      <c r="D306" s="2"/>
      <c r="E306" s="2"/>
      <c r="F306" s="3"/>
      <c r="G306" s="2"/>
      <c r="K306" s="4"/>
    </row>
    <row r="307">
      <c r="D307" s="2"/>
      <c r="E307" s="2"/>
      <c r="F307" s="3"/>
      <c r="G307" s="2"/>
      <c r="K307" s="4"/>
    </row>
    <row r="308">
      <c r="D308" s="2"/>
      <c r="E308" s="2"/>
      <c r="F308" s="3"/>
      <c r="G308" s="2"/>
      <c r="K308" s="4"/>
    </row>
    <row r="309">
      <c r="D309" s="2"/>
      <c r="E309" s="2"/>
      <c r="F309" s="3"/>
      <c r="G309" s="2"/>
      <c r="K309" s="4"/>
    </row>
    <row r="310">
      <c r="D310" s="2"/>
      <c r="E310" s="2"/>
      <c r="F310" s="3"/>
      <c r="G310" s="2"/>
      <c r="K310" s="4"/>
    </row>
    <row r="311">
      <c r="D311" s="2"/>
      <c r="E311" s="2"/>
      <c r="F311" s="3"/>
      <c r="G311" s="2"/>
      <c r="K311" s="4"/>
    </row>
    <row r="312">
      <c r="D312" s="2"/>
      <c r="E312" s="2"/>
      <c r="F312" s="3"/>
      <c r="G312" s="2"/>
      <c r="K312" s="4"/>
    </row>
    <row r="313">
      <c r="D313" s="2"/>
      <c r="E313" s="2"/>
      <c r="F313" s="3"/>
      <c r="G313" s="2"/>
      <c r="K313" s="4"/>
    </row>
    <row r="314">
      <c r="D314" s="2"/>
      <c r="E314" s="2"/>
      <c r="F314" s="3"/>
      <c r="G314" s="2"/>
      <c r="K314" s="4"/>
    </row>
    <row r="315">
      <c r="D315" s="2"/>
      <c r="E315" s="2"/>
      <c r="F315" s="3"/>
      <c r="G315" s="2"/>
      <c r="K315" s="4"/>
    </row>
    <row r="316">
      <c r="D316" s="2"/>
      <c r="E316" s="2"/>
      <c r="F316" s="3"/>
      <c r="G316" s="2"/>
      <c r="K316" s="4"/>
    </row>
    <row r="317">
      <c r="D317" s="2"/>
      <c r="E317" s="2"/>
      <c r="F317" s="3"/>
      <c r="G317" s="2"/>
      <c r="K317" s="4"/>
    </row>
    <row r="318">
      <c r="D318" s="2"/>
      <c r="E318" s="2"/>
      <c r="F318" s="3"/>
      <c r="G318" s="2"/>
      <c r="K318" s="4"/>
    </row>
    <row r="319">
      <c r="D319" s="2"/>
      <c r="E319" s="2"/>
      <c r="F319" s="3"/>
      <c r="G319" s="2"/>
      <c r="K319" s="4"/>
    </row>
    <row r="320">
      <c r="D320" s="2"/>
      <c r="E320" s="2"/>
      <c r="F320" s="3"/>
      <c r="G320" s="2"/>
      <c r="K320" s="4"/>
    </row>
    <row r="321">
      <c r="D321" s="2"/>
      <c r="E321" s="2"/>
      <c r="F321" s="3"/>
      <c r="G321" s="2"/>
      <c r="K321" s="4"/>
    </row>
    <row r="322">
      <c r="D322" s="2"/>
      <c r="E322" s="2"/>
      <c r="F322" s="3"/>
      <c r="G322" s="2"/>
      <c r="K322" s="4"/>
    </row>
    <row r="323">
      <c r="D323" s="2"/>
      <c r="E323" s="2"/>
      <c r="F323" s="3"/>
      <c r="G323" s="2"/>
      <c r="K323" s="4"/>
    </row>
    <row r="324">
      <c r="D324" s="2"/>
      <c r="E324" s="2"/>
      <c r="F324" s="3"/>
      <c r="G324" s="2"/>
      <c r="K324" s="4"/>
    </row>
    <row r="325">
      <c r="D325" s="2"/>
      <c r="E325" s="2"/>
      <c r="F325" s="3"/>
      <c r="G325" s="2"/>
      <c r="K325" s="4"/>
    </row>
    <row r="326">
      <c r="D326" s="2"/>
      <c r="E326" s="2"/>
      <c r="F326" s="3"/>
      <c r="G326" s="2"/>
      <c r="K326" s="4"/>
    </row>
    <row r="327">
      <c r="D327" s="2"/>
      <c r="E327" s="2"/>
      <c r="F327" s="3"/>
      <c r="G327" s="2"/>
      <c r="K327" s="4"/>
    </row>
    <row r="328">
      <c r="D328" s="2"/>
      <c r="E328" s="2"/>
      <c r="F328" s="3"/>
      <c r="G328" s="2"/>
      <c r="K328" s="4"/>
    </row>
    <row r="329">
      <c r="D329" s="2"/>
      <c r="E329" s="2"/>
      <c r="F329" s="3"/>
      <c r="G329" s="2"/>
      <c r="K329" s="4"/>
    </row>
    <row r="330">
      <c r="D330" s="2"/>
      <c r="E330" s="2"/>
      <c r="F330" s="3"/>
      <c r="G330" s="2"/>
      <c r="K330" s="4"/>
    </row>
    <row r="331">
      <c r="D331" s="2"/>
      <c r="E331" s="2"/>
      <c r="F331" s="3"/>
      <c r="G331" s="2"/>
      <c r="K331" s="4"/>
    </row>
    <row r="332">
      <c r="D332" s="2"/>
      <c r="E332" s="2"/>
      <c r="F332" s="3"/>
      <c r="G332" s="2"/>
      <c r="K332" s="4"/>
    </row>
    <row r="333">
      <c r="D333" s="2"/>
      <c r="E333" s="2"/>
      <c r="F333" s="3"/>
      <c r="G333" s="2"/>
      <c r="K333" s="4"/>
    </row>
    <row r="334">
      <c r="D334" s="2"/>
      <c r="E334" s="2"/>
      <c r="F334" s="3"/>
      <c r="G334" s="2"/>
      <c r="K334" s="4"/>
    </row>
    <row r="335">
      <c r="D335" s="2"/>
      <c r="E335" s="2"/>
      <c r="F335" s="3"/>
      <c r="G335" s="2"/>
      <c r="K335" s="4"/>
    </row>
    <row r="336">
      <c r="D336" s="2"/>
      <c r="E336" s="2"/>
      <c r="F336" s="3"/>
      <c r="G336" s="2"/>
      <c r="K336" s="4"/>
    </row>
    <row r="337">
      <c r="D337" s="2"/>
      <c r="E337" s="2"/>
      <c r="F337" s="3"/>
      <c r="G337" s="2"/>
      <c r="K337" s="4"/>
    </row>
    <row r="338">
      <c r="D338" s="2"/>
      <c r="E338" s="2"/>
      <c r="F338" s="3"/>
      <c r="G338" s="2"/>
      <c r="K338" s="4"/>
    </row>
    <row r="339">
      <c r="D339" s="2"/>
      <c r="E339" s="2"/>
      <c r="F339" s="3"/>
      <c r="G339" s="2"/>
      <c r="K339" s="4"/>
    </row>
    <row r="340">
      <c r="D340" s="2"/>
      <c r="E340" s="2"/>
      <c r="F340" s="3"/>
      <c r="G340" s="2"/>
      <c r="K340" s="4"/>
    </row>
    <row r="341">
      <c r="D341" s="2"/>
      <c r="E341" s="2"/>
      <c r="F341" s="3"/>
      <c r="G341" s="2"/>
      <c r="K341" s="4"/>
    </row>
    <row r="342">
      <c r="D342" s="2"/>
      <c r="E342" s="2"/>
      <c r="F342" s="3"/>
      <c r="G342" s="2"/>
      <c r="K342" s="4"/>
    </row>
    <row r="343">
      <c r="D343" s="2"/>
      <c r="E343" s="2"/>
      <c r="F343" s="3"/>
      <c r="G343" s="2"/>
      <c r="K343" s="4"/>
    </row>
    <row r="344">
      <c r="D344" s="2"/>
      <c r="E344" s="2"/>
      <c r="F344" s="3"/>
      <c r="G344" s="2"/>
      <c r="K344" s="4"/>
    </row>
    <row r="345">
      <c r="D345" s="2"/>
      <c r="E345" s="2"/>
      <c r="F345" s="3"/>
      <c r="G345" s="2"/>
      <c r="K345" s="4"/>
    </row>
    <row r="346">
      <c r="D346" s="2"/>
      <c r="E346" s="2"/>
      <c r="F346" s="3"/>
      <c r="G346" s="2"/>
      <c r="K346" s="4"/>
    </row>
    <row r="347">
      <c r="D347" s="2"/>
      <c r="E347" s="2"/>
      <c r="F347" s="3"/>
      <c r="G347" s="2"/>
      <c r="K347" s="4"/>
    </row>
    <row r="348">
      <c r="D348" s="2"/>
      <c r="E348" s="2"/>
      <c r="F348" s="3"/>
      <c r="G348" s="2"/>
      <c r="K348" s="4"/>
    </row>
    <row r="349">
      <c r="D349" s="2"/>
      <c r="E349" s="2"/>
      <c r="F349" s="3"/>
      <c r="G349" s="2"/>
      <c r="K349" s="4"/>
    </row>
    <row r="350">
      <c r="D350" s="2"/>
      <c r="E350" s="2"/>
      <c r="F350" s="3"/>
      <c r="G350" s="2"/>
      <c r="K350" s="4"/>
    </row>
    <row r="351">
      <c r="D351" s="2"/>
      <c r="E351" s="2"/>
      <c r="F351" s="3"/>
      <c r="G351" s="2"/>
      <c r="K351" s="4"/>
    </row>
    <row r="352">
      <c r="D352" s="2"/>
      <c r="E352" s="2"/>
      <c r="F352" s="3"/>
      <c r="G352" s="2"/>
      <c r="K352" s="4"/>
    </row>
    <row r="353">
      <c r="D353" s="2"/>
      <c r="E353" s="2"/>
      <c r="F353" s="3"/>
      <c r="G353" s="2"/>
      <c r="K353" s="4"/>
    </row>
    <row r="354">
      <c r="D354" s="2"/>
      <c r="E354" s="2"/>
      <c r="F354" s="3"/>
      <c r="G354" s="2"/>
      <c r="K354" s="4"/>
    </row>
    <row r="355">
      <c r="D355" s="2"/>
      <c r="E355" s="2"/>
      <c r="F355" s="3"/>
      <c r="G355" s="2"/>
      <c r="K355" s="4"/>
    </row>
    <row r="356">
      <c r="D356" s="2"/>
      <c r="E356" s="2"/>
      <c r="F356" s="3"/>
      <c r="G356" s="2"/>
      <c r="K356" s="4"/>
    </row>
    <row r="357">
      <c r="D357" s="2"/>
      <c r="E357" s="2"/>
      <c r="F357" s="3"/>
      <c r="G357" s="2"/>
      <c r="K357" s="4"/>
    </row>
    <row r="358">
      <c r="D358" s="2"/>
      <c r="E358" s="2"/>
      <c r="F358" s="3"/>
      <c r="G358" s="2"/>
      <c r="K358" s="4"/>
    </row>
    <row r="359">
      <c r="D359" s="2"/>
      <c r="E359" s="2"/>
      <c r="F359" s="3"/>
      <c r="G359" s="2"/>
      <c r="K359" s="4"/>
    </row>
    <row r="360">
      <c r="D360" s="2"/>
      <c r="E360" s="2"/>
      <c r="F360" s="3"/>
      <c r="G360" s="2"/>
      <c r="K360" s="4"/>
    </row>
    <row r="361">
      <c r="D361" s="2"/>
      <c r="E361" s="2"/>
      <c r="F361" s="3"/>
      <c r="G361" s="2"/>
      <c r="K361" s="4"/>
    </row>
    <row r="362">
      <c r="D362" s="2"/>
      <c r="E362" s="2"/>
      <c r="F362" s="3"/>
      <c r="G362" s="2"/>
      <c r="K362" s="4"/>
    </row>
    <row r="363">
      <c r="D363" s="2"/>
      <c r="E363" s="2"/>
      <c r="F363" s="3"/>
      <c r="G363" s="2"/>
      <c r="K363" s="4"/>
    </row>
    <row r="364">
      <c r="D364" s="2"/>
      <c r="E364" s="2"/>
      <c r="F364" s="3"/>
      <c r="G364" s="2"/>
      <c r="K364" s="4"/>
    </row>
    <row r="365">
      <c r="D365" s="2"/>
      <c r="E365" s="2"/>
      <c r="F365" s="3"/>
      <c r="G365" s="2"/>
      <c r="K365" s="4"/>
    </row>
    <row r="366">
      <c r="D366" s="2"/>
      <c r="E366" s="2"/>
      <c r="F366" s="3"/>
      <c r="G366" s="2"/>
      <c r="K366" s="4"/>
    </row>
    <row r="367">
      <c r="D367" s="2"/>
      <c r="E367" s="2"/>
      <c r="F367" s="3"/>
      <c r="G367" s="2"/>
      <c r="K367" s="4"/>
    </row>
    <row r="368">
      <c r="D368" s="2"/>
      <c r="E368" s="2"/>
      <c r="F368" s="3"/>
      <c r="G368" s="2"/>
      <c r="K368" s="4"/>
    </row>
    <row r="369">
      <c r="D369" s="2"/>
      <c r="E369" s="2"/>
      <c r="F369" s="3"/>
      <c r="G369" s="2"/>
      <c r="K369" s="4"/>
    </row>
    <row r="370">
      <c r="D370" s="2"/>
      <c r="E370" s="2"/>
      <c r="F370" s="3"/>
      <c r="G370" s="2"/>
      <c r="K370" s="4"/>
    </row>
    <row r="371">
      <c r="D371" s="2"/>
      <c r="E371" s="2"/>
      <c r="F371" s="3"/>
      <c r="G371" s="2"/>
      <c r="K371" s="4"/>
    </row>
    <row r="372">
      <c r="D372" s="2"/>
      <c r="E372" s="2"/>
      <c r="F372" s="3"/>
      <c r="G372" s="2"/>
      <c r="K372" s="4"/>
    </row>
    <row r="373">
      <c r="D373" s="2"/>
      <c r="E373" s="2"/>
      <c r="F373" s="3"/>
      <c r="G373" s="2"/>
      <c r="K373" s="4"/>
    </row>
    <row r="374">
      <c r="D374" s="2"/>
      <c r="E374" s="2"/>
      <c r="F374" s="3"/>
      <c r="G374" s="2"/>
      <c r="K374" s="4"/>
    </row>
    <row r="375">
      <c r="D375" s="2"/>
      <c r="E375" s="2"/>
      <c r="F375" s="3"/>
      <c r="G375" s="2"/>
      <c r="K375" s="4"/>
    </row>
    <row r="376">
      <c r="D376" s="2"/>
      <c r="E376" s="2"/>
      <c r="F376" s="3"/>
      <c r="G376" s="2"/>
      <c r="K376" s="4"/>
    </row>
    <row r="377">
      <c r="D377" s="2"/>
      <c r="E377" s="2"/>
      <c r="F377" s="3"/>
      <c r="G377" s="2"/>
      <c r="K377" s="4"/>
    </row>
    <row r="378">
      <c r="D378" s="2"/>
      <c r="E378" s="2"/>
      <c r="F378" s="3"/>
      <c r="G378" s="2"/>
      <c r="K378" s="4"/>
    </row>
    <row r="379">
      <c r="D379" s="2"/>
      <c r="E379" s="2"/>
      <c r="F379" s="3"/>
      <c r="G379" s="2"/>
      <c r="K379" s="4"/>
    </row>
    <row r="380">
      <c r="D380" s="2"/>
      <c r="E380" s="2"/>
      <c r="F380" s="3"/>
      <c r="G380" s="2"/>
      <c r="K380" s="4"/>
    </row>
    <row r="381">
      <c r="D381" s="2"/>
      <c r="E381" s="2"/>
      <c r="F381" s="3"/>
      <c r="G381" s="2"/>
      <c r="K381" s="4"/>
    </row>
    <row r="382">
      <c r="D382" s="2"/>
      <c r="E382" s="2"/>
      <c r="F382" s="3"/>
      <c r="G382" s="2"/>
      <c r="K382" s="4"/>
    </row>
    <row r="383">
      <c r="D383" s="2"/>
      <c r="E383" s="2"/>
      <c r="F383" s="3"/>
      <c r="G383" s="2"/>
      <c r="K383" s="4"/>
    </row>
    <row r="384">
      <c r="D384" s="2"/>
      <c r="E384" s="2"/>
      <c r="F384" s="3"/>
      <c r="G384" s="2"/>
      <c r="K384" s="4"/>
    </row>
    <row r="385">
      <c r="D385" s="2"/>
      <c r="E385" s="2"/>
      <c r="F385" s="3"/>
      <c r="G385" s="2"/>
      <c r="K385" s="4"/>
    </row>
    <row r="386">
      <c r="D386" s="2"/>
      <c r="E386" s="2"/>
      <c r="F386" s="3"/>
      <c r="G386" s="2"/>
      <c r="K386" s="4"/>
    </row>
    <row r="387">
      <c r="D387" s="2"/>
      <c r="E387" s="2"/>
      <c r="F387" s="3"/>
      <c r="G387" s="2"/>
      <c r="K387" s="4"/>
    </row>
    <row r="388">
      <c r="D388" s="2"/>
      <c r="E388" s="2"/>
      <c r="F388" s="3"/>
      <c r="G388" s="2"/>
      <c r="K388" s="4"/>
    </row>
    <row r="389">
      <c r="D389" s="2"/>
      <c r="E389" s="2"/>
      <c r="F389" s="3"/>
      <c r="G389" s="2"/>
      <c r="K389" s="4"/>
    </row>
    <row r="390">
      <c r="D390" s="2"/>
      <c r="E390" s="2"/>
      <c r="F390" s="3"/>
      <c r="G390" s="2"/>
      <c r="K390" s="4"/>
    </row>
    <row r="391">
      <c r="D391" s="2"/>
      <c r="E391" s="2"/>
      <c r="F391" s="3"/>
      <c r="G391" s="2"/>
      <c r="K391" s="4"/>
    </row>
    <row r="392">
      <c r="D392" s="2"/>
      <c r="E392" s="2"/>
      <c r="F392" s="3"/>
      <c r="G392" s="2"/>
      <c r="K392" s="4"/>
    </row>
    <row r="393">
      <c r="D393" s="2"/>
      <c r="E393" s="2"/>
      <c r="F393" s="3"/>
      <c r="G393" s="2"/>
      <c r="K393" s="4"/>
    </row>
    <row r="394">
      <c r="D394" s="2"/>
      <c r="E394" s="2"/>
      <c r="F394" s="3"/>
      <c r="G394" s="2"/>
      <c r="K394" s="4"/>
    </row>
    <row r="395">
      <c r="D395" s="2"/>
      <c r="E395" s="2"/>
      <c r="F395" s="3"/>
      <c r="G395" s="2"/>
      <c r="K395" s="4"/>
    </row>
    <row r="396">
      <c r="D396" s="2"/>
      <c r="E396" s="2"/>
      <c r="F396" s="3"/>
      <c r="G396" s="2"/>
      <c r="K396" s="4"/>
    </row>
    <row r="397">
      <c r="D397" s="2"/>
      <c r="E397" s="2"/>
      <c r="F397" s="3"/>
      <c r="G397" s="2"/>
      <c r="K397" s="4"/>
    </row>
    <row r="398">
      <c r="D398" s="2"/>
      <c r="E398" s="2"/>
      <c r="F398" s="3"/>
      <c r="G398" s="2"/>
      <c r="K398" s="4"/>
    </row>
    <row r="399">
      <c r="D399" s="2"/>
      <c r="E399" s="2"/>
      <c r="F399" s="3"/>
      <c r="G399" s="2"/>
      <c r="K399" s="4"/>
    </row>
    <row r="400">
      <c r="D400" s="2"/>
      <c r="E400" s="2"/>
      <c r="F400" s="3"/>
      <c r="G400" s="2"/>
      <c r="K400" s="4"/>
    </row>
    <row r="401">
      <c r="D401" s="2"/>
      <c r="E401" s="2"/>
      <c r="F401" s="3"/>
      <c r="G401" s="2"/>
      <c r="K401" s="4"/>
    </row>
    <row r="402">
      <c r="D402" s="2"/>
      <c r="E402" s="2"/>
      <c r="F402" s="3"/>
      <c r="G402" s="2"/>
      <c r="K402" s="4"/>
    </row>
    <row r="403">
      <c r="D403" s="2"/>
      <c r="E403" s="2"/>
      <c r="F403" s="3"/>
      <c r="G403" s="2"/>
      <c r="K403" s="4"/>
    </row>
    <row r="404">
      <c r="D404" s="2"/>
      <c r="E404" s="2"/>
      <c r="F404" s="3"/>
      <c r="G404" s="2"/>
      <c r="K404" s="4"/>
    </row>
    <row r="405">
      <c r="D405" s="2"/>
      <c r="E405" s="2"/>
      <c r="F405" s="3"/>
      <c r="G405" s="2"/>
      <c r="K405" s="4"/>
    </row>
    <row r="406">
      <c r="D406" s="2"/>
      <c r="E406" s="2"/>
      <c r="F406" s="3"/>
      <c r="G406" s="2"/>
      <c r="K406" s="4"/>
    </row>
    <row r="407">
      <c r="D407" s="2"/>
      <c r="E407" s="2"/>
      <c r="F407" s="3"/>
      <c r="G407" s="2"/>
      <c r="K407" s="4"/>
    </row>
    <row r="408">
      <c r="D408" s="2"/>
      <c r="E408" s="2"/>
      <c r="F408" s="3"/>
      <c r="G408" s="2"/>
      <c r="K408" s="4"/>
    </row>
    <row r="409">
      <c r="D409" s="2"/>
      <c r="E409" s="2"/>
      <c r="F409" s="3"/>
      <c r="G409" s="2"/>
      <c r="K409" s="4"/>
    </row>
    <row r="410">
      <c r="D410" s="2"/>
      <c r="E410" s="2"/>
      <c r="F410" s="3"/>
      <c r="G410" s="2"/>
      <c r="K410" s="4"/>
    </row>
    <row r="411">
      <c r="D411" s="2"/>
      <c r="E411" s="2"/>
      <c r="F411" s="3"/>
      <c r="G411" s="2"/>
      <c r="K411" s="4"/>
    </row>
    <row r="412">
      <c r="D412" s="2"/>
      <c r="E412" s="2"/>
      <c r="F412" s="3"/>
      <c r="G412" s="2"/>
      <c r="K412" s="4"/>
    </row>
    <row r="413">
      <c r="D413" s="2"/>
      <c r="E413" s="2"/>
      <c r="F413" s="3"/>
      <c r="G413" s="2"/>
      <c r="K413" s="4"/>
    </row>
    <row r="414">
      <c r="D414" s="2"/>
      <c r="E414" s="2"/>
      <c r="F414" s="3"/>
      <c r="G414" s="2"/>
      <c r="K414" s="4"/>
    </row>
    <row r="415">
      <c r="D415" s="2"/>
      <c r="E415" s="2"/>
      <c r="F415" s="3"/>
      <c r="G415" s="2"/>
      <c r="K415" s="4"/>
    </row>
    <row r="416">
      <c r="D416" s="2"/>
      <c r="E416" s="2"/>
      <c r="F416" s="3"/>
      <c r="G416" s="2"/>
      <c r="K416" s="4"/>
    </row>
    <row r="417">
      <c r="D417" s="2"/>
      <c r="E417" s="2"/>
      <c r="F417" s="3"/>
      <c r="G417" s="2"/>
      <c r="K417" s="4"/>
    </row>
    <row r="418">
      <c r="D418" s="2"/>
      <c r="E418" s="2"/>
      <c r="F418" s="3"/>
      <c r="G418" s="2"/>
      <c r="K418" s="4"/>
    </row>
    <row r="419">
      <c r="D419" s="2"/>
      <c r="E419" s="2"/>
      <c r="F419" s="3"/>
      <c r="G419" s="2"/>
      <c r="K419" s="4"/>
    </row>
    <row r="420">
      <c r="D420" s="2"/>
      <c r="E420" s="2"/>
      <c r="F420" s="3"/>
      <c r="G420" s="2"/>
      <c r="K420" s="4"/>
    </row>
    <row r="421">
      <c r="D421" s="2"/>
      <c r="E421" s="2"/>
      <c r="F421" s="3"/>
      <c r="G421" s="2"/>
      <c r="K421" s="4"/>
    </row>
    <row r="422">
      <c r="D422" s="2"/>
      <c r="E422" s="2"/>
      <c r="F422" s="3"/>
      <c r="G422" s="2"/>
      <c r="K422" s="4"/>
    </row>
    <row r="423">
      <c r="D423" s="2"/>
      <c r="E423" s="2"/>
      <c r="F423" s="3"/>
      <c r="G423" s="2"/>
      <c r="K423" s="4"/>
    </row>
    <row r="424">
      <c r="D424" s="2"/>
      <c r="E424" s="2"/>
      <c r="F424" s="3"/>
      <c r="G424" s="2"/>
      <c r="K424" s="4"/>
    </row>
    <row r="425">
      <c r="D425" s="2"/>
      <c r="E425" s="2"/>
      <c r="F425" s="3"/>
      <c r="G425" s="2"/>
      <c r="K425" s="4"/>
    </row>
    <row r="426">
      <c r="D426" s="2"/>
      <c r="E426" s="2"/>
      <c r="F426" s="3"/>
      <c r="G426" s="2"/>
      <c r="K426" s="4"/>
    </row>
    <row r="427">
      <c r="D427" s="2"/>
      <c r="E427" s="2"/>
      <c r="F427" s="3"/>
      <c r="G427" s="2"/>
      <c r="K427" s="4"/>
    </row>
    <row r="428">
      <c r="D428" s="2"/>
      <c r="E428" s="2"/>
      <c r="F428" s="3"/>
      <c r="G428" s="2"/>
      <c r="K428" s="4"/>
    </row>
    <row r="429">
      <c r="D429" s="2"/>
      <c r="E429" s="2"/>
      <c r="F429" s="3"/>
      <c r="G429" s="2"/>
      <c r="K429" s="4"/>
    </row>
    <row r="430">
      <c r="D430" s="2"/>
      <c r="E430" s="2"/>
      <c r="F430" s="3"/>
      <c r="G430" s="2"/>
      <c r="K430" s="4"/>
    </row>
    <row r="431">
      <c r="D431" s="2"/>
      <c r="E431" s="2"/>
      <c r="F431" s="3"/>
      <c r="G431" s="2"/>
      <c r="K431" s="4"/>
    </row>
    <row r="432">
      <c r="D432" s="2"/>
      <c r="E432" s="2"/>
      <c r="F432" s="3"/>
      <c r="G432" s="2"/>
      <c r="K432" s="4"/>
    </row>
    <row r="433">
      <c r="D433" s="2"/>
      <c r="E433" s="2"/>
      <c r="F433" s="3"/>
      <c r="G433" s="2"/>
      <c r="K433" s="4"/>
    </row>
    <row r="434">
      <c r="D434" s="2"/>
      <c r="E434" s="2"/>
      <c r="F434" s="3"/>
      <c r="G434" s="2"/>
      <c r="K434" s="4"/>
    </row>
    <row r="435">
      <c r="D435" s="2"/>
      <c r="E435" s="2"/>
      <c r="F435" s="3"/>
      <c r="G435" s="2"/>
      <c r="K435" s="4"/>
    </row>
    <row r="436">
      <c r="D436" s="2"/>
      <c r="E436" s="2"/>
      <c r="F436" s="3"/>
      <c r="G436" s="2"/>
      <c r="K436" s="4"/>
    </row>
    <row r="437">
      <c r="D437" s="2"/>
      <c r="E437" s="2"/>
      <c r="F437" s="3"/>
      <c r="G437" s="2"/>
      <c r="K437" s="4"/>
    </row>
    <row r="438">
      <c r="D438" s="2"/>
      <c r="E438" s="2"/>
      <c r="F438" s="3"/>
      <c r="G438" s="2"/>
      <c r="K438" s="4"/>
    </row>
    <row r="439">
      <c r="D439" s="2"/>
      <c r="E439" s="2"/>
      <c r="F439" s="3"/>
      <c r="G439" s="2"/>
      <c r="K439" s="4"/>
    </row>
    <row r="440">
      <c r="D440" s="2"/>
      <c r="E440" s="2"/>
      <c r="F440" s="3"/>
      <c r="G440" s="2"/>
      <c r="K440" s="4"/>
    </row>
    <row r="441">
      <c r="D441" s="2"/>
      <c r="E441" s="2"/>
      <c r="F441" s="3"/>
      <c r="G441" s="2"/>
      <c r="K441" s="4"/>
    </row>
    <row r="442">
      <c r="D442" s="2"/>
      <c r="E442" s="2"/>
      <c r="F442" s="3"/>
      <c r="G442" s="2"/>
      <c r="K442" s="4"/>
    </row>
    <row r="443">
      <c r="D443" s="2"/>
      <c r="E443" s="2"/>
      <c r="F443" s="3"/>
      <c r="G443" s="2"/>
      <c r="K443" s="4"/>
    </row>
    <row r="444">
      <c r="D444" s="2"/>
      <c r="E444" s="2"/>
      <c r="F444" s="3"/>
      <c r="G444" s="2"/>
      <c r="K444" s="4"/>
    </row>
    <row r="445">
      <c r="D445" s="2"/>
      <c r="E445" s="2"/>
      <c r="F445" s="3"/>
      <c r="G445" s="2"/>
      <c r="K445" s="4"/>
    </row>
    <row r="446">
      <c r="D446" s="2"/>
      <c r="E446" s="2"/>
      <c r="F446" s="3"/>
      <c r="G446" s="2"/>
      <c r="K446" s="4"/>
    </row>
    <row r="447">
      <c r="D447" s="2"/>
      <c r="E447" s="2"/>
      <c r="F447" s="3"/>
      <c r="G447" s="2"/>
      <c r="K447" s="4"/>
    </row>
    <row r="448">
      <c r="D448" s="2"/>
      <c r="E448" s="2"/>
      <c r="F448" s="3"/>
      <c r="G448" s="2"/>
      <c r="K448" s="4"/>
    </row>
    <row r="449">
      <c r="D449" s="2"/>
      <c r="E449" s="2"/>
      <c r="F449" s="3"/>
      <c r="G449" s="2"/>
      <c r="K449" s="4"/>
    </row>
    <row r="450">
      <c r="D450" s="2"/>
      <c r="E450" s="2"/>
      <c r="F450" s="3"/>
      <c r="G450" s="2"/>
      <c r="K450" s="4"/>
    </row>
    <row r="451">
      <c r="D451" s="2"/>
      <c r="E451" s="2"/>
      <c r="F451" s="3"/>
      <c r="G451" s="2"/>
      <c r="K451" s="4"/>
    </row>
    <row r="452">
      <c r="D452" s="2"/>
      <c r="E452" s="2"/>
      <c r="F452" s="3"/>
      <c r="G452" s="2"/>
      <c r="K452" s="4"/>
    </row>
    <row r="453">
      <c r="D453" s="2"/>
      <c r="E453" s="2"/>
      <c r="F453" s="3"/>
      <c r="G453" s="2"/>
      <c r="K453" s="4"/>
    </row>
    <row r="454">
      <c r="D454" s="2"/>
      <c r="E454" s="2"/>
      <c r="F454" s="3"/>
      <c r="G454" s="2"/>
      <c r="K454" s="4"/>
    </row>
    <row r="455">
      <c r="D455" s="2"/>
      <c r="E455" s="2"/>
      <c r="F455" s="3"/>
      <c r="G455" s="2"/>
      <c r="K455" s="4"/>
    </row>
    <row r="456">
      <c r="D456" s="2"/>
      <c r="E456" s="2"/>
      <c r="F456" s="3"/>
      <c r="G456" s="2"/>
      <c r="K456" s="4"/>
    </row>
    <row r="457">
      <c r="D457" s="2"/>
      <c r="E457" s="2"/>
      <c r="F457" s="3"/>
      <c r="G457" s="2"/>
      <c r="K457" s="4"/>
    </row>
    <row r="458">
      <c r="D458" s="2"/>
      <c r="E458" s="2"/>
      <c r="F458" s="3"/>
      <c r="G458" s="2"/>
      <c r="K458" s="4"/>
    </row>
    <row r="459">
      <c r="D459" s="2"/>
      <c r="E459" s="2"/>
      <c r="F459" s="3"/>
      <c r="G459" s="2"/>
      <c r="K459" s="4"/>
    </row>
    <row r="460">
      <c r="D460" s="2"/>
      <c r="E460" s="2"/>
      <c r="F460" s="3"/>
      <c r="G460" s="2"/>
      <c r="K460" s="4"/>
    </row>
    <row r="461">
      <c r="D461" s="2"/>
      <c r="E461" s="2"/>
      <c r="F461" s="3"/>
      <c r="G461" s="2"/>
      <c r="K461" s="4"/>
    </row>
    <row r="462">
      <c r="D462" s="2"/>
      <c r="E462" s="2"/>
      <c r="F462" s="3"/>
      <c r="G462" s="2"/>
      <c r="K462" s="4"/>
    </row>
    <row r="463">
      <c r="D463" s="2"/>
      <c r="E463" s="2"/>
      <c r="F463" s="3"/>
      <c r="G463" s="2"/>
      <c r="K463" s="4"/>
    </row>
    <row r="464">
      <c r="D464" s="2"/>
      <c r="E464" s="2"/>
      <c r="F464" s="3"/>
      <c r="G464" s="2"/>
      <c r="K464" s="4"/>
    </row>
    <row r="465">
      <c r="D465" s="2"/>
      <c r="E465" s="2"/>
      <c r="F465" s="3"/>
      <c r="G465" s="2"/>
      <c r="K465" s="4"/>
    </row>
    <row r="466">
      <c r="D466" s="2"/>
      <c r="E466" s="2"/>
      <c r="F466" s="3"/>
      <c r="G466" s="2"/>
      <c r="K466" s="4"/>
    </row>
    <row r="467">
      <c r="D467" s="2"/>
      <c r="E467" s="2"/>
      <c r="F467" s="3"/>
      <c r="G467" s="2"/>
      <c r="K467" s="4"/>
    </row>
    <row r="468">
      <c r="D468" s="2"/>
      <c r="E468" s="2"/>
      <c r="F468" s="3"/>
      <c r="G468" s="2"/>
      <c r="K468" s="4"/>
    </row>
    <row r="469">
      <c r="D469" s="2"/>
      <c r="E469" s="2"/>
      <c r="F469" s="3"/>
      <c r="G469" s="2"/>
      <c r="K469" s="4"/>
    </row>
    <row r="470">
      <c r="D470" s="2"/>
      <c r="E470" s="2"/>
      <c r="F470" s="3"/>
      <c r="G470" s="2"/>
      <c r="K470" s="4"/>
    </row>
    <row r="471">
      <c r="D471" s="2"/>
      <c r="E471" s="2"/>
      <c r="F471" s="3"/>
      <c r="G471" s="2"/>
      <c r="K471" s="4"/>
    </row>
    <row r="472">
      <c r="D472" s="2"/>
      <c r="E472" s="2"/>
      <c r="F472" s="3"/>
      <c r="G472" s="2"/>
      <c r="K472" s="4"/>
    </row>
    <row r="473">
      <c r="D473" s="2"/>
      <c r="E473" s="2"/>
      <c r="F473" s="3"/>
      <c r="G473" s="2"/>
      <c r="K473" s="4"/>
    </row>
    <row r="474">
      <c r="D474" s="2"/>
      <c r="E474" s="2"/>
      <c r="F474" s="3"/>
      <c r="G474" s="2"/>
      <c r="K474" s="4"/>
    </row>
    <row r="475">
      <c r="D475" s="2"/>
      <c r="E475" s="2"/>
      <c r="F475" s="3"/>
      <c r="G475" s="2"/>
      <c r="K475" s="4"/>
    </row>
    <row r="476">
      <c r="D476" s="2"/>
      <c r="E476" s="2"/>
      <c r="F476" s="3"/>
      <c r="G476" s="2"/>
      <c r="K476" s="4"/>
    </row>
    <row r="477">
      <c r="D477" s="2"/>
      <c r="E477" s="2"/>
      <c r="F477" s="3"/>
      <c r="G477" s="2"/>
      <c r="K477" s="4"/>
    </row>
    <row r="478">
      <c r="D478" s="2"/>
      <c r="E478" s="2"/>
      <c r="F478" s="3"/>
      <c r="G478" s="2"/>
      <c r="K478" s="4"/>
    </row>
    <row r="479">
      <c r="D479" s="2"/>
      <c r="E479" s="2"/>
      <c r="F479" s="3"/>
      <c r="G479" s="2"/>
      <c r="K479" s="4"/>
    </row>
    <row r="480">
      <c r="D480" s="2"/>
      <c r="E480" s="2"/>
      <c r="F480" s="3"/>
      <c r="G480" s="2"/>
      <c r="K480" s="4"/>
    </row>
    <row r="481">
      <c r="D481" s="2"/>
      <c r="E481" s="2"/>
      <c r="F481" s="3"/>
      <c r="G481" s="2"/>
      <c r="K481" s="4"/>
    </row>
    <row r="482">
      <c r="D482" s="2"/>
      <c r="E482" s="2"/>
      <c r="F482" s="3"/>
      <c r="G482" s="2"/>
      <c r="K482" s="4"/>
    </row>
    <row r="483">
      <c r="D483" s="2"/>
      <c r="E483" s="2"/>
      <c r="F483" s="3"/>
      <c r="G483" s="2"/>
      <c r="K483" s="4"/>
    </row>
    <row r="484">
      <c r="D484" s="2"/>
      <c r="E484" s="2"/>
      <c r="F484" s="3"/>
      <c r="G484" s="2"/>
      <c r="K484" s="4"/>
    </row>
    <row r="485">
      <c r="D485" s="2"/>
      <c r="E485" s="2"/>
      <c r="F485" s="3"/>
      <c r="G485" s="2"/>
      <c r="K485" s="4"/>
    </row>
    <row r="486">
      <c r="D486" s="2"/>
      <c r="E486" s="2"/>
      <c r="F486" s="3"/>
      <c r="G486" s="2"/>
      <c r="K486" s="4"/>
    </row>
    <row r="487">
      <c r="D487" s="2"/>
      <c r="E487" s="2"/>
      <c r="F487" s="3"/>
      <c r="G487" s="2"/>
      <c r="K487" s="4"/>
    </row>
    <row r="488">
      <c r="D488" s="2"/>
      <c r="E488" s="2"/>
      <c r="F488" s="3"/>
      <c r="G488" s="2"/>
      <c r="K488" s="4"/>
    </row>
    <row r="489">
      <c r="D489" s="2"/>
      <c r="E489" s="2"/>
      <c r="F489" s="3"/>
      <c r="G489" s="2"/>
      <c r="K489" s="4"/>
    </row>
    <row r="490">
      <c r="D490" s="2"/>
      <c r="E490" s="2"/>
      <c r="F490" s="3"/>
      <c r="G490" s="2"/>
      <c r="K490" s="4"/>
    </row>
    <row r="491">
      <c r="D491" s="2"/>
      <c r="E491" s="2"/>
      <c r="F491" s="3"/>
      <c r="G491" s="2"/>
      <c r="K491" s="4"/>
    </row>
    <row r="492">
      <c r="D492" s="2"/>
      <c r="E492" s="2"/>
      <c r="F492" s="3"/>
      <c r="G492" s="2"/>
      <c r="K492" s="4"/>
    </row>
    <row r="493">
      <c r="D493" s="2"/>
      <c r="E493" s="2"/>
      <c r="F493" s="3"/>
      <c r="G493" s="2"/>
      <c r="K493" s="4"/>
    </row>
    <row r="494">
      <c r="D494" s="2"/>
      <c r="E494" s="2"/>
      <c r="F494" s="3"/>
      <c r="G494" s="2"/>
      <c r="K494" s="4"/>
    </row>
    <row r="495">
      <c r="D495" s="2"/>
      <c r="E495" s="2"/>
      <c r="F495" s="3"/>
      <c r="G495" s="2"/>
      <c r="K495" s="4"/>
    </row>
    <row r="496">
      <c r="D496" s="2"/>
      <c r="E496" s="2"/>
      <c r="F496" s="3"/>
      <c r="G496" s="2"/>
      <c r="K496" s="4"/>
    </row>
    <row r="497">
      <c r="D497" s="2"/>
      <c r="E497" s="2"/>
      <c r="F497" s="3"/>
      <c r="G497" s="2"/>
      <c r="K497" s="4"/>
    </row>
    <row r="498">
      <c r="D498" s="2"/>
      <c r="E498" s="2"/>
      <c r="F498" s="3"/>
      <c r="G498" s="2"/>
      <c r="K498" s="4"/>
    </row>
    <row r="499">
      <c r="D499" s="2"/>
      <c r="E499" s="2"/>
      <c r="F499" s="3"/>
      <c r="G499" s="2"/>
      <c r="K499" s="4"/>
    </row>
    <row r="500">
      <c r="D500" s="2"/>
      <c r="E500" s="2"/>
      <c r="F500" s="3"/>
      <c r="G500" s="2"/>
      <c r="K500" s="4"/>
    </row>
    <row r="501">
      <c r="D501" s="2"/>
      <c r="E501" s="2"/>
      <c r="F501" s="3"/>
      <c r="G501" s="2"/>
      <c r="K501" s="4"/>
    </row>
    <row r="502">
      <c r="D502" s="2"/>
      <c r="E502" s="2"/>
      <c r="F502" s="3"/>
      <c r="G502" s="2"/>
      <c r="K502" s="4"/>
    </row>
    <row r="503">
      <c r="D503" s="2"/>
      <c r="E503" s="2"/>
      <c r="F503" s="3"/>
      <c r="G503" s="2"/>
      <c r="K503" s="4"/>
    </row>
    <row r="504">
      <c r="D504" s="2"/>
      <c r="E504" s="2"/>
      <c r="F504" s="3"/>
      <c r="G504" s="2"/>
      <c r="K504" s="4"/>
    </row>
    <row r="505">
      <c r="D505" s="2"/>
      <c r="E505" s="2"/>
      <c r="F505" s="3"/>
      <c r="G505" s="2"/>
      <c r="K505" s="4"/>
    </row>
    <row r="506">
      <c r="D506" s="2"/>
      <c r="E506" s="2"/>
      <c r="F506" s="3"/>
      <c r="G506" s="2"/>
      <c r="K506" s="4"/>
    </row>
    <row r="507">
      <c r="D507" s="2"/>
      <c r="E507" s="2"/>
      <c r="F507" s="3"/>
      <c r="G507" s="2"/>
      <c r="K507" s="4"/>
    </row>
    <row r="508">
      <c r="D508" s="2"/>
      <c r="E508" s="2"/>
      <c r="F508" s="3"/>
      <c r="G508" s="2"/>
      <c r="K508" s="4"/>
    </row>
    <row r="509">
      <c r="D509" s="2"/>
      <c r="E509" s="2"/>
      <c r="F509" s="3"/>
      <c r="G509" s="2"/>
      <c r="K509" s="4"/>
    </row>
    <row r="510">
      <c r="D510" s="2"/>
      <c r="E510" s="2"/>
      <c r="F510" s="3"/>
      <c r="G510" s="2"/>
      <c r="K510" s="4"/>
    </row>
    <row r="511">
      <c r="D511" s="2"/>
      <c r="E511" s="2"/>
      <c r="F511" s="3"/>
      <c r="G511" s="2"/>
      <c r="K511" s="4"/>
    </row>
    <row r="512">
      <c r="D512" s="2"/>
      <c r="E512" s="2"/>
      <c r="F512" s="3"/>
      <c r="G512" s="2"/>
      <c r="K512" s="4"/>
    </row>
    <row r="513">
      <c r="D513" s="2"/>
      <c r="E513" s="2"/>
      <c r="F513" s="3"/>
      <c r="G513" s="2"/>
      <c r="K513" s="4"/>
    </row>
    <row r="514">
      <c r="D514" s="2"/>
      <c r="E514" s="2"/>
      <c r="F514" s="3"/>
      <c r="G514" s="2"/>
      <c r="K514" s="4"/>
    </row>
    <row r="515">
      <c r="D515" s="2"/>
      <c r="E515" s="2"/>
      <c r="F515" s="3"/>
      <c r="G515" s="2"/>
      <c r="K515" s="4"/>
    </row>
    <row r="516">
      <c r="D516" s="2"/>
      <c r="E516" s="2"/>
      <c r="F516" s="3"/>
      <c r="G516" s="2"/>
      <c r="K516" s="4"/>
    </row>
    <row r="517">
      <c r="D517" s="2"/>
      <c r="E517" s="2"/>
      <c r="F517" s="3"/>
      <c r="G517" s="2"/>
      <c r="K517" s="4"/>
    </row>
    <row r="518">
      <c r="D518" s="2"/>
      <c r="E518" s="2"/>
      <c r="F518" s="3"/>
      <c r="G518" s="2"/>
      <c r="K518" s="4"/>
    </row>
    <row r="519">
      <c r="D519" s="2"/>
      <c r="E519" s="2"/>
      <c r="F519" s="3"/>
      <c r="G519" s="2"/>
      <c r="K519" s="4"/>
    </row>
    <row r="520">
      <c r="D520" s="2"/>
      <c r="E520" s="2"/>
      <c r="F520" s="3"/>
      <c r="G520" s="2"/>
      <c r="K520" s="4"/>
    </row>
    <row r="521">
      <c r="D521" s="2"/>
      <c r="E521" s="2"/>
      <c r="F521" s="3"/>
      <c r="G521" s="2"/>
      <c r="K521" s="4"/>
    </row>
    <row r="522">
      <c r="D522" s="2"/>
      <c r="E522" s="2"/>
      <c r="F522" s="3"/>
      <c r="G522" s="2"/>
      <c r="K522" s="4"/>
    </row>
    <row r="523">
      <c r="D523" s="2"/>
      <c r="E523" s="2"/>
      <c r="F523" s="3"/>
      <c r="G523" s="2"/>
      <c r="K523" s="4"/>
    </row>
    <row r="524">
      <c r="D524" s="2"/>
      <c r="E524" s="2"/>
      <c r="F524" s="3"/>
      <c r="G524" s="2"/>
      <c r="K524" s="4"/>
    </row>
    <row r="525">
      <c r="D525" s="2"/>
      <c r="E525" s="2"/>
      <c r="F525" s="3"/>
      <c r="G525" s="2"/>
      <c r="K525" s="4"/>
    </row>
    <row r="526">
      <c r="D526" s="2"/>
      <c r="E526" s="2"/>
      <c r="F526" s="3"/>
      <c r="G526" s="2"/>
      <c r="K526" s="4"/>
    </row>
    <row r="527">
      <c r="D527" s="2"/>
      <c r="E527" s="2"/>
      <c r="F527" s="3"/>
      <c r="G527" s="2"/>
      <c r="K527" s="4"/>
    </row>
    <row r="528">
      <c r="D528" s="2"/>
      <c r="E528" s="2"/>
      <c r="F528" s="3"/>
      <c r="G528" s="2"/>
      <c r="K528" s="4"/>
    </row>
    <row r="529">
      <c r="D529" s="2"/>
      <c r="E529" s="2"/>
      <c r="F529" s="3"/>
      <c r="G529" s="2"/>
      <c r="K529" s="4"/>
    </row>
    <row r="530">
      <c r="D530" s="2"/>
      <c r="E530" s="2"/>
      <c r="F530" s="3"/>
      <c r="G530" s="2"/>
      <c r="K530" s="4"/>
    </row>
    <row r="531">
      <c r="D531" s="2"/>
      <c r="E531" s="2"/>
      <c r="F531" s="3"/>
      <c r="G531" s="2"/>
      <c r="K531" s="4"/>
    </row>
    <row r="532">
      <c r="D532" s="2"/>
      <c r="E532" s="2"/>
      <c r="F532" s="3"/>
      <c r="G532" s="2"/>
      <c r="K532" s="4"/>
    </row>
    <row r="533">
      <c r="D533" s="2"/>
      <c r="E533" s="2"/>
      <c r="F533" s="3"/>
      <c r="G533" s="2"/>
      <c r="K533" s="4"/>
    </row>
    <row r="534">
      <c r="D534" s="2"/>
      <c r="E534" s="2"/>
      <c r="F534" s="3"/>
      <c r="G534" s="2"/>
      <c r="K534" s="4"/>
    </row>
    <row r="535">
      <c r="D535" s="2"/>
      <c r="E535" s="2"/>
      <c r="F535" s="3"/>
      <c r="G535" s="2"/>
      <c r="K535" s="4"/>
    </row>
    <row r="536">
      <c r="D536" s="2"/>
      <c r="E536" s="2"/>
      <c r="F536" s="3"/>
      <c r="G536" s="2"/>
      <c r="K536" s="4"/>
    </row>
    <row r="537">
      <c r="D537" s="2"/>
      <c r="E537" s="2"/>
      <c r="F537" s="3"/>
      <c r="G537" s="2"/>
      <c r="K537" s="4"/>
    </row>
    <row r="538">
      <c r="D538" s="2"/>
      <c r="E538" s="2"/>
      <c r="F538" s="3"/>
      <c r="G538" s="2"/>
      <c r="K538" s="4"/>
    </row>
    <row r="539">
      <c r="D539" s="2"/>
      <c r="E539" s="2"/>
      <c r="F539" s="3"/>
      <c r="G539" s="2"/>
      <c r="K539" s="4"/>
    </row>
    <row r="540">
      <c r="D540" s="2"/>
      <c r="E540" s="2"/>
      <c r="F540" s="3"/>
      <c r="G540" s="2"/>
      <c r="K540" s="4"/>
    </row>
    <row r="541">
      <c r="D541" s="2"/>
      <c r="E541" s="2"/>
      <c r="F541" s="3"/>
      <c r="G541" s="2"/>
      <c r="K541" s="4"/>
    </row>
    <row r="542">
      <c r="D542" s="2"/>
      <c r="E542" s="2"/>
      <c r="F542" s="3"/>
      <c r="G542" s="2"/>
      <c r="K542" s="4"/>
    </row>
    <row r="543">
      <c r="D543" s="2"/>
      <c r="E543" s="2"/>
      <c r="F543" s="3"/>
      <c r="G543" s="2"/>
      <c r="K543" s="4"/>
    </row>
    <row r="544">
      <c r="D544" s="2"/>
      <c r="E544" s="2"/>
      <c r="F544" s="3"/>
      <c r="G544" s="2"/>
      <c r="K544" s="4"/>
    </row>
    <row r="545">
      <c r="D545" s="2"/>
      <c r="E545" s="2"/>
      <c r="F545" s="3"/>
      <c r="G545" s="2"/>
      <c r="K545" s="4"/>
    </row>
    <row r="546">
      <c r="D546" s="2"/>
      <c r="E546" s="2"/>
      <c r="F546" s="3"/>
      <c r="G546" s="2"/>
      <c r="K546" s="4"/>
    </row>
    <row r="547">
      <c r="D547" s="2"/>
      <c r="E547" s="2"/>
      <c r="F547" s="3"/>
      <c r="G547" s="2"/>
      <c r="K547" s="4"/>
    </row>
    <row r="548">
      <c r="D548" s="2"/>
      <c r="E548" s="2"/>
      <c r="F548" s="3"/>
      <c r="G548" s="2"/>
      <c r="K548" s="4"/>
    </row>
    <row r="549">
      <c r="D549" s="2"/>
      <c r="E549" s="2"/>
      <c r="F549" s="3"/>
      <c r="G549" s="2"/>
      <c r="K549" s="4"/>
    </row>
    <row r="550">
      <c r="D550" s="2"/>
      <c r="E550" s="2"/>
      <c r="F550" s="3"/>
      <c r="G550" s="2"/>
      <c r="K550" s="4"/>
    </row>
    <row r="551">
      <c r="D551" s="2"/>
      <c r="E551" s="2"/>
      <c r="F551" s="3"/>
      <c r="G551" s="2"/>
      <c r="K551" s="4"/>
    </row>
    <row r="552">
      <c r="D552" s="2"/>
      <c r="E552" s="2"/>
      <c r="F552" s="3"/>
      <c r="G552" s="2"/>
      <c r="K552" s="4"/>
    </row>
    <row r="553">
      <c r="D553" s="2"/>
      <c r="E553" s="2"/>
      <c r="F553" s="3"/>
      <c r="G553" s="2"/>
      <c r="K553" s="4"/>
    </row>
    <row r="554">
      <c r="D554" s="2"/>
      <c r="E554" s="2"/>
      <c r="F554" s="3"/>
      <c r="G554" s="2"/>
      <c r="K554" s="4"/>
    </row>
    <row r="555">
      <c r="D555" s="2"/>
      <c r="E555" s="2"/>
      <c r="F555" s="3"/>
      <c r="G555" s="2"/>
      <c r="K555" s="4"/>
    </row>
    <row r="556">
      <c r="D556" s="2"/>
      <c r="E556" s="2"/>
      <c r="F556" s="3"/>
      <c r="G556" s="2"/>
      <c r="K556" s="4"/>
    </row>
    <row r="557">
      <c r="D557" s="2"/>
      <c r="E557" s="2"/>
      <c r="F557" s="3"/>
      <c r="G557" s="2"/>
      <c r="K557" s="4"/>
    </row>
    <row r="558">
      <c r="D558" s="2"/>
      <c r="E558" s="2"/>
      <c r="F558" s="3"/>
      <c r="G558" s="2"/>
      <c r="K558" s="4"/>
    </row>
    <row r="559">
      <c r="D559" s="2"/>
      <c r="E559" s="2"/>
      <c r="F559" s="3"/>
      <c r="G559" s="2"/>
      <c r="K559" s="4"/>
    </row>
    <row r="560">
      <c r="D560" s="2"/>
      <c r="E560" s="2"/>
      <c r="F560" s="3"/>
      <c r="G560" s="2"/>
      <c r="K560" s="4"/>
    </row>
    <row r="561">
      <c r="D561" s="2"/>
      <c r="E561" s="2"/>
      <c r="F561" s="3"/>
      <c r="G561" s="2"/>
      <c r="K561" s="4"/>
    </row>
    <row r="562">
      <c r="D562" s="2"/>
      <c r="E562" s="2"/>
      <c r="F562" s="3"/>
      <c r="G562" s="2"/>
      <c r="K562" s="4"/>
    </row>
    <row r="563">
      <c r="D563" s="2"/>
      <c r="E563" s="2"/>
      <c r="F563" s="3"/>
      <c r="G563" s="2"/>
      <c r="K563" s="4"/>
    </row>
    <row r="564">
      <c r="D564" s="2"/>
      <c r="E564" s="2"/>
      <c r="F564" s="3"/>
      <c r="G564" s="2"/>
      <c r="K564" s="4"/>
    </row>
    <row r="565">
      <c r="D565" s="2"/>
      <c r="E565" s="2"/>
      <c r="F565" s="3"/>
      <c r="G565" s="2"/>
      <c r="K565" s="4"/>
    </row>
    <row r="566">
      <c r="D566" s="2"/>
      <c r="E566" s="2"/>
      <c r="F566" s="3"/>
      <c r="G566" s="2"/>
      <c r="K566" s="4"/>
    </row>
    <row r="567">
      <c r="D567" s="2"/>
      <c r="E567" s="2"/>
      <c r="F567" s="3"/>
      <c r="G567" s="2"/>
      <c r="K567" s="4"/>
    </row>
    <row r="568">
      <c r="D568" s="2"/>
      <c r="E568" s="2"/>
      <c r="F568" s="3"/>
      <c r="G568" s="2"/>
      <c r="K568" s="4"/>
    </row>
    <row r="569">
      <c r="D569" s="2"/>
      <c r="E569" s="2"/>
      <c r="F569" s="3"/>
      <c r="G569" s="2"/>
      <c r="K569" s="4"/>
    </row>
    <row r="570">
      <c r="D570" s="2"/>
      <c r="E570" s="2"/>
      <c r="F570" s="3"/>
      <c r="G570" s="2"/>
      <c r="K570" s="4"/>
    </row>
    <row r="571">
      <c r="D571" s="2"/>
      <c r="E571" s="2"/>
      <c r="F571" s="3"/>
      <c r="G571" s="2"/>
      <c r="K571" s="4"/>
    </row>
    <row r="572">
      <c r="D572" s="2"/>
      <c r="E572" s="2"/>
      <c r="F572" s="3"/>
      <c r="G572" s="2"/>
      <c r="K572" s="4"/>
    </row>
    <row r="573">
      <c r="D573" s="2"/>
      <c r="E573" s="2"/>
      <c r="F573" s="3"/>
      <c r="G573" s="2"/>
      <c r="K573" s="4"/>
    </row>
    <row r="574">
      <c r="D574" s="2"/>
      <c r="E574" s="2"/>
      <c r="F574" s="3"/>
      <c r="G574" s="2"/>
      <c r="K574" s="4"/>
    </row>
    <row r="575">
      <c r="D575" s="2"/>
      <c r="E575" s="2"/>
      <c r="F575" s="3"/>
      <c r="G575" s="2"/>
      <c r="K575" s="4"/>
    </row>
    <row r="576">
      <c r="D576" s="2"/>
      <c r="E576" s="2"/>
      <c r="F576" s="3"/>
      <c r="G576" s="2"/>
      <c r="K576" s="4"/>
    </row>
    <row r="577">
      <c r="D577" s="2"/>
      <c r="E577" s="2"/>
      <c r="F577" s="3"/>
      <c r="G577" s="2"/>
      <c r="K577" s="4"/>
    </row>
    <row r="578">
      <c r="D578" s="2"/>
      <c r="E578" s="2"/>
      <c r="F578" s="3"/>
      <c r="G578" s="2"/>
      <c r="K578" s="4"/>
    </row>
    <row r="579">
      <c r="D579" s="2"/>
      <c r="E579" s="2"/>
      <c r="F579" s="3"/>
      <c r="G579" s="2"/>
      <c r="K579" s="4"/>
    </row>
    <row r="580">
      <c r="D580" s="2"/>
      <c r="E580" s="2"/>
      <c r="F580" s="3"/>
      <c r="G580" s="2"/>
      <c r="K580" s="4"/>
    </row>
    <row r="581">
      <c r="D581" s="2"/>
      <c r="E581" s="2"/>
      <c r="F581" s="3"/>
      <c r="G581" s="2"/>
      <c r="K581" s="4"/>
    </row>
    <row r="582">
      <c r="D582" s="2"/>
      <c r="E582" s="2"/>
      <c r="F582" s="3"/>
      <c r="G582" s="2"/>
      <c r="K582" s="4"/>
    </row>
    <row r="583">
      <c r="D583" s="2"/>
      <c r="E583" s="2"/>
      <c r="F583" s="3"/>
      <c r="G583" s="2"/>
      <c r="K583" s="4"/>
    </row>
    <row r="584">
      <c r="D584" s="2"/>
      <c r="E584" s="2"/>
      <c r="F584" s="3"/>
      <c r="G584" s="2"/>
      <c r="K584" s="4"/>
    </row>
    <row r="585">
      <c r="D585" s="2"/>
      <c r="E585" s="2"/>
      <c r="F585" s="3"/>
      <c r="G585" s="2"/>
      <c r="K585" s="4"/>
    </row>
    <row r="586">
      <c r="D586" s="2"/>
      <c r="E586" s="2"/>
      <c r="F586" s="3"/>
      <c r="G586" s="2"/>
      <c r="K586" s="4"/>
    </row>
    <row r="587">
      <c r="D587" s="2"/>
      <c r="E587" s="2"/>
      <c r="F587" s="3"/>
      <c r="G587" s="2"/>
      <c r="K587" s="4"/>
    </row>
    <row r="588">
      <c r="D588" s="2"/>
      <c r="E588" s="2"/>
      <c r="F588" s="3"/>
      <c r="G588" s="2"/>
      <c r="K588" s="4"/>
    </row>
    <row r="589">
      <c r="D589" s="2"/>
      <c r="E589" s="2"/>
      <c r="F589" s="3"/>
      <c r="G589" s="2"/>
      <c r="K589" s="4"/>
    </row>
    <row r="590">
      <c r="D590" s="2"/>
      <c r="E590" s="2"/>
      <c r="F590" s="3"/>
      <c r="G590" s="2"/>
      <c r="K590" s="4"/>
    </row>
    <row r="591">
      <c r="D591" s="2"/>
      <c r="E591" s="2"/>
      <c r="F591" s="3"/>
      <c r="G591" s="2"/>
      <c r="K591" s="4"/>
    </row>
    <row r="592">
      <c r="D592" s="2"/>
      <c r="E592" s="2"/>
      <c r="F592" s="3"/>
      <c r="G592" s="2"/>
      <c r="K592" s="4"/>
    </row>
    <row r="593">
      <c r="D593" s="2"/>
      <c r="E593" s="2"/>
      <c r="F593" s="3"/>
      <c r="G593" s="2"/>
      <c r="K593" s="4"/>
    </row>
    <row r="594">
      <c r="D594" s="2"/>
      <c r="E594" s="2"/>
      <c r="F594" s="3"/>
      <c r="G594" s="2"/>
      <c r="K594" s="4"/>
    </row>
    <row r="595">
      <c r="D595" s="2"/>
      <c r="E595" s="2"/>
      <c r="F595" s="3"/>
      <c r="G595" s="2"/>
      <c r="K595" s="4"/>
    </row>
    <row r="596">
      <c r="D596" s="2"/>
      <c r="E596" s="2"/>
      <c r="F596" s="3"/>
      <c r="G596" s="2"/>
      <c r="K596" s="4"/>
    </row>
    <row r="597">
      <c r="D597" s="2"/>
      <c r="E597" s="2"/>
      <c r="F597" s="3"/>
      <c r="G597" s="2"/>
      <c r="K597" s="4"/>
    </row>
    <row r="598">
      <c r="D598" s="2"/>
      <c r="E598" s="2"/>
      <c r="F598" s="3"/>
      <c r="G598" s="2"/>
      <c r="K598" s="4"/>
    </row>
    <row r="599">
      <c r="D599" s="2"/>
      <c r="E599" s="2"/>
      <c r="F599" s="3"/>
      <c r="G599" s="2"/>
      <c r="K599" s="4"/>
    </row>
    <row r="600">
      <c r="D600" s="2"/>
      <c r="E600" s="2"/>
      <c r="F600" s="3"/>
      <c r="G600" s="2"/>
      <c r="K600" s="4"/>
    </row>
    <row r="601">
      <c r="D601" s="2"/>
      <c r="E601" s="2"/>
      <c r="F601" s="3"/>
      <c r="G601" s="2"/>
      <c r="K601" s="4"/>
    </row>
    <row r="602">
      <c r="D602" s="2"/>
      <c r="E602" s="2"/>
      <c r="F602" s="3"/>
      <c r="G602" s="2"/>
      <c r="K602" s="4"/>
    </row>
    <row r="603">
      <c r="D603" s="2"/>
      <c r="E603" s="2"/>
      <c r="F603" s="3"/>
      <c r="G603" s="2"/>
      <c r="K603" s="4"/>
    </row>
    <row r="604">
      <c r="D604" s="2"/>
      <c r="E604" s="2"/>
      <c r="F604" s="3"/>
      <c r="G604" s="2"/>
      <c r="K604" s="4"/>
    </row>
    <row r="605">
      <c r="D605" s="2"/>
      <c r="E605" s="2"/>
      <c r="F605" s="3"/>
      <c r="G605" s="2"/>
      <c r="K605" s="4"/>
    </row>
    <row r="606">
      <c r="D606" s="2"/>
      <c r="E606" s="2"/>
      <c r="F606" s="3"/>
      <c r="G606" s="2"/>
      <c r="K606" s="4"/>
    </row>
    <row r="607">
      <c r="D607" s="2"/>
      <c r="E607" s="2"/>
      <c r="F607" s="3"/>
      <c r="G607" s="2"/>
      <c r="K607" s="4"/>
    </row>
    <row r="608">
      <c r="D608" s="2"/>
      <c r="E608" s="2"/>
      <c r="F608" s="3"/>
      <c r="G608" s="2"/>
      <c r="K608" s="4"/>
    </row>
    <row r="609">
      <c r="D609" s="2"/>
      <c r="E609" s="2"/>
      <c r="F609" s="3"/>
      <c r="G609" s="2"/>
      <c r="K609" s="4"/>
    </row>
    <row r="610">
      <c r="D610" s="2"/>
      <c r="E610" s="2"/>
      <c r="F610" s="3"/>
      <c r="G610" s="2"/>
      <c r="K610" s="4"/>
    </row>
    <row r="611">
      <c r="D611" s="2"/>
      <c r="E611" s="2"/>
      <c r="F611" s="3"/>
      <c r="G611" s="2"/>
      <c r="K611" s="4"/>
    </row>
    <row r="612">
      <c r="D612" s="2"/>
      <c r="E612" s="2"/>
      <c r="F612" s="3"/>
      <c r="G612" s="2"/>
      <c r="K612" s="4"/>
    </row>
    <row r="613">
      <c r="D613" s="2"/>
      <c r="E613" s="2"/>
      <c r="F613" s="3"/>
      <c r="G613" s="2"/>
      <c r="K613" s="4"/>
    </row>
    <row r="614">
      <c r="D614" s="2"/>
      <c r="E614" s="2"/>
      <c r="F614" s="3"/>
      <c r="G614" s="2"/>
      <c r="K614" s="4"/>
    </row>
    <row r="615">
      <c r="D615" s="2"/>
      <c r="E615" s="2"/>
      <c r="F615" s="3"/>
      <c r="G615" s="2"/>
      <c r="K615" s="4"/>
    </row>
    <row r="616">
      <c r="D616" s="2"/>
      <c r="E616" s="2"/>
      <c r="F616" s="3"/>
      <c r="G616" s="2"/>
      <c r="K616" s="4"/>
    </row>
    <row r="617">
      <c r="D617" s="2"/>
      <c r="E617" s="2"/>
      <c r="F617" s="3"/>
      <c r="G617" s="2"/>
      <c r="K617" s="4"/>
    </row>
    <row r="618">
      <c r="D618" s="2"/>
      <c r="E618" s="2"/>
      <c r="F618" s="3"/>
      <c r="G618" s="2"/>
      <c r="K618" s="4"/>
    </row>
    <row r="619">
      <c r="D619" s="2"/>
      <c r="E619" s="2"/>
      <c r="F619" s="3"/>
      <c r="G619" s="2"/>
      <c r="K619" s="4"/>
    </row>
    <row r="620">
      <c r="D620" s="2"/>
      <c r="E620" s="2"/>
      <c r="F620" s="3"/>
      <c r="G620" s="2"/>
      <c r="K620" s="4"/>
    </row>
    <row r="621">
      <c r="D621" s="2"/>
      <c r="E621" s="2"/>
      <c r="F621" s="3"/>
      <c r="G621" s="2"/>
      <c r="K621" s="4"/>
    </row>
    <row r="622">
      <c r="D622" s="2"/>
      <c r="E622" s="2"/>
      <c r="F622" s="3"/>
      <c r="G622" s="2"/>
      <c r="K622" s="4"/>
    </row>
    <row r="623">
      <c r="D623" s="2"/>
      <c r="E623" s="2"/>
      <c r="F623" s="3"/>
      <c r="G623" s="2"/>
      <c r="K623" s="4"/>
    </row>
    <row r="624">
      <c r="D624" s="2"/>
      <c r="E624" s="2"/>
      <c r="F624" s="3"/>
      <c r="G624" s="2"/>
      <c r="K624" s="4"/>
    </row>
    <row r="625">
      <c r="D625" s="2"/>
      <c r="E625" s="2"/>
      <c r="F625" s="3"/>
      <c r="G625" s="2"/>
      <c r="K625" s="4"/>
    </row>
    <row r="626">
      <c r="D626" s="2"/>
      <c r="E626" s="2"/>
      <c r="F626" s="3"/>
      <c r="G626" s="2"/>
      <c r="K626" s="4"/>
    </row>
    <row r="627">
      <c r="D627" s="2"/>
      <c r="E627" s="2"/>
      <c r="F627" s="3"/>
      <c r="G627" s="2"/>
      <c r="K627" s="4"/>
    </row>
    <row r="628">
      <c r="D628" s="2"/>
      <c r="E628" s="2"/>
      <c r="F628" s="3"/>
      <c r="G628" s="2"/>
      <c r="K628" s="4"/>
    </row>
    <row r="629">
      <c r="D629" s="2"/>
      <c r="E629" s="2"/>
      <c r="F629" s="3"/>
      <c r="G629" s="2"/>
      <c r="K629" s="4"/>
    </row>
    <row r="630">
      <c r="D630" s="2"/>
      <c r="E630" s="2"/>
      <c r="F630" s="3"/>
      <c r="G630" s="2"/>
      <c r="K630" s="4"/>
    </row>
    <row r="631">
      <c r="D631" s="2"/>
      <c r="E631" s="2"/>
      <c r="F631" s="3"/>
      <c r="G631" s="2"/>
      <c r="K631" s="4"/>
    </row>
    <row r="632">
      <c r="D632" s="2"/>
      <c r="E632" s="2"/>
      <c r="F632" s="3"/>
      <c r="G632" s="2"/>
      <c r="K632" s="4"/>
    </row>
    <row r="633">
      <c r="D633" s="2"/>
      <c r="E633" s="2"/>
      <c r="F633" s="3"/>
      <c r="G633" s="2"/>
      <c r="K633" s="4"/>
    </row>
    <row r="634">
      <c r="D634" s="2"/>
      <c r="E634" s="2"/>
      <c r="F634" s="3"/>
      <c r="G634" s="2"/>
      <c r="K634" s="4"/>
    </row>
    <row r="635">
      <c r="D635" s="2"/>
      <c r="E635" s="2"/>
      <c r="F635" s="3"/>
      <c r="G635" s="2"/>
      <c r="K635" s="4"/>
    </row>
    <row r="636">
      <c r="D636" s="2"/>
      <c r="E636" s="2"/>
      <c r="F636" s="3"/>
      <c r="G636" s="2"/>
      <c r="K636" s="4"/>
    </row>
    <row r="637">
      <c r="D637" s="2"/>
      <c r="E637" s="2"/>
      <c r="F637" s="3"/>
      <c r="G637" s="2"/>
      <c r="K637" s="4"/>
    </row>
    <row r="638">
      <c r="D638" s="2"/>
      <c r="E638" s="2"/>
      <c r="F638" s="3"/>
      <c r="G638" s="2"/>
      <c r="K638" s="4"/>
    </row>
    <row r="639">
      <c r="D639" s="2"/>
      <c r="E639" s="2"/>
      <c r="F639" s="3"/>
      <c r="G639" s="2"/>
      <c r="K639" s="4"/>
    </row>
    <row r="640">
      <c r="D640" s="2"/>
      <c r="E640" s="2"/>
      <c r="F640" s="3"/>
      <c r="G640" s="2"/>
      <c r="K640" s="4"/>
    </row>
    <row r="641">
      <c r="D641" s="2"/>
      <c r="E641" s="2"/>
      <c r="F641" s="3"/>
      <c r="G641" s="2"/>
      <c r="K641" s="4"/>
    </row>
    <row r="642">
      <c r="D642" s="2"/>
      <c r="E642" s="2"/>
      <c r="F642" s="3"/>
      <c r="G642" s="2"/>
      <c r="K642" s="4"/>
    </row>
    <row r="643">
      <c r="D643" s="2"/>
      <c r="E643" s="2"/>
      <c r="F643" s="3"/>
      <c r="G643" s="2"/>
      <c r="K643" s="4"/>
    </row>
    <row r="644">
      <c r="D644" s="2"/>
      <c r="E644" s="2"/>
      <c r="F644" s="3"/>
      <c r="G644" s="2"/>
      <c r="K644" s="4"/>
    </row>
    <row r="645">
      <c r="D645" s="2"/>
      <c r="E645" s="2"/>
      <c r="F645" s="3"/>
      <c r="G645" s="2"/>
      <c r="K645" s="4"/>
    </row>
    <row r="646">
      <c r="D646" s="2"/>
      <c r="E646" s="2"/>
      <c r="F646" s="3"/>
      <c r="G646" s="2"/>
      <c r="K646" s="4"/>
    </row>
    <row r="647">
      <c r="D647" s="2"/>
      <c r="E647" s="2"/>
      <c r="F647" s="3"/>
      <c r="G647" s="2"/>
      <c r="K647" s="4"/>
    </row>
    <row r="648">
      <c r="D648" s="2"/>
      <c r="E648" s="2"/>
      <c r="F648" s="3"/>
      <c r="G648" s="2"/>
      <c r="K648" s="4"/>
    </row>
    <row r="649">
      <c r="D649" s="2"/>
      <c r="E649" s="2"/>
      <c r="F649" s="3"/>
      <c r="G649" s="2"/>
      <c r="K649" s="4"/>
    </row>
    <row r="650">
      <c r="D650" s="2"/>
      <c r="E650" s="2"/>
      <c r="F650" s="3"/>
      <c r="G650" s="2"/>
      <c r="K650" s="4"/>
    </row>
    <row r="651">
      <c r="D651" s="2"/>
      <c r="E651" s="2"/>
      <c r="F651" s="3"/>
      <c r="G651" s="2"/>
      <c r="K651" s="4"/>
    </row>
    <row r="652">
      <c r="D652" s="2"/>
      <c r="E652" s="2"/>
      <c r="F652" s="3"/>
      <c r="G652" s="2"/>
      <c r="K652" s="4"/>
    </row>
    <row r="653">
      <c r="D653" s="2"/>
      <c r="E653" s="2"/>
      <c r="F653" s="3"/>
      <c r="G653" s="2"/>
      <c r="K653" s="4"/>
    </row>
    <row r="654">
      <c r="D654" s="2"/>
      <c r="E654" s="2"/>
      <c r="F654" s="3"/>
      <c r="G654" s="2"/>
      <c r="K654" s="4"/>
    </row>
    <row r="655">
      <c r="D655" s="2"/>
      <c r="E655" s="2"/>
      <c r="F655" s="3"/>
      <c r="G655" s="2"/>
      <c r="K655" s="4"/>
    </row>
    <row r="656">
      <c r="D656" s="2"/>
      <c r="E656" s="2"/>
      <c r="F656" s="3"/>
      <c r="G656" s="2"/>
      <c r="K656" s="4"/>
    </row>
    <row r="657">
      <c r="D657" s="2"/>
      <c r="E657" s="2"/>
      <c r="F657" s="3"/>
      <c r="G657" s="2"/>
      <c r="K657" s="4"/>
    </row>
    <row r="658">
      <c r="D658" s="2"/>
      <c r="E658" s="2"/>
      <c r="F658" s="3"/>
      <c r="G658" s="2"/>
      <c r="K658" s="4"/>
    </row>
    <row r="659">
      <c r="D659" s="2"/>
      <c r="E659" s="2"/>
      <c r="F659" s="3"/>
      <c r="G659" s="2"/>
      <c r="K659" s="4"/>
    </row>
    <row r="660">
      <c r="D660" s="2"/>
      <c r="E660" s="2"/>
      <c r="F660" s="3"/>
      <c r="G660" s="2"/>
      <c r="K660" s="4"/>
    </row>
    <row r="661">
      <c r="D661" s="2"/>
      <c r="E661" s="2"/>
      <c r="F661" s="3"/>
      <c r="G661" s="2"/>
      <c r="K661" s="4"/>
    </row>
    <row r="662">
      <c r="D662" s="2"/>
      <c r="E662" s="2"/>
      <c r="F662" s="3"/>
      <c r="G662" s="2"/>
      <c r="K662" s="4"/>
    </row>
    <row r="663">
      <c r="D663" s="2"/>
      <c r="E663" s="2"/>
      <c r="F663" s="3"/>
      <c r="G663" s="2"/>
      <c r="K663" s="4"/>
    </row>
    <row r="664">
      <c r="D664" s="2"/>
      <c r="E664" s="2"/>
      <c r="F664" s="3"/>
      <c r="G664" s="2"/>
      <c r="K664" s="4"/>
    </row>
    <row r="665">
      <c r="D665" s="2"/>
      <c r="E665" s="2"/>
      <c r="F665" s="3"/>
      <c r="G665" s="2"/>
      <c r="K665" s="4"/>
    </row>
    <row r="666">
      <c r="D666" s="2"/>
      <c r="E666" s="2"/>
      <c r="F666" s="3"/>
      <c r="G666" s="2"/>
      <c r="K666" s="4"/>
    </row>
    <row r="667">
      <c r="D667" s="2"/>
      <c r="E667" s="2"/>
      <c r="F667" s="3"/>
      <c r="G667" s="2"/>
      <c r="K667" s="4"/>
    </row>
    <row r="668">
      <c r="D668" s="2"/>
      <c r="E668" s="2"/>
      <c r="F668" s="3"/>
      <c r="G668" s="2"/>
      <c r="K668" s="4"/>
    </row>
    <row r="669">
      <c r="D669" s="2"/>
      <c r="E669" s="2"/>
      <c r="F669" s="3"/>
      <c r="G669" s="2"/>
      <c r="K669" s="4"/>
    </row>
    <row r="670">
      <c r="D670" s="2"/>
      <c r="E670" s="2"/>
      <c r="F670" s="3"/>
      <c r="G670" s="2"/>
      <c r="K670" s="4"/>
    </row>
    <row r="671">
      <c r="D671" s="2"/>
      <c r="E671" s="2"/>
      <c r="F671" s="3"/>
      <c r="G671" s="2"/>
      <c r="K671" s="4"/>
    </row>
    <row r="672">
      <c r="D672" s="2"/>
      <c r="E672" s="2"/>
      <c r="F672" s="3"/>
      <c r="G672" s="2"/>
      <c r="K672" s="4"/>
    </row>
    <row r="673">
      <c r="D673" s="2"/>
      <c r="E673" s="2"/>
      <c r="F673" s="3"/>
      <c r="G673" s="2"/>
      <c r="K673" s="4"/>
    </row>
    <row r="674">
      <c r="D674" s="2"/>
      <c r="E674" s="2"/>
      <c r="F674" s="3"/>
      <c r="G674" s="2"/>
      <c r="K674" s="4"/>
    </row>
    <row r="675">
      <c r="D675" s="2"/>
      <c r="E675" s="2"/>
      <c r="F675" s="3"/>
      <c r="G675" s="2"/>
      <c r="K675" s="4"/>
    </row>
    <row r="676">
      <c r="D676" s="2"/>
      <c r="E676" s="2"/>
      <c r="F676" s="3"/>
      <c r="G676" s="2"/>
      <c r="K676" s="4"/>
    </row>
    <row r="677">
      <c r="D677" s="2"/>
      <c r="E677" s="2"/>
      <c r="F677" s="3"/>
      <c r="G677" s="2"/>
      <c r="K677" s="4"/>
    </row>
    <row r="678">
      <c r="D678" s="2"/>
      <c r="E678" s="2"/>
      <c r="F678" s="3"/>
      <c r="G678" s="2"/>
      <c r="K678" s="4"/>
    </row>
    <row r="679">
      <c r="D679" s="2"/>
      <c r="E679" s="2"/>
      <c r="F679" s="3"/>
      <c r="G679" s="2"/>
      <c r="K679" s="4"/>
    </row>
    <row r="680">
      <c r="D680" s="2"/>
      <c r="E680" s="2"/>
      <c r="F680" s="3"/>
      <c r="G680" s="2"/>
      <c r="K680" s="4"/>
    </row>
    <row r="681">
      <c r="D681" s="2"/>
      <c r="E681" s="2"/>
      <c r="F681" s="3"/>
      <c r="G681" s="2"/>
      <c r="K681" s="4"/>
    </row>
    <row r="682">
      <c r="D682" s="2"/>
      <c r="E682" s="2"/>
      <c r="F682" s="3"/>
      <c r="G682" s="2"/>
      <c r="K682" s="4"/>
    </row>
    <row r="683">
      <c r="D683" s="2"/>
      <c r="E683" s="2"/>
      <c r="F683" s="3"/>
      <c r="G683" s="2"/>
      <c r="K683" s="4"/>
    </row>
    <row r="684">
      <c r="D684" s="2"/>
      <c r="E684" s="2"/>
      <c r="F684" s="3"/>
      <c r="G684" s="2"/>
      <c r="K684" s="4"/>
    </row>
    <row r="685">
      <c r="D685" s="2"/>
      <c r="E685" s="2"/>
      <c r="F685" s="3"/>
      <c r="G685" s="2"/>
      <c r="K685" s="4"/>
    </row>
    <row r="686">
      <c r="D686" s="2"/>
      <c r="E686" s="2"/>
      <c r="F686" s="3"/>
      <c r="G686" s="2"/>
      <c r="K686" s="4"/>
    </row>
    <row r="687">
      <c r="D687" s="2"/>
      <c r="E687" s="2"/>
      <c r="F687" s="3"/>
      <c r="G687" s="2"/>
      <c r="K687" s="4"/>
    </row>
    <row r="688">
      <c r="D688" s="2"/>
      <c r="E688" s="2"/>
      <c r="F688" s="3"/>
      <c r="G688" s="2"/>
      <c r="K688" s="4"/>
    </row>
    <row r="689">
      <c r="D689" s="2"/>
      <c r="E689" s="2"/>
      <c r="F689" s="3"/>
      <c r="G689" s="2"/>
      <c r="K689" s="4"/>
    </row>
    <row r="690">
      <c r="D690" s="2"/>
      <c r="E690" s="2"/>
      <c r="F690" s="3"/>
      <c r="G690" s="2"/>
      <c r="K690" s="4"/>
    </row>
    <row r="691">
      <c r="D691" s="2"/>
      <c r="E691" s="2"/>
      <c r="F691" s="3"/>
      <c r="G691" s="2"/>
      <c r="K691" s="4"/>
    </row>
    <row r="692">
      <c r="D692" s="2"/>
      <c r="E692" s="2"/>
      <c r="F692" s="3"/>
      <c r="G692" s="2"/>
      <c r="K692" s="4"/>
    </row>
    <row r="693">
      <c r="D693" s="2"/>
      <c r="E693" s="2"/>
      <c r="F693" s="3"/>
      <c r="G693" s="2"/>
      <c r="K693" s="4"/>
    </row>
    <row r="694">
      <c r="D694" s="2"/>
      <c r="E694" s="2"/>
      <c r="F694" s="3"/>
      <c r="G694" s="2"/>
      <c r="K694" s="4"/>
    </row>
    <row r="695">
      <c r="D695" s="2"/>
      <c r="E695" s="2"/>
      <c r="F695" s="3"/>
      <c r="G695" s="2"/>
      <c r="K695" s="4"/>
    </row>
    <row r="696">
      <c r="D696" s="2"/>
      <c r="E696" s="2"/>
      <c r="F696" s="3"/>
      <c r="G696" s="2"/>
      <c r="K696" s="4"/>
    </row>
    <row r="697">
      <c r="D697" s="2"/>
      <c r="E697" s="2"/>
      <c r="F697" s="3"/>
      <c r="G697" s="2"/>
      <c r="K697" s="4"/>
    </row>
    <row r="698">
      <c r="D698" s="2"/>
      <c r="E698" s="2"/>
      <c r="F698" s="3"/>
      <c r="G698" s="2"/>
      <c r="K698" s="4"/>
    </row>
    <row r="699">
      <c r="D699" s="2"/>
      <c r="E699" s="2"/>
      <c r="F699" s="3"/>
      <c r="G699" s="2"/>
      <c r="K699" s="4"/>
    </row>
    <row r="700">
      <c r="D700" s="2"/>
      <c r="E700" s="2"/>
      <c r="F700" s="3"/>
      <c r="G700" s="2"/>
      <c r="K700" s="4"/>
    </row>
    <row r="701">
      <c r="D701" s="2"/>
      <c r="E701" s="2"/>
      <c r="F701" s="3"/>
      <c r="G701" s="2"/>
      <c r="K701" s="4"/>
    </row>
    <row r="702">
      <c r="D702" s="2"/>
      <c r="E702" s="2"/>
      <c r="F702" s="3"/>
      <c r="G702" s="2"/>
      <c r="K702" s="4"/>
    </row>
    <row r="703">
      <c r="D703" s="2"/>
      <c r="E703" s="2"/>
      <c r="F703" s="3"/>
      <c r="G703" s="2"/>
      <c r="K703" s="4"/>
    </row>
    <row r="704">
      <c r="D704" s="2"/>
      <c r="E704" s="2"/>
      <c r="F704" s="3"/>
      <c r="G704" s="2"/>
      <c r="K704" s="4"/>
    </row>
    <row r="705">
      <c r="D705" s="2"/>
      <c r="E705" s="2"/>
      <c r="F705" s="3"/>
      <c r="G705" s="2"/>
      <c r="K705" s="4"/>
    </row>
    <row r="706">
      <c r="D706" s="2"/>
      <c r="E706" s="2"/>
      <c r="F706" s="3"/>
      <c r="G706" s="2"/>
      <c r="K706" s="4"/>
    </row>
    <row r="707">
      <c r="D707" s="2"/>
      <c r="E707" s="2"/>
      <c r="F707" s="3"/>
      <c r="G707" s="2"/>
      <c r="K707" s="4"/>
    </row>
    <row r="708">
      <c r="D708" s="2"/>
      <c r="E708" s="2"/>
      <c r="F708" s="3"/>
      <c r="G708" s="2"/>
      <c r="K708" s="4"/>
    </row>
    <row r="709">
      <c r="D709" s="2"/>
      <c r="E709" s="2"/>
      <c r="F709" s="3"/>
      <c r="G709" s="2"/>
      <c r="K709" s="4"/>
    </row>
    <row r="710">
      <c r="D710" s="2"/>
      <c r="E710" s="2"/>
      <c r="F710" s="3"/>
      <c r="G710" s="2"/>
      <c r="K710" s="4"/>
    </row>
    <row r="711">
      <c r="D711" s="2"/>
      <c r="E711" s="2"/>
      <c r="F711" s="3"/>
      <c r="G711" s="2"/>
      <c r="K711" s="4"/>
    </row>
    <row r="712">
      <c r="D712" s="2"/>
      <c r="E712" s="2"/>
      <c r="F712" s="3"/>
      <c r="G712" s="2"/>
      <c r="K712" s="4"/>
    </row>
    <row r="713">
      <c r="D713" s="2"/>
      <c r="E713" s="2"/>
      <c r="F713" s="3"/>
      <c r="G713" s="2"/>
      <c r="K713" s="4"/>
    </row>
    <row r="714">
      <c r="D714" s="2"/>
      <c r="E714" s="2"/>
      <c r="F714" s="3"/>
      <c r="G714" s="2"/>
      <c r="K714" s="4"/>
    </row>
    <row r="715">
      <c r="D715" s="2"/>
      <c r="E715" s="2"/>
      <c r="F715" s="3"/>
      <c r="G715" s="2"/>
      <c r="K715" s="4"/>
    </row>
    <row r="716">
      <c r="D716" s="2"/>
      <c r="E716" s="2"/>
      <c r="F716" s="3"/>
      <c r="G716" s="2"/>
      <c r="K716" s="4"/>
    </row>
    <row r="717">
      <c r="D717" s="2"/>
      <c r="E717" s="2"/>
      <c r="F717" s="3"/>
      <c r="G717" s="2"/>
      <c r="K717" s="4"/>
    </row>
    <row r="718">
      <c r="D718" s="2"/>
      <c r="E718" s="2"/>
      <c r="F718" s="3"/>
      <c r="G718" s="2"/>
      <c r="K718" s="4"/>
    </row>
    <row r="719">
      <c r="D719" s="2"/>
      <c r="E719" s="2"/>
      <c r="F719" s="3"/>
      <c r="G719" s="2"/>
      <c r="K719" s="4"/>
    </row>
    <row r="720">
      <c r="D720" s="2"/>
      <c r="E720" s="2"/>
      <c r="F720" s="3"/>
      <c r="G720" s="2"/>
      <c r="K720" s="4"/>
    </row>
    <row r="721">
      <c r="D721" s="2"/>
      <c r="E721" s="2"/>
      <c r="F721" s="3"/>
      <c r="G721" s="2"/>
      <c r="K721" s="4"/>
    </row>
    <row r="722">
      <c r="D722" s="2"/>
      <c r="E722" s="2"/>
      <c r="F722" s="3"/>
      <c r="G722" s="2"/>
      <c r="K722" s="4"/>
    </row>
    <row r="723">
      <c r="D723" s="2"/>
      <c r="E723" s="2"/>
      <c r="F723" s="3"/>
      <c r="G723" s="2"/>
      <c r="K723" s="4"/>
    </row>
    <row r="724">
      <c r="D724" s="2"/>
      <c r="E724" s="2"/>
      <c r="F724" s="3"/>
      <c r="G724" s="2"/>
      <c r="K724" s="4"/>
    </row>
    <row r="725">
      <c r="D725" s="2"/>
      <c r="E725" s="2"/>
      <c r="F725" s="3"/>
      <c r="G725" s="2"/>
      <c r="K725" s="4"/>
    </row>
    <row r="726">
      <c r="D726" s="2"/>
      <c r="E726" s="2"/>
      <c r="F726" s="3"/>
      <c r="G726" s="2"/>
      <c r="K726" s="4"/>
    </row>
    <row r="727">
      <c r="D727" s="2"/>
      <c r="E727" s="2"/>
      <c r="F727" s="3"/>
      <c r="G727" s="2"/>
      <c r="K727" s="4"/>
    </row>
    <row r="728">
      <c r="D728" s="2"/>
      <c r="E728" s="2"/>
      <c r="F728" s="3"/>
      <c r="G728" s="2"/>
      <c r="K728" s="4"/>
    </row>
    <row r="729">
      <c r="D729" s="2"/>
      <c r="E729" s="2"/>
      <c r="F729" s="3"/>
      <c r="G729" s="2"/>
      <c r="K729" s="4"/>
    </row>
    <row r="730">
      <c r="D730" s="2"/>
      <c r="E730" s="2"/>
      <c r="F730" s="3"/>
      <c r="G730" s="2"/>
      <c r="K730" s="4"/>
    </row>
    <row r="731">
      <c r="D731" s="2"/>
      <c r="E731" s="2"/>
      <c r="F731" s="3"/>
      <c r="G731" s="2"/>
      <c r="K731" s="4"/>
    </row>
    <row r="732">
      <c r="D732" s="2"/>
      <c r="E732" s="2"/>
      <c r="F732" s="3"/>
      <c r="G732" s="2"/>
      <c r="K732" s="4"/>
    </row>
    <row r="733">
      <c r="D733" s="2"/>
      <c r="E733" s="2"/>
      <c r="F733" s="3"/>
      <c r="G733" s="2"/>
      <c r="K733" s="4"/>
    </row>
    <row r="734">
      <c r="D734" s="2"/>
      <c r="E734" s="2"/>
      <c r="F734" s="3"/>
      <c r="G734" s="2"/>
      <c r="K734" s="4"/>
    </row>
    <row r="735">
      <c r="D735" s="2"/>
      <c r="E735" s="2"/>
      <c r="F735" s="3"/>
      <c r="G735" s="2"/>
      <c r="K735" s="4"/>
    </row>
    <row r="736">
      <c r="D736" s="2"/>
      <c r="E736" s="2"/>
      <c r="F736" s="3"/>
      <c r="G736" s="2"/>
      <c r="K736" s="4"/>
    </row>
    <row r="737">
      <c r="D737" s="2"/>
      <c r="E737" s="2"/>
      <c r="F737" s="3"/>
      <c r="G737" s="2"/>
      <c r="K737" s="4"/>
    </row>
    <row r="738">
      <c r="D738" s="2"/>
      <c r="E738" s="2"/>
      <c r="F738" s="3"/>
      <c r="G738" s="2"/>
      <c r="K738" s="4"/>
    </row>
    <row r="739">
      <c r="D739" s="2"/>
      <c r="E739" s="2"/>
      <c r="F739" s="3"/>
      <c r="G739" s="2"/>
      <c r="K739" s="4"/>
    </row>
    <row r="740">
      <c r="D740" s="2"/>
      <c r="E740" s="2"/>
      <c r="F740" s="3"/>
      <c r="G740" s="2"/>
      <c r="K740" s="4"/>
    </row>
    <row r="741">
      <c r="D741" s="2"/>
      <c r="E741" s="2"/>
      <c r="F741" s="3"/>
      <c r="G741" s="2"/>
      <c r="K741" s="4"/>
    </row>
    <row r="742">
      <c r="D742" s="2"/>
      <c r="E742" s="2"/>
      <c r="F742" s="3"/>
      <c r="G742" s="2"/>
      <c r="K742" s="4"/>
    </row>
    <row r="743">
      <c r="D743" s="2"/>
      <c r="E743" s="2"/>
      <c r="F743" s="3"/>
      <c r="G743" s="2"/>
      <c r="K743" s="4"/>
    </row>
    <row r="744">
      <c r="D744" s="2"/>
      <c r="E744" s="2"/>
      <c r="F744" s="3"/>
      <c r="G744" s="2"/>
      <c r="K744" s="4"/>
    </row>
    <row r="745">
      <c r="D745" s="2"/>
      <c r="E745" s="2"/>
      <c r="F745" s="3"/>
      <c r="G745" s="2"/>
      <c r="K745" s="4"/>
    </row>
    <row r="746">
      <c r="D746" s="2"/>
      <c r="E746" s="2"/>
      <c r="F746" s="3"/>
      <c r="G746" s="2"/>
      <c r="K746" s="4"/>
    </row>
    <row r="747">
      <c r="D747" s="2"/>
      <c r="E747" s="2"/>
      <c r="F747" s="3"/>
      <c r="G747" s="2"/>
      <c r="K747" s="4"/>
    </row>
    <row r="748">
      <c r="D748" s="2"/>
      <c r="E748" s="2"/>
      <c r="F748" s="3"/>
      <c r="G748" s="2"/>
      <c r="K748" s="4"/>
    </row>
    <row r="749">
      <c r="D749" s="2"/>
      <c r="E749" s="2"/>
      <c r="F749" s="3"/>
      <c r="G749" s="2"/>
      <c r="K749" s="4"/>
    </row>
    <row r="750">
      <c r="D750" s="2"/>
      <c r="E750" s="2"/>
      <c r="F750" s="3"/>
      <c r="G750" s="2"/>
      <c r="K750" s="4"/>
    </row>
    <row r="751">
      <c r="D751" s="2"/>
      <c r="E751" s="2"/>
      <c r="F751" s="3"/>
      <c r="G751" s="2"/>
      <c r="K751" s="4"/>
    </row>
    <row r="752">
      <c r="D752" s="2"/>
      <c r="E752" s="2"/>
      <c r="F752" s="3"/>
      <c r="G752" s="2"/>
      <c r="K752" s="4"/>
    </row>
    <row r="753">
      <c r="D753" s="2"/>
      <c r="E753" s="2"/>
      <c r="F753" s="3"/>
      <c r="G753" s="2"/>
      <c r="K753" s="4"/>
    </row>
    <row r="754">
      <c r="D754" s="2"/>
      <c r="E754" s="2"/>
      <c r="F754" s="3"/>
      <c r="G754" s="2"/>
      <c r="K754" s="4"/>
    </row>
    <row r="755">
      <c r="D755" s="2"/>
      <c r="E755" s="2"/>
      <c r="F755" s="3"/>
      <c r="G755" s="2"/>
      <c r="K755" s="4"/>
    </row>
    <row r="756">
      <c r="D756" s="2"/>
      <c r="E756" s="2"/>
      <c r="F756" s="3"/>
      <c r="G756" s="2"/>
      <c r="K756" s="4"/>
    </row>
    <row r="757">
      <c r="D757" s="2"/>
      <c r="E757" s="2"/>
      <c r="F757" s="3"/>
      <c r="G757" s="2"/>
      <c r="K757" s="4"/>
    </row>
    <row r="758">
      <c r="D758" s="2"/>
      <c r="E758" s="2"/>
      <c r="F758" s="3"/>
      <c r="G758" s="2"/>
      <c r="K758" s="4"/>
    </row>
    <row r="759">
      <c r="D759" s="2"/>
      <c r="E759" s="2"/>
      <c r="F759" s="3"/>
      <c r="G759" s="2"/>
      <c r="K759" s="4"/>
    </row>
    <row r="760">
      <c r="D760" s="2"/>
      <c r="E760" s="2"/>
      <c r="F760" s="3"/>
      <c r="G760" s="2"/>
      <c r="K760" s="4"/>
    </row>
    <row r="761">
      <c r="D761" s="2"/>
      <c r="E761" s="2"/>
      <c r="F761" s="3"/>
      <c r="G761" s="2"/>
      <c r="K761" s="4"/>
    </row>
    <row r="762">
      <c r="D762" s="2"/>
      <c r="E762" s="2"/>
      <c r="F762" s="3"/>
      <c r="G762" s="2"/>
      <c r="K762" s="4"/>
    </row>
    <row r="763">
      <c r="D763" s="2"/>
      <c r="E763" s="2"/>
      <c r="F763" s="3"/>
      <c r="G763" s="2"/>
      <c r="K763" s="4"/>
    </row>
    <row r="764">
      <c r="D764" s="2"/>
      <c r="E764" s="2"/>
      <c r="F764" s="3"/>
      <c r="G764" s="2"/>
      <c r="K764" s="4"/>
    </row>
    <row r="765">
      <c r="D765" s="2"/>
      <c r="E765" s="2"/>
      <c r="F765" s="3"/>
      <c r="G765" s="2"/>
      <c r="K765" s="4"/>
    </row>
    <row r="766">
      <c r="D766" s="2"/>
      <c r="E766" s="2"/>
      <c r="F766" s="3"/>
      <c r="G766" s="2"/>
      <c r="K766" s="4"/>
    </row>
    <row r="767">
      <c r="D767" s="2"/>
      <c r="E767" s="2"/>
      <c r="F767" s="3"/>
      <c r="G767" s="2"/>
      <c r="K767" s="4"/>
    </row>
    <row r="768">
      <c r="D768" s="2"/>
      <c r="E768" s="2"/>
      <c r="F768" s="3"/>
      <c r="G768" s="2"/>
      <c r="K768" s="4"/>
    </row>
    <row r="769">
      <c r="D769" s="2"/>
      <c r="E769" s="2"/>
      <c r="F769" s="3"/>
      <c r="G769" s="2"/>
      <c r="K769" s="4"/>
    </row>
    <row r="770">
      <c r="D770" s="2"/>
      <c r="E770" s="2"/>
      <c r="F770" s="3"/>
      <c r="G770" s="2"/>
      <c r="K770" s="4"/>
    </row>
    <row r="771">
      <c r="D771" s="2"/>
      <c r="E771" s="2"/>
      <c r="F771" s="3"/>
      <c r="G771" s="2"/>
      <c r="K771" s="4"/>
    </row>
    <row r="772">
      <c r="D772" s="2"/>
      <c r="E772" s="2"/>
      <c r="F772" s="3"/>
      <c r="G772" s="2"/>
      <c r="K772" s="4"/>
    </row>
    <row r="773">
      <c r="D773" s="2"/>
      <c r="E773" s="2"/>
      <c r="F773" s="3"/>
      <c r="G773" s="2"/>
      <c r="K773" s="4"/>
    </row>
    <row r="774">
      <c r="D774" s="2"/>
      <c r="E774" s="2"/>
      <c r="F774" s="3"/>
      <c r="G774" s="2"/>
      <c r="K774" s="4"/>
    </row>
    <row r="775">
      <c r="D775" s="2"/>
      <c r="E775" s="2"/>
      <c r="F775" s="3"/>
      <c r="G775" s="2"/>
      <c r="K775" s="4"/>
    </row>
    <row r="776">
      <c r="D776" s="2"/>
      <c r="E776" s="2"/>
      <c r="F776" s="3"/>
      <c r="G776" s="2"/>
      <c r="K776" s="4"/>
    </row>
    <row r="777">
      <c r="D777" s="2"/>
      <c r="E777" s="2"/>
      <c r="F777" s="3"/>
      <c r="G777" s="2"/>
      <c r="K777" s="4"/>
    </row>
    <row r="778">
      <c r="D778" s="2"/>
      <c r="E778" s="2"/>
      <c r="F778" s="3"/>
      <c r="G778" s="2"/>
      <c r="K778" s="4"/>
    </row>
    <row r="779">
      <c r="D779" s="2"/>
      <c r="E779" s="2"/>
      <c r="F779" s="3"/>
      <c r="G779" s="2"/>
      <c r="K779" s="4"/>
    </row>
    <row r="780">
      <c r="D780" s="2"/>
      <c r="E780" s="2"/>
      <c r="F780" s="3"/>
      <c r="G780" s="2"/>
      <c r="K780" s="4"/>
    </row>
    <row r="781">
      <c r="D781" s="2"/>
      <c r="E781" s="2"/>
      <c r="F781" s="3"/>
      <c r="G781" s="2"/>
      <c r="K781" s="4"/>
    </row>
    <row r="782">
      <c r="D782" s="2"/>
      <c r="E782" s="2"/>
      <c r="F782" s="3"/>
      <c r="G782" s="2"/>
      <c r="K782" s="4"/>
    </row>
    <row r="783">
      <c r="D783" s="2"/>
      <c r="E783" s="2"/>
      <c r="F783" s="3"/>
      <c r="G783" s="2"/>
      <c r="K783" s="4"/>
    </row>
    <row r="784">
      <c r="D784" s="2"/>
      <c r="E784" s="2"/>
      <c r="F784" s="3"/>
      <c r="G784" s="2"/>
      <c r="K784" s="4"/>
    </row>
    <row r="785">
      <c r="D785" s="2"/>
      <c r="E785" s="2"/>
      <c r="F785" s="3"/>
      <c r="G785" s="2"/>
      <c r="K785" s="4"/>
    </row>
    <row r="786">
      <c r="D786" s="2"/>
      <c r="E786" s="2"/>
      <c r="F786" s="3"/>
      <c r="G786" s="2"/>
      <c r="K786" s="4"/>
    </row>
    <row r="787">
      <c r="D787" s="2"/>
      <c r="E787" s="2"/>
      <c r="F787" s="3"/>
      <c r="G787" s="2"/>
      <c r="K787" s="4"/>
    </row>
    <row r="788">
      <c r="D788" s="2"/>
      <c r="E788" s="2"/>
      <c r="F788" s="3"/>
      <c r="G788" s="2"/>
      <c r="K788" s="4"/>
    </row>
    <row r="789">
      <c r="D789" s="2"/>
      <c r="E789" s="2"/>
      <c r="F789" s="3"/>
      <c r="G789" s="2"/>
      <c r="K789" s="4"/>
    </row>
    <row r="790">
      <c r="D790" s="2"/>
      <c r="E790" s="2"/>
      <c r="F790" s="3"/>
      <c r="G790" s="2"/>
      <c r="K790" s="4"/>
    </row>
    <row r="791">
      <c r="D791" s="2"/>
      <c r="E791" s="2"/>
      <c r="F791" s="3"/>
      <c r="G791" s="2"/>
      <c r="K791" s="4"/>
    </row>
    <row r="792">
      <c r="D792" s="2"/>
      <c r="E792" s="2"/>
      <c r="F792" s="3"/>
      <c r="G792" s="2"/>
      <c r="K792" s="4"/>
    </row>
    <row r="793">
      <c r="D793" s="2"/>
      <c r="E793" s="2"/>
      <c r="F793" s="3"/>
      <c r="G793" s="2"/>
      <c r="K793" s="4"/>
    </row>
    <row r="794">
      <c r="D794" s="2"/>
      <c r="E794" s="2"/>
      <c r="F794" s="3"/>
      <c r="G794" s="2"/>
      <c r="K794" s="4"/>
    </row>
    <row r="795">
      <c r="D795" s="2"/>
      <c r="E795" s="2"/>
      <c r="F795" s="3"/>
      <c r="G795" s="2"/>
      <c r="K795" s="4"/>
    </row>
    <row r="796">
      <c r="D796" s="2"/>
      <c r="E796" s="2"/>
      <c r="F796" s="3"/>
      <c r="G796" s="2"/>
      <c r="K796" s="4"/>
    </row>
    <row r="797">
      <c r="D797" s="2"/>
      <c r="E797" s="2"/>
      <c r="F797" s="3"/>
      <c r="G797" s="2"/>
      <c r="K797" s="4"/>
    </row>
    <row r="798">
      <c r="D798" s="2"/>
      <c r="E798" s="2"/>
      <c r="F798" s="3"/>
      <c r="G798" s="2"/>
      <c r="K798" s="4"/>
    </row>
    <row r="799">
      <c r="D799" s="2"/>
      <c r="E799" s="2"/>
      <c r="F799" s="3"/>
      <c r="G799" s="2"/>
      <c r="K799" s="4"/>
    </row>
    <row r="800">
      <c r="D800" s="2"/>
      <c r="E800" s="2"/>
      <c r="F800" s="3"/>
      <c r="G800" s="2"/>
      <c r="K800" s="4"/>
    </row>
    <row r="801">
      <c r="D801" s="2"/>
      <c r="E801" s="2"/>
      <c r="F801" s="3"/>
      <c r="G801" s="2"/>
      <c r="K801" s="4"/>
    </row>
    <row r="802">
      <c r="D802" s="2"/>
      <c r="E802" s="2"/>
      <c r="F802" s="3"/>
      <c r="G802" s="2"/>
      <c r="K802" s="4"/>
    </row>
    <row r="803">
      <c r="D803" s="2"/>
      <c r="E803" s="2"/>
      <c r="F803" s="3"/>
      <c r="G803" s="2"/>
      <c r="K803" s="4"/>
    </row>
    <row r="804">
      <c r="D804" s="2"/>
      <c r="E804" s="2"/>
      <c r="F804" s="3"/>
      <c r="G804" s="2"/>
      <c r="K804" s="4"/>
    </row>
    <row r="805">
      <c r="D805" s="2"/>
      <c r="E805" s="2"/>
      <c r="F805" s="3"/>
      <c r="G805" s="2"/>
      <c r="K805" s="4"/>
    </row>
    <row r="806">
      <c r="D806" s="2"/>
      <c r="E806" s="2"/>
      <c r="F806" s="3"/>
      <c r="G806" s="2"/>
      <c r="K806" s="4"/>
    </row>
    <row r="807">
      <c r="D807" s="2"/>
      <c r="E807" s="2"/>
      <c r="F807" s="3"/>
      <c r="G807" s="2"/>
      <c r="K807" s="4"/>
    </row>
    <row r="808">
      <c r="D808" s="2"/>
      <c r="E808" s="2"/>
      <c r="F808" s="3"/>
      <c r="G808" s="2"/>
      <c r="K808" s="4"/>
    </row>
    <row r="809">
      <c r="D809" s="2"/>
      <c r="E809" s="2"/>
      <c r="F809" s="3"/>
      <c r="G809" s="2"/>
      <c r="K809" s="4"/>
    </row>
    <row r="810">
      <c r="D810" s="2"/>
      <c r="E810" s="2"/>
      <c r="F810" s="3"/>
      <c r="G810" s="2"/>
      <c r="K810" s="4"/>
    </row>
    <row r="811">
      <c r="D811" s="2"/>
      <c r="E811" s="2"/>
      <c r="F811" s="3"/>
      <c r="G811" s="2"/>
      <c r="K811" s="4"/>
    </row>
    <row r="812">
      <c r="D812" s="2"/>
      <c r="E812" s="2"/>
      <c r="F812" s="3"/>
      <c r="G812" s="2"/>
      <c r="K812" s="4"/>
    </row>
    <row r="813">
      <c r="D813" s="2"/>
      <c r="E813" s="2"/>
      <c r="F813" s="3"/>
      <c r="G813" s="2"/>
      <c r="K813" s="4"/>
    </row>
    <row r="814">
      <c r="D814" s="2"/>
      <c r="E814" s="2"/>
      <c r="F814" s="3"/>
      <c r="G814" s="2"/>
      <c r="K814" s="4"/>
    </row>
    <row r="815">
      <c r="D815" s="2"/>
      <c r="E815" s="2"/>
      <c r="F815" s="3"/>
      <c r="G815" s="2"/>
      <c r="K815" s="4"/>
    </row>
    <row r="816">
      <c r="D816" s="2"/>
      <c r="E816" s="2"/>
      <c r="F816" s="3"/>
      <c r="G816" s="2"/>
      <c r="K816" s="4"/>
    </row>
    <row r="817">
      <c r="D817" s="2"/>
      <c r="E817" s="2"/>
      <c r="F817" s="3"/>
      <c r="G817" s="2"/>
      <c r="K817" s="4"/>
    </row>
    <row r="818">
      <c r="D818" s="2"/>
      <c r="E818" s="2"/>
      <c r="F818" s="3"/>
      <c r="G818" s="2"/>
      <c r="K818" s="4"/>
    </row>
    <row r="819">
      <c r="D819" s="2"/>
      <c r="E819" s="2"/>
      <c r="F819" s="3"/>
      <c r="G819" s="2"/>
      <c r="K819" s="4"/>
    </row>
    <row r="820">
      <c r="D820" s="2"/>
      <c r="E820" s="2"/>
      <c r="F820" s="3"/>
      <c r="G820" s="2"/>
      <c r="K820" s="4"/>
    </row>
    <row r="821">
      <c r="D821" s="2"/>
      <c r="E821" s="2"/>
      <c r="F821" s="3"/>
      <c r="G821" s="2"/>
      <c r="K821" s="4"/>
    </row>
    <row r="822">
      <c r="D822" s="2"/>
      <c r="E822" s="2"/>
      <c r="F822" s="3"/>
      <c r="G822" s="2"/>
      <c r="K822" s="4"/>
    </row>
    <row r="823">
      <c r="D823" s="2"/>
      <c r="E823" s="2"/>
      <c r="F823" s="3"/>
      <c r="G823" s="2"/>
      <c r="K823" s="4"/>
    </row>
    <row r="824">
      <c r="D824" s="2"/>
      <c r="E824" s="2"/>
      <c r="F824" s="3"/>
      <c r="G824" s="2"/>
      <c r="K824" s="4"/>
    </row>
    <row r="825">
      <c r="D825" s="2"/>
      <c r="E825" s="2"/>
      <c r="F825" s="3"/>
      <c r="G825" s="2"/>
      <c r="K825" s="4"/>
    </row>
    <row r="826">
      <c r="D826" s="2"/>
      <c r="E826" s="2"/>
      <c r="F826" s="3"/>
      <c r="G826" s="2"/>
      <c r="K826" s="4"/>
    </row>
    <row r="827">
      <c r="D827" s="2"/>
      <c r="E827" s="2"/>
      <c r="F827" s="3"/>
      <c r="G827" s="2"/>
      <c r="K827" s="4"/>
    </row>
    <row r="828">
      <c r="D828" s="2"/>
      <c r="E828" s="2"/>
      <c r="F828" s="3"/>
      <c r="G828" s="2"/>
      <c r="K828" s="4"/>
    </row>
    <row r="829">
      <c r="D829" s="2"/>
      <c r="E829" s="2"/>
      <c r="F829" s="3"/>
      <c r="G829" s="2"/>
      <c r="K829" s="4"/>
    </row>
    <row r="830">
      <c r="D830" s="2"/>
      <c r="E830" s="2"/>
      <c r="F830" s="3"/>
      <c r="G830" s="2"/>
      <c r="K830" s="4"/>
    </row>
    <row r="831">
      <c r="D831" s="2"/>
      <c r="E831" s="2"/>
      <c r="F831" s="3"/>
      <c r="G831" s="2"/>
      <c r="K831" s="4"/>
    </row>
    <row r="832">
      <c r="D832" s="2"/>
      <c r="E832" s="2"/>
      <c r="F832" s="3"/>
      <c r="G832" s="2"/>
      <c r="K832" s="4"/>
    </row>
    <row r="833">
      <c r="D833" s="2"/>
      <c r="E833" s="2"/>
      <c r="F833" s="3"/>
      <c r="G833" s="2"/>
      <c r="K833" s="4"/>
    </row>
    <row r="834">
      <c r="D834" s="2"/>
      <c r="E834" s="2"/>
      <c r="F834" s="3"/>
      <c r="G834" s="2"/>
      <c r="K834" s="4"/>
    </row>
    <row r="835">
      <c r="D835" s="2"/>
      <c r="E835" s="2"/>
      <c r="F835" s="3"/>
      <c r="G835" s="2"/>
      <c r="K835" s="4"/>
    </row>
    <row r="836">
      <c r="D836" s="2"/>
      <c r="E836" s="2"/>
      <c r="F836" s="3"/>
      <c r="G836" s="2"/>
      <c r="K836" s="4"/>
    </row>
    <row r="837">
      <c r="D837" s="2"/>
      <c r="E837" s="2"/>
      <c r="F837" s="3"/>
      <c r="G837" s="2"/>
      <c r="K837" s="4"/>
    </row>
    <row r="838">
      <c r="D838" s="2"/>
      <c r="E838" s="2"/>
      <c r="F838" s="3"/>
      <c r="G838" s="2"/>
      <c r="K838" s="4"/>
    </row>
    <row r="839">
      <c r="D839" s="2"/>
      <c r="E839" s="2"/>
      <c r="F839" s="3"/>
      <c r="G839" s="2"/>
      <c r="K839" s="4"/>
    </row>
    <row r="840">
      <c r="D840" s="2"/>
      <c r="E840" s="2"/>
      <c r="F840" s="3"/>
      <c r="G840" s="2"/>
      <c r="K840" s="4"/>
    </row>
    <row r="841">
      <c r="D841" s="2"/>
      <c r="E841" s="2"/>
      <c r="F841" s="3"/>
      <c r="G841" s="2"/>
      <c r="K841" s="4"/>
    </row>
    <row r="842">
      <c r="D842" s="2"/>
      <c r="E842" s="2"/>
      <c r="F842" s="3"/>
      <c r="G842" s="2"/>
      <c r="K842" s="4"/>
    </row>
    <row r="843">
      <c r="D843" s="2"/>
      <c r="E843" s="2"/>
      <c r="F843" s="3"/>
      <c r="G843" s="2"/>
      <c r="K843" s="4"/>
    </row>
    <row r="844">
      <c r="D844" s="2"/>
      <c r="E844" s="2"/>
      <c r="F844" s="3"/>
      <c r="G844" s="2"/>
      <c r="K844" s="4"/>
    </row>
    <row r="845">
      <c r="D845" s="2"/>
      <c r="E845" s="2"/>
      <c r="F845" s="3"/>
      <c r="G845" s="2"/>
      <c r="K845" s="4"/>
    </row>
    <row r="846">
      <c r="D846" s="2"/>
      <c r="E846" s="2"/>
      <c r="F846" s="3"/>
      <c r="G846" s="2"/>
      <c r="K846" s="4"/>
    </row>
    <row r="847">
      <c r="D847" s="2"/>
      <c r="E847" s="2"/>
      <c r="F847" s="3"/>
      <c r="G847" s="2"/>
      <c r="K847" s="4"/>
    </row>
    <row r="848">
      <c r="D848" s="2"/>
      <c r="E848" s="2"/>
      <c r="F848" s="3"/>
      <c r="G848" s="2"/>
      <c r="K848" s="4"/>
    </row>
    <row r="849">
      <c r="D849" s="2"/>
      <c r="E849" s="2"/>
      <c r="F849" s="3"/>
      <c r="G849" s="2"/>
      <c r="K849" s="4"/>
    </row>
    <row r="850">
      <c r="D850" s="2"/>
      <c r="E850" s="2"/>
      <c r="F850" s="3"/>
      <c r="G850" s="2"/>
      <c r="K850" s="4"/>
    </row>
    <row r="851">
      <c r="D851" s="2"/>
      <c r="E851" s="2"/>
      <c r="F851" s="3"/>
      <c r="G851" s="2"/>
      <c r="K851" s="4"/>
    </row>
    <row r="852">
      <c r="D852" s="2"/>
      <c r="E852" s="2"/>
      <c r="F852" s="3"/>
      <c r="G852" s="2"/>
      <c r="K852" s="4"/>
    </row>
    <row r="853">
      <c r="D853" s="2"/>
      <c r="E853" s="2"/>
      <c r="F853" s="3"/>
      <c r="G853" s="2"/>
      <c r="K853" s="4"/>
    </row>
    <row r="854">
      <c r="D854" s="2"/>
      <c r="E854" s="2"/>
      <c r="F854" s="3"/>
      <c r="G854" s="2"/>
      <c r="K854" s="4"/>
    </row>
    <row r="855">
      <c r="D855" s="2"/>
      <c r="E855" s="2"/>
      <c r="F855" s="3"/>
      <c r="G855" s="2"/>
      <c r="K855" s="4"/>
    </row>
    <row r="856">
      <c r="D856" s="2"/>
      <c r="E856" s="2"/>
      <c r="F856" s="3"/>
      <c r="G856" s="2"/>
      <c r="K856" s="4"/>
    </row>
    <row r="857">
      <c r="D857" s="2"/>
      <c r="E857" s="2"/>
      <c r="F857" s="3"/>
      <c r="G857" s="2"/>
      <c r="K857" s="4"/>
    </row>
    <row r="858">
      <c r="D858" s="2"/>
      <c r="E858" s="2"/>
      <c r="F858" s="3"/>
      <c r="G858" s="2"/>
      <c r="K858" s="4"/>
    </row>
    <row r="859">
      <c r="D859" s="2"/>
      <c r="E859" s="2"/>
      <c r="F859" s="3"/>
      <c r="G859" s="2"/>
      <c r="K859" s="4"/>
    </row>
    <row r="860">
      <c r="D860" s="2"/>
      <c r="E860" s="2"/>
      <c r="F860" s="3"/>
      <c r="G860" s="2"/>
      <c r="K860" s="4"/>
    </row>
    <row r="861">
      <c r="D861" s="2"/>
      <c r="E861" s="2"/>
      <c r="F861" s="3"/>
      <c r="G861" s="2"/>
      <c r="K861" s="4"/>
    </row>
    <row r="862">
      <c r="D862" s="2"/>
      <c r="E862" s="2"/>
      <c r="F862" s="3"/>
      <c r="G862" s="2"/>
      <c r="K862" s="4"/>
    </row>
    <row r="863">
      <c r="D863" s="2"/>
      <c r="E863" s="2"/>
      <c r="F863" s="3"/>
      <c r="G863" s="2"/>
      <c r="K863" s="4"/>
    </row>
    <row r="864">
      <c r="D864" s="2"/>
      <c r="E864" s="2"/>
      <c r="F864" s="3"/>
      <c r="G864" s="2"/>
      <c r="K864" s="4"/>
    </row>
    <row r="865">
      <c r="D865" s="2"/>
      <c r="E865" s="2"/>
      <c r="F865" s="3"/>
      <c r="G865" s="2"/>
      <c r="K865" s="4"/>
    </row>
    <row r="866">
      <c r="D866" s="2"/>
      <c r="E866" s="2"/>
      <c r="F866" s="3"/>
      <c r="G866" s="2"/>
      <c r="K866" s="4"/>
    </row>
    <row r="867">
      <c r="D867" s="2"/>
      <c r="E867" s="2"/>
      <c r="F867" s="3"/>
      <c r="G867" s="2"/>
      <c r="K867" s="4"/>
    </row>
    <row r="868">
      <c r="D868" s="2"/>
      <c r="E868" s="2"/>
      <c r="F868" s="3"/>
      <c r="G868" s="2"/>
      <c r="K868" s="4"/>
    </row>
    <row r="869">
      <c r="D869" s="2"/>
      <c r="E869" s="2"/>
      <c r="F869" s="3"/>
      <c r="G869" s="2"/>
      <c r="K869" s="4"/>
    </row>
    <row r="870">
      <c r="D870" s="2"/>
      <c r="E870" s="2"/>
      <c r="F870" s="3"/>
      <c r="G870" s="2"/>
      <c r="K870" s="4"/>
    </row>
    <row r="871">
      <c r="D871" s="2"/>
      <c r="E871" s="2"/>
      <c r="F871" s="3"/>
      <c r="G871" s="2"/>
      <c r="K871" s="4"/>
    </row>
    <row r="872">
      <c r="D872" s="2"/>
      <c r="E872" s="2"/>
      <c r="F872" s="3"/>
      <c r="G872" s="2"/>
      <c r="K872" s="4"/>
    </row>
    <row r="873">
      <c r="D873" s="2"/>
      <c r="E873" s="2"/>
      <c r="F873" s="3"/>
      <c r="G873" s="2"/>
      <c r="K873" s="4"/>
    </row>
    <row r="874">
      <c r="D874" s="2"/>
      <c r="E874" s="2"/>
      <c r="F874" s="3"/>
      <c r="G874" s="2"/>
      <c r="K874" s="4"/>
    </row>
    <row r="875">
      <c r="D875" s="2"/>
      <c r="E875" s="2"/>
      <c r="F875" s="3"/>
      <c r="G875" s="2"/>
      <c r="K875" s="4"/>
    </row>
    <row r="876">
      <c r="D876" s="2"/>
      <c r="E876" s="2"/>
      <c r="F876" s="3"/>
      <c r="G876" s="2"/>
      <c r="K876" s="4"/>
    </row>
    <row r="877">
      <c r="D877" s="2"/>
      <c r="E877" s="2"/>
      <c r="F877" s="3"/>
      <c r="G877" s="2"/>
      <c r="K877" s="4"/>
    </row>
    <row r="878">
      <c r="D878" s="2"/>
      <c r="E878" s="2"/>
      <c r="F878" s="3"/>
      <c r="G878" s="2"/>
      <c r="K878" s="4"/>
    </row>
    <row r="879">
      <c r="D879" s="2"/>
      <c r="E879" s="2"/>
      <c r="F879" s="3"/>
      <c r="G879" s="2"/>
      <c r="K879" s="4"/>
    </row>
    <row r="880">
      <c r="D880" s="2"/>
      <c r="E880" s="2"/>
      <c r="F880" s="3"/>
      <c r="G880" s="2"/>
      <c r="K880" s="4"/>
    </row>
    <row r="881">
      <c r="D881" s="2"/>
      <c r="E881" s="2"/>
      <c r="F881" s="3"/>
      <c r="G881" s="2"/>
      <c r="K881" s="4"/>
    </row>
    <row r="882">
      <c r="D882" s="2"/>
      <c r="E882" s="2"/>
      <c r="F882" s="3"/>
      <c r="G882" s="2"/>
      <c r="K882" s="4"/>
    </row>
    <row r="883">
      <c r="D883" s="2"/>
      <c r="E883" s="2"/>
      <c r="F883" s="3"/>
      <c r="G883" s="2"/>
      <c r="K883" s="4"/>
    </row>
    <row r="884">
      <c r="D884" s="2"/>
      <c r="E884" s="2"/>
      <c r="F884" s="3"/>
      <c r="G884" s="2"/>
      <c r="K884" s="4"/>
    </row>
    <row r="885">
      <c r="D885" s="2"/>
      <c r="E885" s="2"/>
      <c r="F885" s="3"/>
      <c r="G885" s="2"/>
      <c r="K885" s="4"/>
    </row>
    <row r="886">
      <c r="D886" s="2"/>
      <c r="E886" s="2"/>
      <c r="F886" s="3"/>
      <c r="G886" s="2"/>
      <c r="K886" s="4"/>
    </row>
    <row r="887">
      <c r="D887" s="2"/>
      <c r="E887" s="2"/>
      <c r="F887" s="3"/>
      <c r="G887" s="2"/>
      <c r="K887" s="4"/>
    </row>
    <row r="888">
      <c r="D888" s="2"/>
      <c r="E888" s="2"/>
      <c r="F888" s="3"/>
      <c r="G888" s="2"/>
      <c r="K888" s="4"/>
    </row>
    <row r="889">
      <c r="D889" s="2"/>
      <c r="E889" s="2"/>
      <c r="F889" s="3"/>
      <c r="G889" s="2"/>
      <c r="K889" s="4"/>
    </row>
    <row r="890">
      <c r="D890" s="2"/>
      <c r="E890" s="2"/>
      <c r="F890" s="3"/>
      <c r="G890" s="2"/>
      <c r="K890" s="4"/>
    </row>
    <row r="891">
      <c r="D891" s="2"/>
      <c r="E891" s="2"/>
      <c r="F891" s="3"/>
      <c r="G891" s="2"/>
      <c r="K891" s="4"/>
    </row>
    <row r="892">
      <c r="D892" s="2"/>
      <c r="E892" s="2"/>
      <c r="F892" s="3"/>
      <c r="G892" s="2"/>
      <c r="K892" s="4"/>
    </row>
    <row r="893">
      <c r="D893" s="2"/>
      <c r="E893" s="2"/>
      <c r="F893" s="3"/>
      <c r="G893" s="2"/>
      <c r="K893" s="4"/>
    </row>
    <row r="894">
      <c r="D894" s="2"/>
      <c r="E894" s="2"/>
      <c r="F894" s="3"/>
      <c r="G894" s="2"/>
      <c r="K894" s="4"/>
    </row>
    <row r="895">
      <c r="D895" s="2"/>
      <c r="E895" s="2"/>
      <c r="F895" s="3"/>
      <c r="G895" s="2"/>
      <c r="K895" s="4"/>
    </row>
    <row r="896">
      <c r="D896" s="2"/>
      <c r="E896" s="2"/>
      <c r="F896" s="3"/>
      <c r="G896" s="2"/>
      <c r="K896" s="4"/>
    </row>
    <row r="897">
      <c r="D897" s="2"/>
      <c r="E897" s="2"/>
      <c r="F897" s="3"/>
      <c r="G897" s="2"/>
      <c r="K897" s="4"/>
    </row>
    <row r="898">
      <c r="D898" s="2"/>
      <c r="E898" s="2"/>
      <c r="F898" s="3"/>
      <c r="G898" s="2"/>
      <c r="K898" s="4"/>
    </row>
    <row r="899">
      <c r="D899" s="2"/>
      <c r="E899" s="2"/>
      <c r="F899" s="3"/>
      <c r="G899" s="2"/>
      <c r="K899" s="4"/>
    </row>
    <row r="900">
      <c r="D900" s="2"/>
      <c r="E900" s="2"/>
      <c r="F900" s="3"/>
      <c r="G900" s="2"/>
      <c r="K900" s="4"/>
    </row>
    <row r="901">
      <c r="D901" s="2"/>
      <c r="E901" s="2"/>
      <c r="F901" s="3"/>
      <c r="G901" s="2"/>
      <c r="K901" s="4"/>
    </row>
    <row r="902">
      <c r="D902" s="2"/>
      <c r="E902" s="2"/>
      <c r="F902" s="3"/>
      <c r="G902" s="2"/>
      <c r="K902" s="4"/>
    </row>
    <row r="903">
      <c r="D903" s="2"/>
      <c r="E903" s="2"/>
      <c r="F903" s="3"/>
      <c r="G903" s="2"/>
      <c r="K903" s="4"/>
    </row>
    <row r="904">
      <c r="D904" s="2"/>
      <c r="E904" s="2"/>
      <c r="F904" s="3"/>
      <c r="G904" s="2"/>
      <c r="K904" s="4"/>
    </row>
    <row r="905">
      <c r="D905" s="2"/>
      <c r="E905" s="2"/>
      <c r="F905" s="3"/>
      <c r="G905" s="2"/>
      <c r="K905" s="4"/>
    </row>
    <row r="906">
      <c r="D906" s="2"/>
      <c r="E906" s="2"/>
      <c r="F906" s="3"/>
      <c r="G906" s="2"/>
      <c r="K906" s="4"/>
    </row>
    <row r="907">
      <c r="D907" s="2"/>
      <c r="E907" s="2"/>
      <c r="F907" s="3"/>
      <c r="G907" s="2"/>
      <c r="K907" s="4"/>
    </row>
    <row r="908">
      <c r="D908" s="2"/>
      <c r="E908" s="2"/>
      <c r="F908" s="3"/>
      <c r="G908" s="2"/>
      <c r="K908" s="4"/>
    </row>
    <row r="909">
      <c r="D909" s="2"/>
      <c r="E909" s="2"/>
      <c r="F909" s="3"/>
      <c r="G909" s="2"/>
      <c r="K909" s="4"/>
    </row>
    <row r="910">
      <c r="D910" s="2"/>
      <c r="E910" s="2"/>
      <c r="F910" s="3"/>
      <c r="G910" s="2"/>
      <c r="K910" s="4"/>
    </row>
    <row r="911">
      <c r="D911" s="2"/>
      <c r="E911" s="2"/>
      <c r="F911" s="3"/>
      <c r="G911" s="2"/>
      <c r="K911" s="4"/>
    </row>
    <row r="912">
      <c r="D912" s="2"/>
      <c r="E912" s="2"/>
      <c r="F912" s="3"/>
      <c r="G912" s="2"/>
      <c r="K912" s="4"/>
    </row>
    <row r="913">
      <c r="D913" s="2"/>
      <c r="E913" s="2"/>
      <c r="F913" s="3"/>
      <c r="G913" s="2"/>
      <c r="K913" s="4"/>
    </row>
    <row r="914">
      <c r="D914" s="2"/>
      <c r="E914" s="2"/>
      <c r="F914" s="3"/>
      <c r="G914" s="2"/>
      <c r="K914" s="4"/>
    </row>
    <row r="915">
      <c r="D915" s="2"/>
      <c r="E915" s="2"/>
      <c r="F915" s="3"/>
      <c r="G915" s="2"/>
      <c r="K915" s="4"/>
    </row>
    <row r="916">
      <c r="D916" s="2"/>
      <c r="E916" s="2"/>
      <c r="F916" s="3"/>
      <c r="G916" s="2"/>
      <c r="K916" s="4"/>
    </row>
    <row r="917">
      <c r="D917" s="2"/>
      <c r="E917" s="2"/>
      <c r="F917" s="3"/>
      <c r="G917" s="2"/>
      <c r="K917" s="4"/>
    </row>
    <row r="918">
      <c r="D918" s="2"/>
      <c r="E918" s="2"/>
      <c r="F918" s="3"/>
      <c r="G918" s="2"/>
      <c r="K918" s="4"/>
    </row>
    <row r="919">
      <c r="D919" s="2"/>
      <c r="E919" s="2"/>
      <c r="F919" s="3"/>
      <c r="G919" s="2"/>
      <c r="K919" s="4"/>
    </row>
    <row r="920">
      <c r="D920" s="2"/>
      <c r="E920" s="2"/>
      <c r="F920" s="3"/>
      <c r="G920" s="2"/>
      <c r="K920" s="4"/>
    </row>
    <row r="921">
      <c r="D921" s="2"/>
      <c r="E921" s="2"/>
      <c r="F921" s="3"/>
      <c r="G921" s="2"/>
      <c r="K921" s="4"/>
    </row>
    <row r="922">
      <c r="D922" s="2"/>
      <c r="E922" s="2"/>
      <c r="F922" s="3"/>
      <c r="G922" s="2"/>
      <c r="K922" s="4"/>
    </row>
    <row r="923">
      <c r="D923" s="2"/>
      <c r="E923" s="2"/>
      <c r="F923" s="3"/>
      <c r="G923" s="2"/>
      <c r="K923" s="4"/>
    </row>
    <row r="924">
      <c r="D924" s="2"/>
      <c r="E924" s="2"/>
      <c r="F924" s="3"/>
      <c r="G924" s="2"/>
      <c r="K924" s="4"/>
    </row>
    <row r="925">
      <c r="D925" s="2"/>
      <c r="E925" s="2"/>
      <c r="F925" s="3"/>
      <c r="G925" s="2"/>
      <c r="K925" s="4"/>
    </row>
    <row r="926">
      <c r="D926" s="2"/>
      <c r="E926" s="2"/>
      <c r="F926" s="3"/>
      <c r="G926" s="2"/>
      <c r="K926" s="4"/>
    </row>
    <row r="927">
      <c r="D927" s="2"/>
      <c r="E927" s="2"/>
      <c r="F927" s="3"/>
      <c r="G927" s="2"/>
      <c r="K927" s="4"/>
    </row>
    <row r="928">
      <c r="D928" s="2"/>
      <c r="E928" s="2"/>
      <c r="F928" s="3"/>
      <c r="G928" s="2"/>
      <c r="K928" s="4"/>
    </row>
    <row r="929">
      <c r="D929" s="2"/>
      <c r="E929" s="2"/>
      <c r="F929" s="3"/>
      <c r="G929" s="2"/>
      <c r="K929" s="4"/>
    </row>
    <row r="930">
      <c r="D930" s="2"/>
      <c r="E930" s="2"/>
      <c r="F930" s="3"/>
      <c r="G930" s="2"/>
      <c r="K930" s="4"/>
    </row>
    <row r="931">
      <c r="D931" s="2"/>
      <c r="E931" s="2"/>
      <c r="F931" s="3"/>
      <c r="G931" s="2"/>
      <c r="K931" s="4"/>
    </row>
    <row r="932">
      <c r="D932" s="2"/>
      <c r="E932" s="2"/>
      <c r="F932" s="3"/>
      <c r="G932" s="2"/>
      <c r="K932" s="4"/>
    </row>
    <row r="933">
      <c r="D933" s="2"/>
      <c r="E933" s="2"/>
      <c r="F933" s="3"/>
      <c r="G933" s="2"/>
      <c r="K933" s="4"/>
    </row>
    <row r="934">
      <c r="D934" s="2"/>
      <c r="E934" s="2"/>
      <c r="F934" s="3"/>
      <c r="G934" s="2"/>
      <c r="K934" s="4"/>
    </row>
    <row r="935">
      <c r="D935" s="2"/>
      <c r="E935" s="2"/>
      <c r="F935" s="3"/>
      <c r="G935" s="2"/>
      <c r="K935" s="4"/>
    </row>
    <row r="936">
      <c r="D936" s="2"/>
      <c r="E936" s="2"/>
      <c r="F936" s="3"/>
      <c r="G936" s="2"/>
      <c r="K936" s="4"/>
    </row>
    <row r="937">
      <c r="D937" s="2"/>
      <c r="E937" s="2"/>
      <c r="F937" s="3"/>
      <c r="G937" s="2"/>
      <c r="K937" s="4"/>
    </row>
    <row r="938">
      <c r="D938" s="2"/>
      <c r="E938" s="2"/>
      <c r="F938" s="3"/>
      <c r="G938" s="2"/>
      <c r="K938" s="4"/>
    </row>
    <row r="939">
      <c r="D939" s="2"/>
      <c r="E939" s="2"/>
      <c r="F939" s="3"/>
      <c r="G939" s="2"/>
      <c r="K939" s="4"/>
    </row>
    <row r="940">
      <c r="D940" s="2"/>
      <c r="E940" s="2"/>
      <c r="F940" s="3"/>
      <c r="G940" s="2"/>
      <c r="K940" s="4"/>
    </row>
    <row r="941">
      <c r="D941" s="2"/>
      <c r="E941" s="2"/>
      <c r="F941" s="3"/>
      <c r="G941" s="2"/>
      <c r="K941" s="4"/>
    </row>
    <row r="942">
      <c r="D942" s="2"/>
      <c r="E942" s="2"/>
      <c r="F942" s="3"/>
      <c r="G942" s="2"/>
      <c r="K942" s="4"/>
    </row>
    <row r="943">
      <c r="D943" s="2"/>
      <c r="E943" s="2"/>
      <c r="F943" s="3"/>
      <c r="G943" s="2"/>
      <c r="K943" s="4"/>
    </row>
    <row r="944">
      <c r="D944" s="2"/>
      <c r="E944" s="2"/>
      <c r="F944" s="3"/>
      <c r="G944" s="2"/>
      <c r="K944" s="4"/>
    </row>
    <row r="945">
      <c r="D945" s="2"/>
      <c r="E945" s="2"/>
      <c r="F945" s="3"/>
      <c r="G945" s="2"/>
      <c r="K945" s="4"/>
    </row>
    <row r="946">
      <c r="D946" s="2"/>
      <c r="E946" s="2"/>
      <c r="F946" s="3"/>
      <c r="G946" s="2"/>
      <c r="K946" s="4"/>
    </row>
    <row r="947">
      <c r="D947" s="2"/>
      <c r="E947" s="2"/>
      <c r="F947" s="3"/>
      <c r="G947" s="2"/>
      <c r="K947" s="4"/>
    </row>
    <row r="948">
      <c r="D948" s="2"/>
      <c r="E948" s="2"/>
      <c r="F948" s="3"/>
      <c r="G948" s="2"/>
      <c r="K948" s="4"/>
    </row>
    <row r="949">
      <c r="D949" s="2"/>
      <c r="E949" s="2"/>
      <c r="F949" s="3"/>
      <c r="G949" s="2"/>
      <c r="K949" s="4"/>
    </row>
    <row r="950">
      <c r="D950" s="2"/>
      <c r="E950" s="2"/>
      <c r="F950" s="3"/>
      <c r="G950" s="2"/>
      <c r="K950" s="4"/>
    </row>
    <row r="951">
      <c r="D951" s="2"/>
      <c r="E951" s="2"/>
      <c r="F951" s="3"/>
      <c r="G951" s="2"/>
      <c r="K951" s="4"/>
    </row>
    <row r="952">
      <c r="D952" s="2"/>
      <c r="E952" s="2"/>
      <c r="F952" s="3"/>
      <c r="G952" s="2"/>
      <c r="K952" s="4"/>
    </row>
    <row r="953">
      <c r="D953" s="2"/>
      <c r="E953" s="2"/>
      <c r="F953" s="3"/>
      <c r="G953" s="2"/>
      <c r="K953" s="4"/>
    </row>
    <row r="954">
      <c r="D954" s="2"/>
      <c r="E954" s="2"/>
      <c r="F954" s="3"/>
      <c r="G954" s="2"/>
      <c r="K954" s="4"/>
    </row>
    <row r="955">
      <c r="D955" s="2"/>
      <c r="E955" s="2"/>
      <c r="F955" s="3"/>
      <c r="G955" s="2"/>
      <c r="K955" s="4"/>
    </row>
    <row r="956">
      <c r="D956" s="2"/>
      <c r="E956" s="2"/>
      <c r="F956" s="3"/>
      <c r="G956" s="2"/>
      <c r="K956" s="4"/>
    </row>
    <row r="957">
      <c r="D957" s="2"/>
      <c r="E957" s="2"/>
      <c r="F957" s="3"/>
      <c r="G957" s="2"/>
      <c r="K957" s="4"/>
    </row>
    <row r="958">
      <c r="D958" s="2"/>
      <c r="E958" s="2"/>
      <c r="F958" s="3"/>
      <c r="G958" s="2"/>
      <c r="K958" s="4"/>
    </row>
    <row r="959">
      <c r="D959" s="2"/>
      <c r="E959" s="2"/>
      <c r="F959" s="3"/>
      <c r="G959" s="2"/>
      <c r="K959" s="4"/>
    </row>
    <row r="960">
      <c r="D960" s="2"/>
      <c r="E960" s="2"/>
      <c r="F960" s="3"/>
      <c r="G960" s="2"/>
      <c r="K960" s="4"/>
    </row>
    <row r="961">
      <c r="D961" s="2"/>
      <c r="E961" s="2"/>
      <c r="F961" s="3"/>
      <c r="G961" s="2"/>
      <c r="K961" s="4"/>
    </row>
    <row r="962">
      <c r="D962" s="2"/>
      <c r="E962" s="2"/>
      <c r="F962" s="3"/>
      <c r="G962" s="2"/>
      <c r="K962" s="4"/>
    </row>
    <row r="963">
      <c r="D963" s="2"/>
      <c r="E963" s="2"/>
      <c r="F963" s="3"/>
      <c r="G963" s="2"/>
      <c r="K963" s="4"/>
    </row>
    <row r="964">
      <c r="D964" s="2"/>
      <c r="E964" s="2"/>
      <c r="F964" s="3"/>
      <c r="G964" s="2"/>
      <c r="K964" s="4"/>
    </row>
    <row r="965">
      <c r="D965" s="2"/>
      <c r="E965" s="2"/>
      <c r="F965" s="3"/>
      <c r="G965" s="2"/>
      <c r="K965" s="4"/>
    </row>
    <row r="966">
      <c r="D966" s="2"/>
      <c r="E966" s="2"/>
      <c r="F966" s="3"/>
      <c r="G966" s="2"/>
      <c r="K966" s="4"/>
    </row>
    <row r="967">
      <c r="D967" s="2"/>
      <c r="E967" s="2"/>
      <c r="F967" s="3"/>
      <c r="G967" s="2"/>
      <c r="K967" s="4"/>
    </row>
    <row r="968">
      <c r="D968" s="2"/>
      <c r="E968" s="2"/>
      <c r="F968" s="3"/>
      <c r="G968" s="2"/>
      <c r="K968" s="4"/>
    </row>
    <row r="969">
      <c r="D969" s="2"/>
      <c r="E969" s="2"/>
      <c r="F969" s="3"/>
      <c r="G969" s="2"/>
      <c r="K969" s="4"/>
    </row>
    <row r="970">
      <c r="D970" s="2"/>
      <c r="E970" s="2"/>
      <c r="F970" s="3"/>
      <c r="G970" s="2"/>
      <c r="K970" s="4"/>
    </row>
    <row r="971">
      <c r="D971" s="2"/>
      <c r="E971" s="2"/>
      <c r="F971" s="3"/>
      <c r="G971" s="2"/>
      <c r="K971" s="4"/>
    </row>
    <row r="972">
      <c r="D972" s="2"/>
      <c r="E972" s="2"/>
      <c r="F972" s="3"/>
      <c r="G972" s="2"/>
      <c r="K972" s="4"/>
    </row>
    <row r="973">
      <c r="D973" s="2"/>
      <c r="E973" s="2"/>
      <c r="F973" s="3"/>
      <c r="G973" s="2"/>
      <c r="K973" s="4"/>
    </row>
    <row r="974">
      <c r="D974" s="2"/>
      <c r="E974" s="2"/>
      <c r="F974" s="3"/>
      <c r="G974" s="2"/>
      <c r="K974" s="4"/>
    </row>
    <row r="975">
      <c r="D975" s="2"/>
      <c r="E975" s="2"/>
      <c r="F975" s="3"/>
      <c r="G975" s="2"/>
      <c r="K975" s="4"/>
    </row>
    <row r="976">
      <c r="D976" s="2"/>
      <c r="E976" s="2"/>
      <c r="F976" s="3"/>
      <c r="G976" s="2"/>
      <c r="K976" s="4"/>
    </row>
    <row r="977">
      <c r="D977" s="2"/>
      <c r="E977" s="2"/>
      <c r="F977" s="3"/>
      <c r="G977" s="2"/>
      <c r="K977" s="4"/>
    </row>
    <row r="978">
      <c r="D978" s="2"/>
      <c r="E978" s="2"/>
      <c r="F978" s="3"/>
      <c r="G978" s="2"/>
      <c r="K978" s="4"/>
    </row>
    <row r="979">
      <c r="D979" s="2"/>
      <c r="E979" s="2"/>
      <c r="F979" s="3"/>
      <c r="G979" s="2"/>
      <c r="K979" s="4"/>
    </row>
    <row r="980">
      <c r="D980" s="2"/>
      <c r="E980" s="2"/>
      <c r="F980" s="3"/>
      <c r="G980" s="2"/>
      <c r="K980" s="4"/>
    </row>
    <row r="981">
      <c r="D981" s="2"/>
      <c r="E981" s="2"/>
      <c r="F981" s="3"/>
      <c r="G981" s="2"/>
      <c r="K981" s="4"/>
    </row>
    <row r="982">
      <c r="D982" s="2"/>
      <c r="E982" s="2"/>
      <c r="F982" s="3"/>
      <c r="G982" s="2"/>
      <c r="K982" s="4"/>
    </row>
    <row r="983">
      <c r="D983" s="2"/>
      <c r="E983" s="2"/>
      <c r="F983" s="3"/>
      <c r="G983" s="2"/>
      <c r="K983" s="4"/>
    </row>
    <row r="984">
      <c r="D984" s="2"/>
      <c r="E984" s="2"/>
      <c r="F984" s="3"/>
      <c r="G984" s="2"/>
      <c r="K984" s="4"/>
    </row>
    <row r="985">
      <c r="D985" s="2"/>
      <c r="E985" s="2"/>
      <c r="F985" s="3"/>
      <c r="G985" s="2"/>
      <c r="K985" s="4"/>
    </row>
    <row r="986">
      <c r="D986" s="2"/>
      <c r="E986" s="2"/>
      <c r="F986" s="3"/>
      <c r="G986" s="2"/>
      <c r="K986" s="4"/>
    </row>
    <row r="987">
      <c r="D987" s="2"/>
      <c r="E987" s="2"/>
      <c r="F987" s="3"/>
      <c r="G987" s="2"/>
      <c r="K987" s="4"/>
    </row>
    <row r="988">
      <c r="D988" s="2"/>
      <c r="E988" s="2"/>
      <c r="F988" s="3"/>
      <c r="G988" s="2"/>
      <c r="K988" s="4"/>
    </row>
    <row r="989">
      <c r="D989" s="2"/>
      <c r="E989" s="2"/>
      <c r="F989" s="3"/>
      <c r="G989" s="2"/>
      <c r="K989" s="4"/>
    </row>
    <row r="990">
      <c r="D990" s="2"/>
      <c r="E990" s="2"/>
      <c r="F990" s="3"/>
      <c r="G990" s="2"/>
      <c r="K990" s="4"/>
    </row>
    <row r="991">
      <c r="D991" s="2"/>
      <c r="E991" s="2"/>
      <c r="F991" s="3"/>
      <c r="G991" s="2"/>
      <c r="K991" s="4"/>
    </row>
    <row r="992">
      <c r="D992" s="2"/>
      <c r="E992" s="2"/>
      <c r="F992" s="3"/>
      <c r="G992" s="2"/>
      <c r="K992" s="4"/>
    </row>
    <row r="993">
      <c r="D993" s="2"/>
      <c r="E993" s="2"/>
      <c r="F993" s="3"/>
      <c r="G993" s="2"/>
      <c r="K993" s="4"/>
    </row>
    <row r="994">
      <c r="D994" s="2"/>
      <c r="E994" s="2"/>
      <c r="F994" s="3"/>
      <c r="G994" s="2"/>
      <c r="K994" s="4"/>
    </row>
    <row r="995">
      <c r="D995" s="2"/>
      <c r="E995" s="2"/>
      <c r="F995" s="3"/>
      <c r="G995" s="2"/>
      <c r="K995" s="4"/>
    </row>
    <row r="996">
      <c r="D996" s="2"/>
      <c r="E996" s="2"/>
      <c r="F996" s="3"/>
      <c r="G996" s="2"/>
      <c r="K996" s="4"/>
    </row>
    <row r="997">
      <c r="D997" s="2"/>
      <c r="E997" s="2"/>
      <c r="F997" s="3"/>
      <c r="G997" s="2"/>
      <c r="K997" s="4"/>
    </row>
    <row r="998">
      <c r="D998" s="2"/>
      <c r="E998" s="2"/>
      <c r="F998" s="3"/>
      <c r="G998" s="2"/>
      <c r="K998" s="4"/>
    </row>
    <row r="999">
      <c r="D999" s="2"/>
      <c r="E999" s="2"/>
      <c r="F999" s="3"/>
      <c r="G999" s="2"/>
      <c r="K999" s="4"/>
    </row>
    <row r="1000">
      <c r="D1000" s="2"/>
      <c r="E1000" s="2"/>
      <c r="F1000" s="3"/>
      <c r="G1000" s="2"/>
      <c r="K1000" s="4"/>
    </row>
    <row r="1001">
      <c r="D1001" s="2"/>
      <c r="E1001" s="2"/>
      <c r="F1001" s="3"/>
      <c r="G1001" s="2"/>
      <c r="K1001" s="4"/>
    </row>
    <row r="1002">
      <c r="D1002" s="2"/>
      <c r="E1002" s="2"/>
      <c r="F1002" s="3"/>
      <c r="G1002" s="2"/>
      <c r="K1002" s="4"/>
    </row>
    <row r="1003">
      <c r="D1003" s="2"/>
      <c r="E1003" s="2"/>
      <c r="F1003" s="3"/>
      <c r="G1003" s="2"/>
      <c r="K1003" s="4"/>
    </row>
    <row r="1004">
      <c r="D1004" s="2"/>
      <c r="E1004" s="2"/>
      <c r="F1004" s="3"/>
      <c r="G1004" s="2"/>
      <c r="K1004" s="4"/>
    </row>
    <row r="1005">
      <c r="D1005" s="2"/>
      <c r="E1005" s="2"/>
      <c r="F1005" s="3"/>
      <c r="G1005" s="2"/>
      <c r="K1005" s="4"/>
    </row>
    <row r="1006">
      <c r="D1006" s="2"/>
      <c r="E1006" s="2"/>
      <c r="F1006" s="3"/>
      <c r="G1006" s="2"/>
      <c r="K1006" s="4"/>
    </row>
    <row r="1007">
      <c r="D1007" s="2"/>
      <c r="E1007" s="2"/>
      <c r="F1007" s="3"/>
      <c r="G1007" s="2"/>
      <c r="K1007" s="4"/>
    </row>
    <row r="1008">
      <c r="D1008" s="2"/>
      <c r="E1008" s="2"/>
      <c r="F1008" s="3"/>
      <c r="G1008" s="2"/>
      <c r="K1008" s="4"/>
    </row>
    <row r="1009">
      <c r="D1009" s="2"/>
      <c r="E1009" s="2"/>
      <c r="F1009" s="3"/>
      <c r="G1009" s="2"/>
      <c r="K1009" s="4"/>
    </row>
    <row r="1010">
      <c r="D1010" s="2"/>
      <c r="E1010" s="2"/>
      <c r="F1010" s="3"/>
      <c r="G1010" s="2"/>
      <c r="K1010" s="4"/>
    </row>
    <row r="1011">
      <c r="D1011" s="2"/>
      <c r="E1011" s="2"/>
      <c r="F1011" s="3"/>
      <c r="G1011" s="2"/>
      <c r="K1011" s="4"/>
    </row>
    <row r="1012">
      <c r="D1012" s="2"/>
      <c r="E1012" s="2"/>
      <c r="F1012" s="3"/>
      <c r="G1012" s="2"/>
      <c r="K1012" s="4"/>
    </row>
    <row r="1013">
      <c r="D1013" s="2"/>
      <c r="E1013" s="2"/>
      <c r="F1013" s="3"/>
      <c r="G1013" s="2"/>
      <c r="K1013" s="4"/>
    </row>
    <row r="1014">
      <c r="D1014" s="2"/>
      <c r="E1014" s="2"/>
      <c r="F1014" s="3"/>
      <c r="G1014" s="2"/>
      <c r="K1014" s="4"/>
    </row>
    <row r="1015">
      <c r="D1015" s="2"/>
      <c r="E1015" s="2"/>
      <c r="F1015" s="3"/>
      <c r="G1015" s="2"/>
      <c r="K1015" s="4"/>
    </row>
    <row r="1016">
      <c r="D1016" s="2"/>
      <c r="E1016" s="2"/>
      <c r="F1016" s="3"/>
      <c r="G1016" s="2"/>
      <c r="K1016" s="4"/>
    </row>
    <row r="1017">
      <c r="D1017" s="2"/>
      <c r="E1017" s="2"/>
      <c r="F1017" s="3"/>
      <c r="G1017" s="2"/>
      <c r="K1017" s="4"/>
    </row>
    <row r="1018">
      <c r="D1018" s="2"/>
      <c r="E1018" s="2"/>
      <c r="F1018" s="3"/>
      <c r="G1018" s="2"/>
      <c r="K1018" s="4"/>
    </row>
    <row r="1019">
      <c r="D1019" s="2"/>
      <c r="E1019" s="2"/>
      <c r="F1019" s="3"/>
      <c r="G1019" s="2"/>
      <c r="K1019" s="4"/>
    </row>
    <row r="1020">
      <c r="D1020" s="2"/>
      <c r="E1020" s="2"/>
      <c r="F1020" s="3"/>
      <c r="G1020" s="2"/>
      <c r="K1020" s="4"/>
    </row>
    <row r="1021">
      <c r="D1021" s="2"/>
      <c r="E1021" s="2"/>
      <c r="F1021" s="3"/>
      <c r="G1021" s="2"/>
      <c r="K1021" s="4"/>
    </row>
    <row r="1022">
      <c r="D1022" s="2"/>
      <c r="E1022" s="2"/>
      <c r="F1022" s="3"/>
      <c r="G1022" s="2"/>
      <c r="K1022" s="4"/>
    </row>
    <row r="1023">
      <c r="D1023" s="2"/>
      <c r="E1023" s="2"/>
      <c r="F1023" s="3"/>
      <c r="G1023" s="2"/>
      <c r="K1023" s="4"/>
    </row>
    <row r="1024">
      <c r="D1024" s="2"/>
      <c r="E1024" s="2"/>
      <c r="F1024" s="3"/>
      <c r="G1024" s="2"/>
      <c r="K1024" s="4"/>
    </row>
    <row r="1025">
      <c r="D1025" s="2"/>
      <c r="E1025" s="2"/>
      <c r="F1025" s="3"/>
      <c r="G1025" s="2"/>
      <c r="K1025" s="4"/>
    </row>
    <row r="1026">
      <c r="D1026" s="2"/>
      <c r="E1026" s="2"/>
      <c r="F1026" s="3"/>
      <c r="G1026" s="2"/>
      <c r="K1026" s="4"/>
    </row>
    <row r="1027">
      <c r="D1027" s="2"/>
      <c r="E1027" s="2"/>
      <c r="F1027" s="3"/>
      <c r="G1027" s="2"/>
      <c r="K1027" s="4"/>
    </row>
    <row r="1028">
      <c r="D1028" s="2"/>
      <c r="E1028" s="2"/>
      <c r="F1028" s="3"/>
      <c r="G1028" s="2"/>
      <c r="K1028" s="4"/>
    </row>
    <row r="1029">
      <c r="D1029" s="2"/>
      <c r="E1029" s="2"/>
      <c r="F1029" s="3"/>
      <c r="G1029" s="2"/>
      <c r="K1029" s="4"/>
    </row>
    <row r="1030">
      <c r="D1030" s="2"/>
      <c r="E1030" s="2"/>
      <c r="F1030" s="3"/>
      <c r="G1030" s="2"/>
      <c r="K1030" s="4"/>
    </row>
    <row r="1031">
      <c r="D1031" s="2"/>
      <c r="E1031" s="2"/>
      <c r="F1031" s="3"/>
      <c r="G1031" s="2"/>
      <c r="K1031" s="4"/>
    </row>
    <row r="1032">
      <c r="D1032" s="2"/>
      <c r="E1032" s="2"/>
      <c r="F1032" s="3"/>
      <c r="G1032" s="2"/>
      <c r="K1032" s="4"/>
    </row>
    <row r="1033">
      <c r="D1033" s="2"/>
      <c r="E1033" s="2"/>
      <c r="F1033" s="3"/>
      <c r="G1033" s="2"/>
      <c r="K1033" s="4"/>
    </row>
    <row r="1034">
      <c r="D1034" s="2"/>
      <c r="E1034" s="2"/>
      <c r="F1034" s="3"/>
      <c r="G1034" s="2"/>
      <c r="K1034" s="4"/>
    </row>
    <row r="1035">
      <c r="D1035" s="2"/>
      <c r="E1035" s="2"/>
      <c r="F1035" s="3"/>
      <c r="G1035" s="2"/>
      <c r="K1035" s="4"/>
    </row>
    <row r="1036">
      <c r="D1036" s="2"/>
      <c r="E1036" s="2"/>
      <c r="F1036" s="3"/>
      <c r="G1036" s="2"/>
      <c r="K1036" s="4"/>
    </row>
    <row r="1037">
      <c r="D1037" s="2"/>
      <c r="E1037" s="2"/>
      <c r="F1037" s="3"/>
      <c r="G1037" s="2"/>
      <c r="K1037" s="4"/>
    </row>
    <row r="1038">
      <c r="D1038" s="2"/>
      <c r="E1038" s="2"/>
      <c r="F1038" s="3"/>
      <c r="G1038" s="2"/>
      <c r="K1038" s="4"/>
    </row>
    <row r="1039">
      <c r="D1039" s="2"/>
      <c r="E1039" s="2"/>
      <c r="F1039" s="3"/>
      <c r="G1039" s="2"/>
      <c r="K1039" s="4"/>
    </row>
    <row r="1040">
      <c r="D1040" s="2"/>
      <c r="E1040" s="2"/>
      <c r="F1040" s="3"/>
      <c r="G1040" s="2"/>
      <c r="K1040" s="4"/>
    </row>
    <row r="1041">
      <c r="D1041" s="2"/>
      <c r="E1041" s="2"/>
      <c r="F1041" s="3"/>
      <c r="G1041" s="2"/>
      <c r="K1041" s="4"/>
    </row>
    <row r="1042">
      <c r="D1042" s="2"/>
      <c r="E1042" s="2"/>
      <c r="F1042" s="3"/>
      <c r="G1042" s="2"/>
      <c r="K1042" s="4"/>
    </row>
    <row r="1043">
      <c r="D1043" s="2"/>
      <c r="E1043" s="2"/>
      <c r="F1043" s="3"/>
      <c r="G1043" s="2"/>
      <c r="K1043" s="4"/>
    </row>
    <row r="1044">
      <c r="D1044" s="2"/>
      <c r="E1044" s="2"/>
      <c r="F1044" s="3"/>
      <c r="G1044" s="2"/>
      <c r="K1044" s="4"/>
    </row>
    <row r="1045">
      <c r="D1045" s="2"/>
      <c r="E1045" s="2"/>
      <c r="F1045" s="3"/>
      <c r="G1045" s="2"/>
      <c r="K1045" s="4"/>
    </row>
    <row r="1046">
      <c r="D1046" s="2"/>
      <c r="E1046" s="2"/>
      <c r="F1046" s="3"/>
      <c r="G1046" s="2"/>
      <c r="K1046" s="4"/>
    </row>
    <row r="1047">
      <c r="D1047" s="2"/>
      <c r="E1047" s="2"/>
      <c r="F1047" s="3"/>
      <c r="G1047" s="2"/>
      <c r="K1047" s="4"/>
    </row>
    <row r="1048">
      <c r="D1048" s="2"/>
      <c r="E1048" s="2"/>
      <c r="F1048" s="3"/>
      <c r="G1048" s="2"/>
      <c r="K1048" s="4"/>
    </row>
    <row r="1049">
      <c r="D1049" s="2"/>
      <c r="E1049" s="2"/>
      <c r="F1049" s="3"/>
      <c r="G1049" s="2"/>
      <c r="K1049" s="4"/>
    </row>
    <row r="1050">
      <c r="D1050" s="2"/>
      <c r="E1050" s="2"/>
      <c r="F1050" s="3"/>
      <c r="G1050" s="2"/>
      <c r="K1050" s="4"/>
    </row>
    <row r="1051">
      <c r="D1051" s="2"/>
      <c r="E1051" s="2"/>
      <c r="F1051" s="3"/>
      <c r="G1051" s="2"/>
      <c r="K1051" s="4"/>
    </row>
    <row r="1052">
      <c r="D1052" s="2"/>
      <c r="E1052" s="2"/>
      <c r="F1052" s="3"/>
      <c r="G1052" s="2"/>
      <c r="K1052" s="4"/>
    </row>
    <row r="1053">
      <c r="D1053" s="2"/>
      <c r="E1053" s="2"/>
      <c r="F1053" s="3"/>
      <c r="G1053" s="2"/>
      <c r="K1053" s="4"/>
    </row>
    <row r="1054">
      <c r="D1054" s="2"/>
      <c r="E1054" s="2"/>
      <c r="F1054" s="3"/>
      <c r="G1054" s="2"/>
      <c r="K1054" s="4"/>
    </row>
    <row r="1055">
      <c r="D1055" s="2"/>
      <c r="E1055" s="2"/>
      <c r="F1055" s="3"/>
      <c r="G1055" s="2"/>
      <c r="K1055" s="4"/>
    </row>
    <row r="1056">
      <c r="D1056" s="2"/>
      <c r="E1056" s="2"/>
      <c r="F1056" s="3"/>
      <c r="G1056" s="2"/>
      <c r="K1056" s="4"/>
    </row>
    <row r="1057">
      <c r="D1057" s="2"/>
      <c r="E1057" s="2"/>
      <c r="F1057" s="3"/>
      <c r="G1057" s="2"/>
      <c r="K1057" s="4"/>
    </row>
    <row r="1058">
      <c r="D1058" s="2"/>
      <c r="E1058" s="2"/>
      <c r="F1058" s="3"/>
      <c r="G1058" s="2"/>
      <c r="K1058" s="4"/>
    </row>
    <row r="1059">
      <c r="D1059" s="2"/>
      <c r="E1059" s="2"/>
      <c r="F1059" s="3"/>
      <c r="G1059" s="2"/>
      <c r="K1059" s="4"/>
    </row>
    <row r="1060">
      <c r="D1060" s="2"/>
      <c r="E1060" s="2"/>
      <c r="F1060" s="3"/>
      <c r="G1060" s="2"/>
      <c r="K1060" s="4"/>
    </row>
    <row r="1061">
      <c r="D1061" s="2"/>
      <c r="E1061" s="2"/>
      <c r="F1061" s="3"/>
      <c r="G1061" s="2"/>
      <c r="K1061" s="4"/>
    </row>
    <row r="1062">
      <c r="D1062" s="2"/>
      <c r="E1062" s="2"/>
      <c r="F1062" s="3"/>
      <c r="G1062" s="2"/>
      <c r="K1062" s="4"/>
    </row>
    <row r="1063">
      <c r="D1063" s="2"/>
      <c r="E1063" s="2"/>
      <c r="F1063" s="3"/>
      <c r="G1063" s="2"/>
      <c r="K1063" s="4"/>
    </row>
  </sheetData>
  <conditionalFormatting sqref="U4">
    <cfRule type="expression" dxfId="6" priority="1">
      <formula>NOT(ISERROR(FORMULATEXT(U4)))</formula>
    </cfRule>
  </conditionalFormatting>
  <conditionalFormatting sqref="T4:AJ5">
    <cfRule type="expression" dxfId="6" priority="2">
      <formula>NOT(ISERROR(FORMULATEXT(T4)))</formula>
    </cfRule>
  </conditionalFormatting>
  <conditionalFormatting sqref="B4:S82 W10:Z10 W17:Z17">
    <cfRule type="expression" dxfId="7" priority="3">
      <formula>NOT(ISERROR(FORMULATEXT(B4)))</formula>
    </cfRule>
  </conditionalFormatting>
  <dataValidations>
    <dataValidation type="custom" allowBlank="1" showDropDown="1" sqref="V4:V5 X4:X5 G4:G82">
      <formula1>OR(NOT(ISERROR(DATEVALUE(G4))), AND(ISNUMBER(G4), LEFT(CELL("format", G4))="D"))</formula1>
    </dataValidation>
    <dataValidation type="list" allowBlank="1" sqref="W4:W5">
      <formula1>"Open,Closed"</formula1>
    </dataValidation>
    <dataValidation type="custom" allowBlank="1" showDropDown="1" sqref="Y10:Z21 P4:P82 S4:S82">
      <formula1>AND(ISNUMBER(P4),(NOT(OR(NOT(ISERROR(DATEVALUE(P4))), AND(ISNUMBER(P4), LEFT(CELL("format", P4))="D")))))</formula1>
    </dataValidation>
  </dataValidations>
  <hyperlinks>
    <hyperlink r:id="rId4" ref="J4"/>
    <hyperlink r:id="rId5" ref="Y4"/>
    <hyperlink r:id="rId6" ref="Y5"/>
    <hyperlink r:id="rId7" ref="J10"/>
    <hyperlink r:id="rId8" ref="J16"/>
    <hyperlink r:id="rId9" ref="J22"/>
    <hyperlink r:id="rId10" ref="J28"/>
    <hyperlink r:id="rId11" ref="J34"/>
    <hyperlink r:id="rId12" ref="J40"/>
    <hyperlink r:id="rId13" ref="J52"/>
    <hyperlink r:id="rId14" ref="J57"/>
    <hyperlink r:id="rId15" ref="J63"/>
    <hyperlink r:id="rId16" ref="J69"/>
  </hyperlinks>
  <drawing r:id="rId17"/>
  <legacyDrawing r:id="rId18"/>
  <tableParts count="3">
    <tablePart r:id="rId22"/>
    <tablePart r:id="rId23"/>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7.88"/>
    <col customWidth="1" min="3" max="3" width="8.5"/>
    <col customWidth="1" min="4" max="4" width="8.0"/>
    <col customWidth="1" min="5" max="5" width="11.38"/>
    <col customWidth="1" min="6" max="6" width="12.13"/>
    <col customWidth="1" min="7" max="7" width="13.63"/>
    <col customWidth="1" min="8" max="8" width="13.5"/>
    <col customWidth="1" min="9" max="10" width="13.63"/>
    <col customWidth="1" min="11" max="11" width="36.88"/>
    <col customWidth="1" min="12" max="12" width="24.13"/>
    <col customWidth="1" min="13" max="15" width="13.63"/>
    <col customWidth="1" min="16" max="16" width="13.5"/>
    <col customWidth="1" min="17" max="17" width="13.63"/>
    <col customWidth="1" min="18" max="18" width="27.38"/>
    <col customWidth="1" min="19" max="19" width="27.63"/>
    <col customWidth="1" min="20" max="20" width="15.38"/>
    <col customWidth="1" min="21" max="21" width="15.25"/>
    <col customWidth="1" min="22" max="24" width="15.38"/>
    <col customWidth="1" min="25" max="25" width="15.25"/>
    <col customWidth="1" min="26" max="28" width="15.38"/>
    <col customWidth="1" min="29" max="29" width="15.25"/>
    <col customWidth="1" min="30" max="30" width="15.38"/>
    <col customWidth="1" min="31" max="31" width="29.13"/>
    <col customWidth="1" min="32" max="32" width="29.38"/>
  </cols>
  <sheetData>
    <row r="1">
      <c r="K1" s="107" t="s">
        <v>61</v>
      </c>
      <c r="L1" s="107" t="s">
        <v>62</v>
      </c>
    </row>
    <row r="2">
      <c r="K2" s="1" t="s">
        <v>63</v>
      </c>
      <c r="L2" s="108">
        <v>350.0</v>
      </c>
    </row>
    <row r="3">
      <c r="K3" s="1" t="s">
        <v>64</v>
      </c>
      <c r="L3" s="108">
        <v>900.0</v>
      </c>
    </row>
    <row r="4">
      <c r="K4" s="1" t="s">
        <v>65</v>
      </c>
      <c r="L4" s="108">
        <v>5.0</v>
      </c>
    </row>
    <row r="5">
      <c r="K5" s="1" t="s">
        <v>66</v>
      </c>
      <c r="L5" s="108">
        <v>85.0</v>
      </c>
    </row>
    <row r="6">
      <c r="K6" s="1" t="s">
        <v>67</v>
      </c>
      <c r="L6" s="108">
        <v>1.0</v>
      </c>
    </row>
    <row r="7">
      <c r="K7" s="1" t="s">
        <v>68</v>
      </c>
      <c r="L7" s="1" t="s">
        <v>69</v>
      </c>
    </row>
    <row r="8">
      <c r="K8" s="1" t="s">
        <v>70</v>
      </c>
    </row>
    <row r="84">
      <c r="A84" s="107" t="s">
        <v>71</v>
      </c>
    </row>
    <row r="85">
      <c r="A85" s="1" t="s">
        <v>72</v>
      </c>
      <c r="B85" s="1" t="s">
        <v>73</v>
      </c>
      <c r="C85" s="1" t="s">
        <v>74</v>
      </c>
      <c r="D85" s="1" t="s">
        <v>75</v>
      </c>
      <c r="E85" s="1" t="s">
        <v>76</v>
      </c>
      <c r="F85" s="1" t="s">
        <v>77</v>
      </c>
      <c r="G85" s="1" t="s">
        <v>78</v>
      </c>
      <c r="H85" s="1" t="s">
        <v>79</v>
      </c>
      <c r="I85" s="1" t="s">
        <v>80</v>
      </c>
      <c r="J85" s="1" t="s">
        <v>81</v>
      </c>
      <c r="K85" s="1" t="s">
        <v>82</v>
      </c>
      <c r="L85" s="1" t="s">
        <v>83</v>
      </c>
      <c r="M85" s="1" t="s">
        <v>84</v>
      </c>
      <c r="N85" s="1" t="s">
        <v>85</v>
      </c>
      <c r="O85" s="1" t="s">
        <v>86</v>
      </c>
      <c r="P85" s="1" t="s">
        <v>87</v>
      </c>
      <c r="Q85" s="1" t="s">
        <v>88</v>
      </c>
      <c r="R85" s="1" t="s">
        <v>89</v>
      </c>
      <c r="S85" s="1" t="s">
        <v>90</v>
      </c>
      <c r="T85" s="1" t="s">
        <v>91</v>
      </c>
      <c r="U85" s="1" t="s">
        <v>92</v>
      </c>
      <c r="V85" s="1" t="s">
        <v>93</v>
      </c>
      <c r="W85" s="1" t="s">
        <v>94</v>
      </c>
      <c r="X85" s="1" t="s">
        <v>95</v>
      </c>
      <c r="Y85" s="1" t="s">
        <v>96</v>
      </c>
      <c r="Z85" s="1" t="s">
        <v>97</v>
      </c>
      <c r="AA85" s="1" t="s">
        <v>98</v>
      </c>
      <c r="AB85" s="1" t="s">
        <v>99</v>
      </c>
      <c r="AC85" s="1" t="s">
        <v>100</v>
      </c>
      <c r="AD85" s="1" t="s">
        <v>101</v>
      </c>
      <c r="AE85" s="1" t="s">
        <v>102</v>
      </c>
      <c r="AF85" s="1" t="s">
        <v>103</v>
      </c>
    </row>
    <row r="86">
      <c r="A86" s="108">
        <v>350.0</v>
      </c>
      <c r="B86" s="108">
        <v>226450.0</v>
      </c>
      <c r="C86" s="108">
        <v>61000.0</v>
      </c>
      <c r="D86" s="108">
        <v>287450.0</v>
      </c>
      <c r="E86" s="109">
        <v>0.2671</v>
      </c>
      <c r="F86" s="109">
        <v>-0.7778</v>
      </c>
      <c r="G86" s="108">
        <v>35000.0</v>
      </c>
      <c r="H86" s="108">
        <v>0.0</v>
      </c>
      <c r="I86" s="108">
        <v>0.0</v>
      </c>
      <c r="J86" s="108">
        <v>0.0</v>
      </c>
      <c r="K86" s="108">
        <v>0.0</v>
      </c>
      <c r="L86" s="108">
        <v>0.0</v>
      </c>
      <c r="M86" s="108">
        <v>0.0</v>
      </c>
      <c r="N86" s="108">
        <v>0.0</v>
      </c>
      <c r="O86" s="108">
        <v>0.0</v>
      </c>
      <c r="P86" s="108">
        <v>0.0</v>
      </c>
      <c r="Q86" s="108">
        <v>0.0</v>
      </c>
      <c r="R86" s="108">
        <v>0.0</v>
      </c>
      <c r="S86" s="108">
        <v>26000.0</v>
      </c>
      <c r="T86" s="109">
        <v>-0.1228</v>
      </c>
      <c r="U86" s="109">
        <v>-1.0</v>
      </c>
      <c r="V86" s="109">
        <v>-1.0</v>
      </c>
      <c r="W86" s="109">
        <v>-1.0</v>
      </c>
      <c r="X86" s="109">
        <v>-1.0</v>
      </c>
      <c r="Y86" s="109">
        <v>-1.0</v>
      </c>
      <c r="Z86" s="109">
        <v>-1.0</v>
      </c>
      <c r="AA86" s="109">
        <v>-1.0</v>
      </c>
      <c r="AB86" s="109">
        <v>-1.0</v>
      </c>
      <c r="AC86" s="109">
        <v>-1.0</v>
      </c>
      <c r="AD86" s="109">
        <v>-1.0</v>
      </c>
      <c r="AE86" s="109">
        <v>-1.0</v>
      </c>
      <c r="AF86" s="109">
        <v>0.2829</v>
      </c>
    </row>
    <row r="87">
      <c r="A87" s="108">
        <v>355.0</v>
      </c>
      <c r="B87" s="108">
        <v>229685.0</v>
      </c>
      <c r="C87" s="108">
        <v>72500.0</v>
      </c>
      <c r="D87" s="108">
        <v>302185.0</v>
      </c>
      <c r="E87" s="109">
        <v>0.2852</v>
      </c>
      <c r="F87" s="109">
        <v>-0.7359</v>
      </c>
      <c r="G87" s="108">
        <v>38500.0</v>
      </c>
      <c r="H87" s="108">
        <v>500.0</v>
      </c>
      <c r="I87" s="108">
        <v>3500.0</v>
      </c>
      <c r="J87" s="108">
        <v>4000.0</v>
      </c>
      <c r="K87" s="108">
        <v>0.0</v>
      </c>
      <c r="L87" s="108">
        <v>0.0</v>
      </c>
      <c r="M87" s="108">
        <v>0.0</v>
      </c>
      <c r="N87" s="108">
        <v>0.0</v>
      </c>
      <c r="O87" s="108">
        <v>0.0</v>
      </c>
      <c r="P87" s="108">
        <v>0.0</v>
      </c>
      <c r="Q87" s="108">
        <v>0.0</v>
      </c>
      <c r="R87" s="108">
        <v>0.0</v>
      </c>
      <c r="S87" s="108">
        <v>26000.0</v>
      </c>
      <c r="T87" s="109">
        <v>-0.0351</v>
      </c>
      <c r="U87" s="109">
        <v>-0.8789</v>
      </c>
      <c r="V87" s="109">
        <v>-0.8649</v>
      </c>
      <c r="W87" s="109">
        <v>-0.9231</v>
      </c>
      <c r="X87" s="109">
        <v>-1.0</v>
      </c>
      <c r="Y87" s="109">
        <v>-1.0</v>
      </c>
      <c r="Z87" s="109">
        <v>-1.0</v>
      </c>
      <c r="AA87" s="109">
        <v>-1.0</v>
      </c>
      <c r="AB87" s="109">
        <v>-1.0</v>
      </c>
      <c r="AC87" s="109">
        <v>-1.0</v>
      </c>
      <c r="AD87" s="109">
        <v>-1.0</v>
      </c>
      <c r="AE87" s="109">
        <v>-1.0</v>
      </c>
      <c r="AF87" s="109">
        <v>0.2829</v>
      </c>
    </row>
    <row r="88">
      <c r="A88" s="108">
        <v>360.0</v>
      </c>
      <c r="B88" s="108">
        <v>232920.0</v>
      </c>
      <c r="C88" s="108">
        <v>84000.0</v>
      </c>
      <c r="D88" s="108">
        <v>316920.0</v>
      </c>
      <c r="E88" s="109">
        <v>0.3033</v>
      </c>
      <c r="F88" s="109">
        <v>-0.694</v>
      </c>
      <c r="G88" s="108">
        <v>42000.0</v>
      </c>
      <c r="H88" s="108">
        <v>1000.0</v>
      </c>
      <c r="I88" s="108">
        <v>7000.0</v>
      </c>
      <c r="J88" s="108">
        <v>8000.0</v>
      </c>
      <c r="K88" s="108">
        <v>0.0</v>
      </c>
      <c r="L88" s="108">
        <v>0.0</v>
      </c>
      <c r="M88" s="108">
        <v>0.0</v>
      </c>
      <c r="N88" s="108">
        <v>0.0</v>
      </c>
      <c r="O88" s="108">
        <v>0.0</v>
      </c>
      <c r="P88" s="108">
        <v>0.0</v>
      </c>
      <c r="Q88" s="108">
        <v>0.0</v>
      </c>
      <c r="R88" s="108">
        <v>0.0</v>
      </c>
      <c r="S88" s="108">
        <v>26000.0</v>
      </c>
      <c r="T88" s="109">
        <v>0.0526</v>
      </c>
      <c r="U88" s="109">
        <v>-0.7578</v>
      </c>
      <c r="V88" s="109">
        <v>-0.7297</v>
      </c>
      <c r="W88" s="109">
        <v>-0.8462</v>
      </c>
      <c r="X88" s="109">
        <v>-1.0</v>
      </c>
      <c r="Y88" s="109">
        <v>-1.0</v>
      </c>
      <c r="Z88" s="109">
        <v>-1.0</v>
      </c>
      <c r="AA88" s="109">
        <v>-1.0</v>
      </c>
      <c r="AB88" s="109">
        <v>-1.0</v>
      </c>
      <c r="AC88" s="109">
        <v>-1.0</v>
      </c>
      <c r="AD88" s="109">
        <v>-1.0</v>
      </c>
      <c r="AE88" s="109">
        <v>-1.0</v>
      </c>
      <c r="AF88" s="109">
        <v>0.2829</v>
      </c>
    </row>
    <row r="89">
      <c r="A89" s="108">
        <v>365.0</v>
      </c>
      <c r="B89" s="108">
        <v>236155.0</v>
      </c>
      <c r="C89" s="108">
        <v>95500.0</v>
      </c>
      <c r="D89" s="108">
        <v>331655.0</v>
      </c>
      <c r="E89" s="109">
        <v>0.3214</v>
      </c>
      <c r="F89" s="109">
        <v>-0.6521</v>
      </c>
      <c r="G89" s="108">
        <v>45500.0</v>
      </c>
      <c r="H89" s="108">
        <v>1500.0</v>
      </c>
      <c r="I89" s="108">
        <v>10500.0</v>
      </c>
      <c r="J89" s="108">
        <v>12000.0</v>
      </c>
      <c r="K89" s="108">
        <v>0.0</v>
      </c>
      <c r="L89" s="108">
        <v>0.0</v>
      </c>
      <c r="M89" s="108">
        <v>0.0</v>
      </c>
      <c r="N89" s="108">
        <v>0.0</v>
      </c>
      <c r="O89" s="108">
        <v>0.0</v>
      </c>
      <c r="P89" s="108">
        <v>0.0</v>
      </c>
      <c r="Q89" s="108">
        <v>0.0</v>
      </c>
      <c r="R89" s="108">
        <v>0.0</v>
      </c>
      <c r="S89" s="108">
        <v>26000.0</v>
      </c>
      <c r="T89" s="109">
        <v>0.1404</v>
      </c>
      <c r="U89" s="109">
        <v>-0.6367</v>
      </c>
      <c r="V89" s="109">
        <v>-0.5946</v>
      </c>
      <c r="W89" s="109">
        <v>-0.7692</v>
      </c>
      <c r="X89" s="109">
        <v>-1.0</v>
      </c>
      <c r="Y89" s="109">
        <v>-1.0</v>
      </c>
      <c r="Z89" s="109">
        <v>-1.0</v>
      </c>
      <c r="AA89" s="109">
        <v>-1.0</v>
      </c>
      <c r="AB89" s="109">
        <v>-1.0</v>
      </c>
      <c r="AC89" s="109">
        <v>-1.0</v>
      </c>
      <c r="AD89" s="109">
        <v>-1.0</v>
      </c>
      <c r="AE89" s="109">
        <v>-1.0</v>
      </c>
      <c r="AF89" s="109">
        <v>0.2829</v>
      </c>
    </row>
    <row r="90">
      <c r="A90" s="108">
        <v>370.0</v>
      </c>
      <c r="B90" s="108">
        <v>239390.0</v>
      </c>
      <c r="C90" s="108">
        <v>107000.0</v>
      </c>
      <c r="D90" s="108">
        <v>346390.0</v>
      </c>
      <c r="E90" s="109">
        <v>0.3395</v>
      </c>
      <c r="F90" s="109">
        <v>-0.6102</v>
      </c>
      <c r="G90" s="108">
        <v>49000.0</v>
      </c>
      <c r="H90" s="108">
        <v>2000.0</v>
      </c>
      <c r="I90" s="108">
        <v>14000.0</v>
      </c>
      <c r="J90" s="108">
        <v>16000.0</v>
      </c>
      <c r="K90" s="108">
        <v>0.0</v>
      </c>
      <c r="L90" s="108">
        <v>0.0</v>
      </c>
      <c r="M90" s="108">
        <v>0.0</v>
      </c>
      <c r="N90" s="108">
        <v>0.0</v>
      </c>
      <c r="O90" s="108">
        <v>0.0</v>
      </c>
      <c r="P90" s="108">
        <v>0.0</v>
      </c>
      <c r="Q90" s="108">
        <v>0.0</v>
      </c>
      <c r="R90" s="108">
        <v>0.0</v>
      </c>
      <c r="S90" s="108">
        <v>26000.0</v>
      </c>
      <c r="T90" s="109">
        <v>0.2281</v>
      </c>
      <c r="U90" s="109">
        <v>-0.5156</v>
      </c>
      <c r="V90" s="109">
        <v>-0.4595</v>
      </c>
      <c r="W90" s="109">
        <v>-0.6923</v>
      </c>
      <c r="X90" s="109">
        <v>-1.0</v>
      </c>
      <c r="Y90" s="109">
        <v>-1.0</v>
      </c>
      <c r="Z90" s="109">
        <v>-1.0</v>
      </c>
      <c r="AA90" s="109">
        <v>-1.0</v>
      </c>
      <c r="AB90" s="109">
        <v>-1.0</v>
      </c>
      <c r="AC90" s="109">
        <v>-1.0</v>
      </c>
      <c r="AD90" s="109">
        <v>-1.0</v>
      </c>
      <c r="AE90" s="109">
        <v>-1.0</v>
      </c>
      <c r="AF90" s="109">
        <v>0.2829</v>
      </c>
    </row>
    <row r="91">
      <c r="A91" s="108">
        <v>375.0</v>
      </c>
      <c r="B91" s="108">
        <v>242625.0</v>
      </c>
      <c r="C91" s="108">
        <v>118500.0</v>
      </c>
      <c r="D91" s="108">
        <v>361125.0</v>
      </c>
      <c r="E91" s="109">
        <v>0.3576</v>
      </c>
      <c r="F91" s="109">
        <v>-0.5683</v>
      </c>
      <c r="G91" s="108">
        <v>52500.0</v>
      </c>
      <c r="H91" s="108">
        <v>2500.0</v>
      </c>
      <c r="I91" s="108">
        <v>17500.0</v>
      </c>
      <c r="J91" s="108">
        <v>20000.0</v>
      </c>
      <c r="K91" s="108">
        <v>0.0</v>
      </c>
      <c r="L91" s="108">
        <v>0.0</v>
      </c>
      <c r="M91" s="108">
        <v>0.0</v>
      </c>
      <c r="N91" s="108">
        <v>0.0</v>
      </c>
      <c r="O91" s="108">
        <v>0.0</v>
      </c>
      <c r="P91" s="108">
        <v>0.0</v>
      </c>
      <c r="Q91" s="108">
        <v>0.0</v>
      </c>
      <c r="R91" s="108">
        <v>0.0</v>
      </c>
      <c r="S91" s="108">
        <v>26000.0</v>
      </c>
      <c r="T91" s="109">
        <v>0.3158</v>
      </c>
      <c r="U91" s="109">
        <v>-0.3945</v>
      </c>
      <c r="V91" s="109">
        <v>-0.3243</v>
      </c>
      <c r="W91" s="109">
        <v>-0.6154</v>
      </c>
      <c r="X91" s="109">
        <v>-1.0</v>
      </c>
      <c r="Y91" s="109">
        <v>-1.0</v>
      </c>
      <c r="Z91" s="109">
        <v>-1.0</v>
      </c>
      <c r="AA91" s="109">
        <v>-1.0</v>
      </c>
      <c r="AB91" s="109">
        <v>-1.0</v>
      </c>
      <c r="AC91" s="109">
        <v>-1.0</v>
      </c>
      <c r="AD91" s="109">
        <v>-1.0</v>
      </c>
      <c r="AE91" s="109">
        <v>-1.0</v>
      </c>
      <c r="AF91" s="109">
        <v>0.2829</v>
      </c>
    </row>
    <row r="92">
      <c r="A92" s="108">
        <v>380.0</v>
      </c>
      <c r="B92" s="108">
        <v>245860.0</v>
      </c>
      <c r="C92" s="108">
        <v>130000.0</v>
      </c>
      <c r="D92" s="108">
        <v>375860.0</v>
      </c>
      <c r="E92" s="109">
        <v>0.3757</v>
      </c>
      <c r="F92" s="109">
        <v>-0.5264</v>
      </c>
      <c r="G92" s="108">
        <v>56000.0</v>
      </c>
      <c r="H92" s="108">
        <v>3000.0</v>
      </c>
      <c r="I92" s="108">
        <v>21000.0</v>
      </c>
      <c r="J92" s="108">
        <v>24000.0</v>
      </c>
      <c r="K92" s="108">
        <v>0.0</v>
      </c>
      <c r="L92" s="108">
        <v>0.0</v>
      </c>
      <c r="M92" s="108">
        <v>0.0</v>
      </c>
      <c r="N92" s="108">
        <v>0.0</v>
      </c>
      <c r="O92" s="108">
        <v>0.0</v>
      </c>
      <c r="P92" s="108">
        <v>0.0</v>
      </c>
      <c r="Q92" s="108">
        <v>0.0</v>
      </c>
      <c r="R92" s="108">
        <v>0.0</v>
      </c>
      <c r="S92" s="108">
        <v>26000.0</v>
      </c>
      <c r="T92" s="109">
        <v>0.4035</v>
      </c>
      <c r="U92" s="109">
        <v>-0.2734</v>
      </c>
      <c r="V92" s="109">
        <v>-0.1892</v>
      </c>
      <c r="W92" s="109">
        <v>-0.5385</v>
      </c>
      <c r="X92" s="109">
        <v>-1.0</v>
      </c>
      <c r="Y92" s="109">
        <v>-1.0</v>
      </c>
      <c r="Z92" s="109">
        <v>-1.0</v>
      </c>
      <c r="AA92" s="109">
        <v>-1.0</v>
      </c>
      <c r="AB92" s="109">
        <v>-1.0</v>
      </c>
      <c r="AC92" s="109">
        <v>-1.0</v>
      </c>
      <c r="AD92" s="109">
        <v>-1.0</v>
      </c>
      <c r="AE92" s="109">
        <v>-1.0</v>
      </c>
      <c r="AF92" s="109">
        <v>0.2829</v>
      </c>
    </row>
    <row r="93">
      <c r="A93" s="108">
        <v>385.0</v>
      </c>
      <c r="B93" s="108">
        <v>249095.0</v>
      </c>
      <c r="C93" s="108">
        <v>142500.0</v>
      </c>
      <c r="D93" s="108">
        <v>391595.0</v>
      </c>
      <c r="E93" s="109">
        <v>0.3938</v>
      </c>
      <c r="F93" s="109">
        <v>-0.4809</v>
      </c>
      <c r="G93" s="108">
        <v>59500.0</v>
      </c>
      <c r="H93" s="108">
        <v>3500.0</v>
      </c>
      <c r="I93" s="108">
        <v>24500.0</v>
      </c>
      <c r="J93" s="108">
        <v>28000.0</v>
      </c>
      <c r="K93" s="108">
        <v>0.0</v>
      </c>
      <c r="L93" s="108">
        <v>0.0</v>
      </c>
      <c r="M93" s="108">
        <v>0.0</v>
      </c>
      <c r="N93" s="108">
        <v>0.0</v>
      </c>
      <c r="O93" s="108">
        <v>0.0</v>
      </c>
      <c r="P93" s="108">
        <v>0.0</v>
      </c>
      <c r="Q93" s="108">
        <v>0.0</v>
      </c>
      <c r="R93" s="108">
        <v>1000.0</v>
      </c>
      <c r="S93" s="108">
        <v>26000.0</v>
      </c>
      <c r="T93" s="109">
        <v>0.4912</v>
      </c>
      <c r="U93" s="109">
        <v>-0.1523</v>
      </c>
      <c r="V93" s="109">
        <v>-0.0541</v>
      </c>
      <c r="W93" s="109">
        <v>-0.4615</v>
      </c>
      <c r="X93" s="109">
        <v>-1.0</v>
      </c>
      <c r="Y93" s="109">
        <v>-1.0</v>
      </c>
      <c r="Z93" s="109">
        <v>-1.0</v>
      </c>
      <c r="AA93" s="109">
        <v>-1.0</v>
      </c>
      <c r="AB93" s="109">
        <v>-1.0</v>
      </c>
      <c r="AC93" s="109">
        <v>-1.0</v>
      </c>
      <c r="AD93" s="109">
        <v>-1.0</v>
      </c>
      <c r="AE93" s="109">
        <v>-0.9084</v>
      </c>
      <c r="AF93" s="109">
        <v>0.2829</v>
      </c>
    </row>
    <row r="94">
      <c r="A94" s="108">
        <v>390.0</v>
      </c>
      <c r="B94" s="108">
        <v>252330.0</v>
      </c>
      <c r="C94" s="108">
        <v>155000.0</v>
      </c>
      <c r="D94" s="108">
        <v>407330.0</v>
      </c>
      <c r="E94" s="109">
        <v>0.4119</v>
      </c>
      <c r="F94" s="109">
        <v>-0.4354</v>
      </c>
      <c r="G94" s="108">
        <v>63000.0</v>
      </c>
      <c r="H94" s="108">
        <v>4000.0</v>
      </c>
      <c r="I94" s="108">
        <v>28000.0</v>
      </c>
      <c r="J94" s="108">
        <v>32000.0</v>
      </c>
      <c r="K94" s="108">
        <v>0.0</v>
      </c>
      <c r="L94" s="108">
        <v>0.0</v>
      </c>
      <c r="M94" s="108">
        <v>0.0</v>
      </c>
      <c r="N94" s="108">
        <v>0.0</v>
      </c>
      <c r="O94" s="108">
        <v>0.0</v>
      </c>
      <c r="P94" s="108">
        <v>0.0</v>
      </c>
      <c r="Q94" s="108">
        <v>0.0</v>
      </c>
      <c r="R94" s="108">
        <v>2000.0</v>
      </c>
      <c r="S94" s="108">
        <v>26000.0</v>
      </c>
      <c r="T94" s="109">
        <v>0.5789</v>
      </c>
      <c r="U94" s="109">
        <v>-0.0312</v>
      </c>
      <c r="V94" s="109">
        <v>0.0811</v>
      </c>
      <c r="W94" s="109">
        <v>-0.3846</v>
      </c>
      <c r="X94" s="109">
        <v>-1.0</v>
      </c>
      <c r="Y94" s="109">
        <v>-1.0</v>
      </c>
      <c r="Z94" s="109">
        <v>-1.0</v>
      </c>
      <c r="AA94" s="109">
        <v>-1.0</v>
      </c>
      <c r="AB94" s="109">
        <v>-1.0</v>
      </c>
      <c r="AC94" s="109">
        <v>-1.0</v>
      </c>
      <c r="AD94" s="109">
        <v>-1.0</v>
      </c>
      <c r="AE94" s="109">
        <v>-0.8167</v>
      </c>
      <c r="AF94" s="109">
        <v>0.2829</v>
      </c>
    </row>
    <row r="95">
      <c r="A95" s="108">
        <v>395.0</v>
      </c>
      <c r="B95" s="108">
        <v>255565.0</v>
      </c>
      <c r="C95" s="108">
        <v>167500.0</v>
      </c>
      <c r="D95" s="108">
        <v>423065.0</v>
      </c>
      <c r="E95" s="109">
        <v>0.43</v>
      </c>
      <c r="F95" s="109">
        <v>-0.3898</v>
      </c>
      <c r="G95" s="108">
        <v>66500.0</v>
      </c>
      <c r="H95" s="108">
        <v>4500.0</v>
      </c>
      <c r="I95" s="108">
        <v>31500.0</v>
      </c>
      <c r="J95" s="108">
        <v>36000.0</v>
      </c>
      <c r="K95" s="108">
        <v>0.0</v>
      </c>
      <c r="L95" s="108">
        <v>0.0</v>
      </c>
      <c r="M95" s="108">
        <v>0.0</v>
      </c>
      <c r="N95" s="108">
        <v>0.0</v>
      </c>
      <c r="O95" s="108">
        <v>0.0</v>
      </c>
      <c r="P95" s="108">
        <v>0.0</v>
      </c>
      <c r="Q95" s="108">
        <v>0.0</v>
      </c>
      <c r="R95" s="108">
        <v>3000.0</v>
      </c>
      <c r="S95" s="108">
        <v>26000.0</v>
      </c>
      <c r="T95" s="109">
        <v>0.6667</v>
      </c>
      <c r="U95" s="109">
        <v>0.0899</v>
      </c>
      <c r="V95" s="109">
        <v>0.2162</v>
      </c>
      <c r="W95" s="109">
        <v>-0.3077</v>
      </c>
      <c r="X95" s="109">
        <v>-1.0</v>
      </c>
      <c r="Y95" s="109">
        <v>-1.0</v>
      </c>
      <c r="Z95" s="109">
        <v>-1.0</v>
      </c>
      <c r="AA95" s="109">
        <v>-1.0</v>
      </c>
      <c r="AB95" s="109">
        <v>-1.0</v>
      </c>
      <c r="AC95" s="109">
        <v>-1.0</v>
      </c>
      <c r="AD95" s="109">
        <v>-1.0</v>
      </c>
      <c r="AE95" s="109">
        <v>-0.7251</v>
      </c>
      <c r="AF95" s="109">
        <v>0.2829</v>
      </c>
    </row>
    <row r="96">
      <c r="A96" s="108">
        <v>400.0</v>
      </c>
      <c r="B96" s="108">
        <v>258800.0</v>
      </c>
      <c r="C96" s="108">
        <v>180000.0</v>
      </c>
      <c r="D96" s="108">
        <v>438800.0</v>
      </c>
      <c r="E96" s="109">
        <v>0.4481</v>
      </c>
      <c r="F96" s="109">
        <v>-0.3443</v>
      </c>
      <c r="G96" s="108">
        <v>70000.0</v>
      </c>
      <c r="H96" s="108">
        <v>5000.0</v>
      </c>
      <c r="I96" s="108">
        <v>35000.0</v>
      </c>
      <c r="J96" s="108">
        <v>40000.0</v>
      </c>
      <c r="K96" s="108">
        <v>0.0</v>
      </c>
      <c r="L96" s="108">
        <v>0.0</v>
      </c>
      <c r="M96" s="108">
        <v>0.0</v>
      </c>
      <c r="N96" s="108">
        <v>0.0</v>
      </c>
      <c r="O96" s="108">
        <v>0.0</v>
      </c>
      <c r="P96" s="108">
        <v>0.0</v>
      </c>
      <c r="Q96" s="108">
        <v>0.0</v>
      </c>
      <c r="R96" s="108">
        <v>4000.0</v>
      </c>
      <c r="S96" s="108">
        <v>26000.0</v>
      </c>
      <c r="T96" s="109">
        <v>0.7544</v>
      </c>
      <c r="U96" s="109">
        <v>0.2109</v>
      </c>
      <c r="V96" s="109">
        <v>0.3514</v>
      </c>
      <c r="W96" s="109">
        <v>-0.2308</v>
      </c>
      <c r="X96" s="109">
        <v>-1.0</v>
      </c>
      <c r="Y96" s="109">
        <v>-1.0</v>
      </c>
      <c r="Z96" s="109">
        <v>-1.0</v>
      </c>
      <c r="AA96" s="109">
        <v>-1.0</v>
      </c>
      <c r="AB96" s="109">
        <v>-1.0</v>
      </c>
      <c r="AC96" s="109">
        <v>-1.0</v>
      </c>
      <c r="AD96" s="109">
        <v>-1.0</v>
      </c>
      <c r="AE96" s="109">
        <v>-0.6335</v>
      </c>
      <c r="AF96" s="109">
        <v>0.2829</v>
      </c>
    </row>
    <row r="97">
      <c r="A97" s="108">
        <v>405.0</v>
      </c>
      <c r="B97" s="108">
        <v>262035.0</v>
      </c>
      <c r="C97" s="108">
        <v>203500.0</v>
      </c>
      <c r="D97" s="108">
        <v>465535.0</v>
      </c>
      <c r="E97" s="109">
        <v>0.4662</v>
      </c>
      <c r="F97" s="109">
        <v>-0.2587</v>
      </c>
      <c r="G97" s="108">
        <v>73500.0</v>
      </c>
      <c r="H97" s="108">
        <v>5500.0</v>
      </c>
      <c r="I97" s="108">
        <v>38500.0</v>
      </c>
      <c r="J97" s="108">
        <v>44000.0</v>
      </c>
      <c r="K97" s="108">
        <v>4000.0</v>
      </c>
      <c r="L97" s="108">
        <v>2000.0</v>
      </c>
      <c r="M97" s="108">
        <v>5000.0</v>
      </c>
      <c r="N97" s="108">
        <v>0.0</v>
      </c>
      <c r="O97" s="108">
        <v>0.0</v>
      </c>
      <c r="P97" s="108">
        <v>0.0</v>
      </c>
      <c r="Q97" s="108">
        <v>0.0</v>
      </c>
      <c r="R97" s="108">
        <v>5000.0</v>
      </c>
      <c r="S97" s="108">
        <v>26000.0</v>
      </c>
      <c r="T97" s="109">
        <v>0.8421</v>
      </c>
      <c r="U97" s="109">
        <v>0.332</v>
      </c>
      <c r="V97" s="109">
        <v>0.4865</v>
      </c>
      <c r="W97" s="109">
        <v>-0.1538</v>
      </c>
      <c r="X97" s="109">
        <v>-0.7222</v>
      </c>
      <c r="Y97" s="109">
        <v>-0.8936</v>
      </c>
      <c r="Z97" s="109">
        <v>-0.8864</v>
      </c>
      <c r="AA97" s="109">
        <v>-1.0</v>
      </c>
      <c r="AB97" s="109">
        <v>-1.0</v>
      </c>
      <c r="AC97" s="109">
        <v>-1.0</v>
      </c>
      <c r="AD97" s="109">
        <v>-1.0</v>
      </c>
      <c r="AE97" s="109">
        <v>-0.5418</v>
      </c>
      <c r="AF97" s="109">
        <v>0.2829</v>
      </c>
    </row>
    <row r="98">
      <c r="A98" s="108">
        <v>410.0</v>
      </c>
      <c r="B98" s="108">
        <v>265270.0</v>
      </c>
      <c r="C98" s="108">
        <v>227000.0</v>
      </c>
      <c r="D98" s="108">
        <v>492270.0</v>
      </c>
      <c r="E98" s="109">
        <v>0.4843</v>
      </c>
      <c r="F98" s="109">
        <v>-0.1731</v>
      </c>
      <c r="G98" s="108">
        <v>77000.0</v>
      </c>
      <c r="H98" s="108">
        <v>6000.0</v>
      </c>
      <c r="I98" s="108">
        <v>42000.0</v>
      </c>
      <c r="J98" s="108">
        <v>48000.0</v>
      </c>
      <c r="K98" s="108">
        <v>8000.0</v>
      </c>
      <c r="L98" s="108">
        <v>4000.0</v>
      </c>
      <c r="M98" s="108">
        <v>10000.0</v>
      </c>
      <c r="N98" s="108">
        <v>0.0</v>
      </c>
      <c r="O98" s="108">
        <v>0.0</v>
      </c>
      <c r="P98" s="108">
        <v>0.0</v>
      </c>
      <c r="Q98" s="108">
        <v>0.0</v>
      </c>
      <c r="R98" s="108">
        <v>6000.0</v>
      </c>
      <c r="S98" s="108">
        <v>26000.0</v>
      </c>
      <c r="T98" s="109">
        <v>0.9298</v>
      </c>
      <c r="U98" s="109">
        <v>0.4531</v>
      </c>
      <c r="V98" s="109">
        <v>0.6216</v>
      </c>
      <c r="W98" s="109">
        <v>-0.0769</v>
      </c>
      <c r="X98" s="109">
        <v>-0.4444</v>
      </c>
      <c r="Y98" s="109">
        <v>-0.7872</v>
      </c>
      <c r="Z98" s="109">
        <v>-0.7727</v>
      </c>
      <c r="AA98" s="109">
        <v>-1.0</v>
      </c>
      <c r="AB98" s="109">
        <v>-1.0</v>
      </c>
      <c r="AC98" s="109">
        <v>-1.0</v>
      </c>
      <c r="AD98" s="109">
        <v>-1.0</v>
      </c>
      <c r="AE98" s="109">
        <v>-0.4502</v>
      </c>
      <c r="AF98" s="109">
        <v>0.2829</v>
      </c>
    </row>
    <row r="99">
      <c r="A99" s="108">
        <v>415.0</v>
      </c>
      <c r="B99" s="108">
        <v>268505.0</v>
      </c>
      <c r="C99" s="108">
        <v>250500.0</v>
      </c>
      <c r="D99" s="108">
        <v>519005.0</v>
      </c>
      <c r="E99" s="109">
        <v>0.5024</v>
      </c>
      <c r="F99" s="109">
        <v>-0.0875</v>
      </c>
      <c r="G99" s="108">
        <v>80500.0</v>
      </c>
      <c r="H99" s="108">
        <v>6500.0</v>
      </c>
      <c r="I99" s="108">
        <v>45500.0</v>
      </c>
      <c r="J99" s="108">
        <v>52000.0</v>
      </c>
      <c r="K99" s="108">
        <v>12000.0</v>
      </c>
      <c r="L99" s="108">
        <v>6000.0</v>
      </c>
      <c r="M99" s="108">
        <v>15000.0</v>
      </c>
      <c r="N99" s="108">
        <v>0.0</v>
      </c>
      <c r="O99" s="108">
        <v>0.0</v>
      </c>
      <c r="P99" s="108">
        <v>0.0</v>
      </c>
      <c r="Q99" s="108">
        <v>0.0</v>
      </c>
      <c r="R99" s="108">
        <v>7000.0</v>
      </c>
      <c r="S99" s="108">
        <v>26000.0</v>
      </c>
      <c r="T99" s="109">
        <v>1.0175</v>
      </c>
      <c r="U99" s="109">
        <v>0.5742</v>
      </c>
      <c r="V99" s="109">
        <v>0.7568</v>
      </c>
      <c r="W99" s="109">
        <v>0.0</v>
      </c>
      <c r="X99" s="109">
        <v>-0.1667</v>
      </c>
      <c r="Y99" s="109">
        <v>-0.6809</v>
      </c>
      <c r="Z99" s="109">
        <v>-0.6591</v>
      </c>
      <c r="AA99" s="109">
        <v>-1.0</v>
      </c>
      <c r="AB99" s="109">
        <v>-1.0</v>
      </c>
      <c r="AC99" s="109">
        <v>-1.0</v>
      </c>
      <c r="AD99" s="109">
        <v>-1.0</v>
      </c>
      <c r="AE99" s="109">
        <v>-0.3586</v>
      </c>
      <c r="AF99" s="109">
        <v>0.2829</v>
      </c>
    </row>
    <row r="100">
      <c r="A100" s="108">
        <v>420.0</v>
      </c>
      <c r="B100" s="108">
        <v>271740.0</v>
      </c>
      <c r="C100" s="108">
        <v>274000.0</v>
      </c>
      <c r="D100" s="108">
        <v>545740.0</v>
      </c>
      <c r="E100" s="109">
        <v>0.5205</v>
      </c>
      <c r="F100" s="109">
        <v>-0.0019</v>
      </c>
      <c r="G100" s="108">
        <v>84000.0</v>
      </c>
      <c r="H100" s="108">
        <v>7000.0</v>
      </c>
      <c r="I100" s="108">
        <v>49000.0</v>
      </c>
      <c r="J100" s="108">
        <v>56000.0</v>
      </c>
      <c r="K100" s="108">
        <v>16000.0</v>
      </c>
      <c r="L100" s="108">
        <v>8000.0</v>
      </c>
      <c r="M100" s="108">
        <v>20000.0</v>
      </c>
      <c r="N100" s="108">
        <v>0.0</v>
      </c>
      <c r="O100" s="108">
        <v>0.0</v>
      </c>
      <c r="P100" s="108">
        <v>0.0</v>
      </c>
      <c r="Q100" s="108">
        <v>0.0</v>
      </c>
      <c r="R100" s="108">
        <v>8000.0</v>
      </c>
      <c r="S100" s="108">
        <v>26000.0</v>
      </c>
      <c r="T100" s="109">
        <v>1.1053</v>
      </c>
      <c r="U100" s="109">
        <v>0.6953</v>
      </c>
      <c r="V100" s="109">
        <v>0.8919</v>
      </c>
      <c r="W100" s="109">
        <v>0.0769</v>
      </c>
      <c r="X100" s="109">
        <v>0.1111</v>
      </c>
      <c r="Y100" s="109">
        <v>-0.5745</v>
      </c>
      <c r="Z100" s="109">
        <v>-0.5455</v>
      </c>
      <c r="AA100" s="109">
        <v>-1.0</v>
      </c>
      <c r="AB100" s="109">
        <v>-1.0</v>
      </c>
      <c r="AC100" s="109">
        <v>-1.0</v>
      </c>
      <c r="AD100" s="109">
        <v>-1.0</v>
      </c>
      <c r="AE100" s="109">
        <v>-0.2669</v>
      </c>
      <c r="AF100" s="109">
        <v>0.2829</v>
      </c>
    </row>
    <row r="101">
      <c r="A101" s="108">
        <v>425.0</v>
      </c>
      <c r="B101" s="108">
        <v>274975.0</v>
      </c>
      <c r="C101" s="108">
        <v>297500.0</v>
      </c>
      <c r="D101" s="108">
        <v>572475.0</v>
      </c>
      <c r="E101" s="109">
        <v>0.5386</v>
      </c>
      <c r="F101" s="109">
        <v>0.0838</v>
      </c>
      <c r="G101" s="108">
        <v>87500.0</v>
      </c>
      <c r="H101" s="108">
        <v>7500.0</v>
      </c>
      <c r="I101" s="108">
        <v>52500.0</v>
      </c>
      <c r="J101" s="108">
        <v>60000.0</v>
      </c>
      <c r="K101" s="108">
        <v>20000.0</v>
      </c>
      <c r="L101" s="108">
        <v>10000.0</v>
      </c>
      <c r="M101" s="108">
        <v>25000.0</v>
      </c>
      <c r="N101" s="108">
        <v>0.0</v>
      </c>
      <c r="O101" s="108">
        <v>0.0</v>
      </c>
      <c r="P101" s="108">
        <v>0.0</v>
      </c>
      <c r="Q101" s="108">
        <v>0.0</v>
      </c>
      <c r="R101" s="108">
        <v>9000.0</v>
      </c>
      <c r="S101" s="108">
        <v>26000.0</v>
      </c>
      <c r="T101" s="109">
        <v>1.193</v>
      </c>
      <c r="U101" s="109">
        <v>0.8164</v>
      </c>
      <c r="V101" s="109">
        <v>1.027</v>
      </c>
      <c r="W101" s="109">
        <v>0.1538</v>
      </c>
      <c r="X101" s="109">
        <v>0.3889</v>
      </c>
      <c r="Y101" s="109">
        <v>-0.4681</v>
      </c>
      <c r="Z101" s="109">
        <v>-0.4318</v>
      </c>
      <c r="AA101" s="109">
        <v>-1.0</v>
      </c>
      <c r="AB101" s="109">
        <v>-1.0</v>
      </c>
      <c r="AC101" s="109">
        <v>-1.0</v>
      </c>
      <c r="AD101" s="109">
        <v>-1.0</v>
      </c>
      <c r="AE101" s="109">
        <v>-0.1753</v>
      </c>
      <c r="AF101" s="109">
        <v>0.2829</v>
      </c>
    </row>
    <row r="102">
      <c r="A102" s="108">
        <v>430.0</v>
      </c>
      <c r="B102" s="108">
        <v>278210.0</v>
      </c>
      <c r="C102" s="108">
        <v>321000.0</v>
      </c>
      <c r="D102" s="108">
        <v>599210.0</v>
      </c>
      <c r="E102" s="109">
        <v>0.5567</v>
      </c>
      <c r="F102" s="109">
        <v>0.1694</v>
      </c>
      <c r="G102" s="108">
        <v>91000.0</v>
      </c>
      <c r="H102" s="108">
        <v>8000.0</v>
      </c>
      <c r="I102" s="108">
        <v>56000.0</v>
      </c>
      <c r="J102" s="108">
        <v>64000.0</v>
      </c>
      <c r="K102" s="108">
        <v>24000.0</v>
      </c>
      <c r="L102" s="108">
        <v>12000.0</v>
      </c>
      <c r="M102" s="108">
        <v>30000.0</v>
      </c>
      <c r="N102" s="108">
        <v>0.0</v>
      </c>
      <c r="O102" s="108">
        <v>0.0</v>
      </c>
      <c r="P102" s="108">
        <v>0.0</v>
      </c>
      <c r="Q102" s="108">
        <v>0.0</v>
      </c>
      <c r="R102" s="108">
        <v>10000.0</v>
      </c>
      <c r="S102" s="108">
        <v>26000.0</v>
      </c>
      <c r="T102" s="109">
        <v>1.2807</v>
      </c>
      <c r="U102" s="109">
        <v>0.9375</v>
      </c>
      <c r="V102" s="109">
        <v>1.1622</v>
      </c>
      <c r="W102" s="109">
        <v>0.2308</v>
      </c>
      <c r="X102" s="109">
        <v>0.6667</v>
      </c>
      <c r="Y102" s="109">
        <v>-0.3617</v>
      </c>
      <c r="Z102" s="109">
        <v>-0.3182</v>
      </c>
      <c r="AA102" s="109">
        <v>-1.0</v>
      </c>
      <c r="AB102" s="109">
        <v>-1.0</v>
      </c>
      <c r="AC102" s="109">
        <v>-1.0</v>
      </c>
      <c r="AD102" s="109">
        <v>-1.0</v>
      </c>
      <c r="AE102" s="109">
        <v>-0.0837</v>
      </c>
      <c r="AF102" s="109">
        <v>0.2829</v>
      </c>
    </row>
    <row r="103">
      <c r="A103" s="108">
        <v>435.0</v>
      </c>
      <c r="B103" s="108">
        <v>281445.0</v>
      </c>
      <c r="C103" s="108">
        <v>344500.0</v>
      </c>
      <c r="D103" s="108">
        <v>625945.0</v>
      </c>
      <c r="E103" s="109">
        <v>0.5748</v>
      </c>
      <c r="F103" s="109">
        <v>0.255</v>
      </c>
      <c r="G103" s="108">
        <v>94500.0</v>
      </c>
      <c r="H103" s="108">
        <v>8500.0</v>
      </c>
      <c r="I103" s="108">
        <v>59500.0</v>
      </c>
      <c r="J103" s="108">
        <v>68000.0</v>
      </c>
      <c r="K103" s="108">
        <v>28000.0</v>
      </c>
      <c r="L103" s="108">
        <v>14000.0</v>
      </c>
      <c r="M103" s="108">
        <v>35000.0</v>
      </c>
      <c r="N103" s="108">
        <v>0.0</v>
      </c>
      <c r="O103" s="108">
        <v>0.0</v>
      </c>
      <c r="P103" s="108">
        <v>0.0</v>
      </c>
      <c r="Q103" s="108">
        <v>0.0</v>
      </c>
      <c r="R103" s="108">
        <v>11000.0</v>
      </c>
      <c r="S103" s="108">
        <v>26000.0</v>
      </c>
      <c r="T103" s="109">
        <v>1.3684</v>
      </c>
      <c r="U103" s="109">
        <v>1.0586</v>
      </c>
      <c r="V103" s="109">
        <v>1.2973</v>
      </c>
      <c r="W103" s="109">
        <v>0.3077</v>
      </c>
      <c r="X103" s="109">
        <v>0.9444</v>
      </c>
      <c r="Y103" s="109">
        <v>-0.2553</v>
      </c>
      <c r="Z103" s="109">
        <v>-0.2045</v>
      </c>
      <c r="AA103" s="109">
        <v>-1.0</v>
      </c>
      <c r="AB103" s="109">
        <v>-1.0</v>
      </c>
      <c r="AC103" s="109">
        <v>-1.0</v>
      </c>
      <c r="AD103" s="109">
        <v>-1.0</v>
      </c>
      <c r="AE103" s="109">
        <v>0.008</v>
      </c>
      <c r="AF103" s="109">
        <v>0.2829</v>
      </c>
    </row>
    <row r="104">
      <c r="A104" s="108">
        <v>440.0</v>
      </c>
      <c r="B104" s="108">
        <v>284680.0</v>
      </c>
      <c r="C104" s="108">
        <v>368000.0</v>
      </c>
      <c r="D104" s="108">
        <v>652680.0</v>
      </c>
      <c r="E104" s="109">
        <v>0.5929</v>
      </c>
      <c r="F104" s="109">
        <v>0.3406</v>
      </c>
      <c r="G104" s="108">
        <v>98000.0</v>
      </c>
      <c r="H104" s="108">
        <v>9000.0</v>
      </c>
      <c r="I104" s="108">
        <v>63000.0</v>
      </c>
      <c r="J104" s="108">
        <v>72000.0</v>
      </c>
      <c r="K104" s="108">
        <v>32000.0</v>
      </c>
      <c r="L104" s="108">
        <v>16000.0</v>
      </c>
      <c r="M104" s="108">
        <v>40000.0</v>
      </c>
      <c r="N104" s="108">
        <v>0.0</v>
      </c>
      <c r="O104" s="108">
        <v>0.0</v>
      </c>
      <c r="P104" s="108">
        <v>0.0</v>
      </c>
      <c r="Q104" s="108">
        <v>0.0</v>
      </c>
      <c r="R104" s="108">
        <v>12000.0</v>
      </c>
      <c r="S104" s="108">
        <v>26000.0</v>
      </c>
      <c r="T104" s="109">
        <v>1.4561</v>
      </c>
      <c r="U104" s="109">
        <v>1.1797</v>
      </c>
      <c r="V104" s="109">
        <v>1.4324</v>
      </c>
      <c r="W104" s="109">
        <v>0.3846</v>
      </c>
      <c r="X104" s="109">
        <v>1.2222</v>
      </c>
      <c r="Y104" s="109">
        <v>-0.1489</v>
      </c>
      <c r="Z104" s="109">
        <v>-0.0909</v>
      </c>
      <c r="AA104" s="109">
        <v>-1.0</v>
      </c>
      <c r="AB104" s="109">
        <v>-1.0</v>
      </c>
      <c r="AC104" s="109">
        <v>-1.0</v>
      </c>
      <c r="AD104" s="109">
        <v>-1.0</v>
      </c>
      <c r="AE104" s="109">
        <v>0.0996</v>
      </c>
      <c r="AF104" s="109">
        <v>0.2829</v>
      </c>
    </row>
    <row r="105">
      <c r="A105" s="108">
        <v>445.0</v>
      </c>
      <c r="B105" s="108">
        <v>287915.0</v>
      </c>
      <c r="C105" s="108">
        <v>388000.0</v>
      </c>
      <c r="D105" s="108">
        <v>675915.0</v>
      </c>
      <c r="E105" s="109">
        <v>0.611</v>
      </c>
      <c r="F105" s="109">
        <v>0.4134</v>
      </c>
      <c r="G105" s="108">
        <v>98000.0</v>
      </c>
      <c r="H105" s="108">
        <v>9500.0</v>
      </c>
      <c r="I105" s="108">
        <v>66500.0</v>
      </c>
      <c r="J105" s="108">
        <v>76000.0</v>
      </c>
      <c r="K105" s="108">
        <v>36000.0</v>
      </c>
      <c r="L105" s="108">
        <v>18000.0</v>
      </c>
      <c r="M105" s="108">
        <v>45000.0</v>
      </c>
      <c r="N105" s="108">
        <v>0.0</v>
      </c>
      <c r="O105" s="108">
        <v>0.0</v>
      </c>
      <c r="P105" s="108">
        <v>0.0</v>
      </c>
      <c r="Q105" s="108">
        <v>0.0</v>
      </c>
      <c r="R105" s="108">
        <v>13000.0</v>
      </c>
      <c r="S105" s="108">
        <v>26000.0</v>
      </c>
      <c r="T105" s="109">
        <v>1.4561</v>
      </c>
      <c r="U105" s="109">
        <v>1.3008</v>
      </c>
      <c r="V105" s="109">
        <v>1.5676</v>
      </c>
      <c r="W105" s="109">
        <v>0.4615</v>
      </c>
      <c r="X105" s="109">
        <v>1.5</v>
      </c>
      <c r="Y105" s="109">
        <v>-0.0426</v>
      </c>
      <c r="Z105" s="109">
        <v>0.0227</v>
      </c>
      <c r="AA105" s="109">
        <v>-1.0</v>
      </c>
      <c r="AB105" s="109">
        <v>-1.0</v>
      </c>
      <c r="AC105" s="109">
        <v>-1.0</v>
      </c>
      <c r="AD105" s="109">
        <v>-1.0</v>
      </c>
      <c r="AE105" s="109">
        <v>0.1912</v>
      </c>
      <c r="AF105" s="109">
        <v>0.2829</v>
      </c>
    </row>
    <row r="106">
      <c r="A106" s="108">
        <v>450.0</v>
      </c>
      <c r="B106" s="108">
        <v>291150.0</v>
      </c>
      <c r="C106" s="108">
        <v>408000.0</v>
      </c>
      <c r="D106" s="108">
        <v>699150.0</v>
      </c>
      <c r="E106" s="109">
        <v>0.6292</v>
      </c>
      <c r="F106" s="109">
        <v>0.4863</v>
      </c>
      <c r="G106" s="108">
        <v>98000.0</v>
      </c>
      <c r="H106" s="108">
        <v>10000.0</v>
      </c>
      <c r="I106" s="108">
        <v>70000.0</v>
      </c>
      <c r="J106" s="108">
        <v>80000.0</v>
      </c>
      <c r="K106" s="108">
        <v>40000.0</v>
      </c>
      <c r="L106" s="108">
        <v>20000.0</v>
      </c>
      <c r="M106" s="108">
        <v>50000.0</v>
      </c>
      <c r="N106" s="108">
        <v>0.0</v>
      </c>
      <c r="O106" s="108">
        <v>0.0</v>
      </c>
      <c r="P106" s="108">
        <v>0.0</v>
      </c>
      <c r="Q106" s="108">
        <v>0.0</v>
      </c>
      <c r="R106" s="108">
        <v>14000.0</v>
      </c>
      <c r="S106" s="108">
        <v>26000.0</v>
      </c>
      <c r="T106" s="109">
        <v>1.4561</v>
      </c>
      <c r="U106" s="109">
        <v>1.4219</v>
      </c>
      <c r="V106" s="109">
        <v>1.7027</v>
      </c>
      <c r="W106" s="109">
        <v>0.5385</v>
      </c>
      <c r="X106" s="109">
        <v>1.7778</v>
      </c>
      <c r="Y106" s="109">
        <v>0.0638</v>
      </c>
      <c r="Z106" s="109">
        <v>0.1364</v>
      </c>
      <c r="AA106" s="109">
        <v>-1.0</v>
      </c>
      <c r="AB106" s="109">
        <v>-1.0</v>
      </c>
      <c r="AC106" s="109">
        <v>-1.0</v>
      </c>
      <c r="AD106" s="109">
        <v>-1.0</v>
      </c>
      <c r="AE106" s="109">
        <v>0.2829</v>
      </c>
      <c r="AF106" s="109">
        <v>0.2829</v>
      </c>
    </row>
    <row r="107">
      <c r="A107" s="108">
        <v>455.0</v>
      </c>
      <c r="B107" s="108">
        <v>294385.0</v>
      </c>
      <c r="C107" s="108">
        <v>418000.0</v>
      </c>
      <c r="D107" s="108">
        <v>712385.0</v>
      </c>
      <c r="E107" s="109">
        <v>0.6473</v>
      </c>
      <c r="F107" s="109">
        <v>0.5227</v>
      </c>
      <c r="G107" s="108">
        <v>98000.0</v>
      </c>
      <c r="H107" s="108">
        <v>10000.0</v>
      </c>
      <c r="I107" s="108">
        <v>70000.0</v>
      </c>
      <c r="J107" s="108">
        <v>84000.0</v>
      </c>
      <c r="K107" s="108">
        <v>40000.0</v>
      </c>
      <c r="L107" s="108">
        <v>22000.0</v>
      </c>
      <c r="M107" s="108">
        <v>55000.0</v>
      </c>
      <c r="N107" s="108">
        <v>0.0</v>
      </c>
      <c r="O107" s="108">
        <v>0.0</v>
      </c>
      <c r="P107" s="108">
        <v>0.0</v>
      </c>
      <c r="Q107" s="108">
        <v>0.0</v>
      </c>
      <c r="R107" s="108">
        <v>14000.0</v>
      </c>
      <c r="S107" s="108">
        <v>25000.0</v>
      </c>
      <c r="T107" s="109">
        <v>1.4561</v>
      </c>
      <c r="U107" s="109">
        <v>1.4219</v>
      </c>
      <c r="V107" s="109">
        <v>1.7027</v>
      </c>
      <c r="W107" s="109">
        <v>0.6154</v>
      </c>
      <c r="X107" s="109">
        <v>1.7778</v>
      </c>
      <c r="Y107" s="109">
        <v>0.1702</v>
      </c>
      <c r="Z107" s="109">
        <v>0.25</v>
      </c>
      <c r="AA107" s="109">
        <v>-1.0</v>
      </c>
      <c r="AB107" s="109">
        <v>-1.0</v>
      </c>
      <c r="AC107" s="109">
        <v>-1.0</v>
      </c>
      <c r="AD107" s="109">
        <v>-1.0</v>
      </c>
      <c r="AE107" s="109">
        <v>0.2829</v>
      </c>
      <c r="AF107" s="109">
        <v>0.2335</v>
      </c>
    </row>
    <row r="108">
      <c r="A108" s="108">
        <v>460.0</v>
      </c>
      <c r="B108" s="108">
        <v>297620.0</v>
      </c>
      <c r="C108" s="108">
        <v>428000.0</v>
      </c>
      <c r="D108" s="108">
        <v>725620.0</v>
      </c>
      <c r="E108" s="109">
        <v>0.6654</v>
      </c>
      <c r="F108" s="109">
        <v>0.5591</v>
      </c>
      <c r="G108" s="108">
        <v>98000.0</v>
      </c>
      <c r="H108" s="108">
        <v>10000.0</v>
      </c>
      <c r="I108" s="108">
        <v>70000.0</v>
      </c>
      <c r="J108" s="108">
        <v>88000.0</v>
      </c>
      <c r="K108" s="108">
        <v>40000.0</v>
      </c>
      <c r="L108" s="108">
        <v>24000.0</v>
      </c>
      <c r="M108" s="108">
        <v>60000.0</v>
      </c>
      <c r="N108" s="108">
        <v>0.0</v>
      </c>
      <c r="O108" s="108">
        <v>0.0</v>
      </c>
      <c r="P108" s="108">
        <v>0.0</v>
      </c>
      <c r="Q108" s="108">
        <v>0.0</v>
      </c>
      <c r="R108" s="108">
        <v>14000.0</v>
      </c>
      <c r="S108" s="108">
        <v>24000.0</v>
      </c>
      <c r="T108" s="109">
        <v>1.4561</v>
      </c>
      <c r="U108" s="109">
        <v>1.4219</v>
      </c>
      <c r="V108" s="109">
        <v>1.7027</v>
      </c>
      <c r="W108" s="109">
        <v>0.6923</v>
      </c>
      <c r="X108" s="109">
        <v>1.7778</v>
      </c>
      <c r="Y108" s="109">
        <v>0.2766</v>
      </c>
      <c r="Z108" s="109">
        <v>0.3636</v>
      </c>
      <c r="AA108" s="109">
        <v>-1.0</v>
      </c>
      <c r="AB108" s="109">
        <v>-1.0</v>
      </c>
      <c r="AC108" s="109">
        <v>-1.0</v>
      </c>
      <c r="AD108" s="109">
        <v>-1.0</v>
      </c>
      <c r="AE108" s="109">
        <v>0.2829</v>
      </c>
      <c r="AF108" s="109">
        <v>0.1842</v>
      </c>
    </row>
    <row r="109">
      <c r="A109" s="108">
        <v>465.0</v>
      </c>
      <c r="B109" s="108">
        <v>300855.0</v>
      </c>
      <c r="C109" s="108">
        <v>438000.0</v>
      </c>
      <c r="D109" s="108">
        <v>738855.0</v>
      </c>
      <c r="E109" s="109">
        <v>0.6835</v>
      </c>
      <c r="F109" s="109">
        <v>0.5956</v>
      </c>
      <c r="G109" s="108">
        <v>98000.0</v>
      </c>
      <c r="H109" s="108">
        <v>10000.0</v>
      </c>
      <c r="I109" s="108">
        <v>70000.0</v>
      </c>
      <c r="J109" s="108">
        <v>92000.0</v>
      </c>
      <c r="K109" s="108">
        <v>40000.0</v>
      </c>
      <c r="L109" s="108">
        <v>26000.0</v>
      </c>
      <c r="M109" s="108">
        <v>65000.0</v>
      </c>
      <c r="N109" s="108">
        <v>0.0</v>
      </c>
      <c r="O109" s="108">
        <v>0.0</v>
      </c>
      <c r="P109" s="108">
        <v>0.0</v>
      </c>
      <c r="Q109" s="108">
        <v>0.0</v>
      </c>
      <c r="R109" s="108">
        <v>14000.0</v>
      </c>
      <c r="S109" s="108">
        <v>23000.0</v>
      </c>
      <c r="T109" s="109">
        <v>1.4561</v>
      </c>
      <c r="U109" s="109">
        <v>1.4219</v>
      </c>
      <c r="V109" s="109">
        <v>1.7027</v>
      </c>
      <c r="W109" s="109">
        <v>0.7692</v>
      </c>
      <c r="X109" s="109">
        <v>1.7778</v>
      </c>
      <c r="Y109" s="109">
        <v>0.383</v>
      </c>
      <c r="Z109" s="109">
        <v>0.4773</v>
      </c>
      <c r="AA109" s="109">
        <v>-1.0</v>
      </c>
      <c r="AB109" s="109">
        <v>-1.0</v>
      </c>
      <c r="AC109" s="109">
        <v>-1.0</v>
      </c>
      <c r="AD109" s="109">
        <v>-1.0</v>
      </c>
      <c r="AE109" s="109">
        <v>0.2829</v>
      </c>
      <c r="AF109" s="109">
        <v>0.1348</v>
      </c>
    </row>
    <row r="110">
      <c r="A110" s="108">
        <v>470.0</v>
      </c>
      <c r="B110" s="108">
        <v>304090.0</v>
      </c>
      <c r="C110" s="108">
        <v>448000.0</v>
      </c>
      <c r="D110" s="108">
        <v>752090.0</v>
      </c>
      <c r="E110" s="109">
        <v>0.7016</v>
      </c>
      <c r="F110" s="109">
        <v>0.632</v>
      </c>
      <c r="G110" s="108">
        <v>98000.0</v>
      </c>
      <c r="H110" s="108">
        <v>10000.0</v>
      </c>
      <c r="I110" s="108">
        <v>70000.0</v>
      </c>
      <c r="J110" s="108">
        <v>96000.0</v>
      </c>
      <c r="K110" s="108">
        <v>40000.0</v>
      </c>
      <c r="L110" s="108">
        <v>28000.0</v>
      </c>
      <c r="M110" s="108">
        <v>70000.0</v>
      </c>
      <c r="N110" s="108">
        <v>0.0</v>
      </c>
      <c r="O110" s="108">
        <v>0.0</v>
      </c>
      <c r="P110" s="108">
        <v>0.0</v>
      </c>
      <c r="Q110" s="108">
        <v>0.0</v>
      </c>
      <c r="R110" s="108">
        <v>14000.0</v>
      </c>
      <c r="S110" s="108">
        <v>22000.0</v>
      </c>
      <c r="T110" s="109">
        <v>1.4561</v>
      </c>
      <c r="U110" s="109">
        <v>1.4219</v>
      </c>
      <c r="V110" s="109">
        <v>1.7027</v>
      </c>
      <c r="W110" s="109">
        <v>0.8462</v>
      </c>
      <c r="X110" s="109">
        <v>1.7778</v>
      </c>
      <c r="Y110" s="109">
        <v>0.4894</v>
      </c>
      <c r="Z110" s="109">
        <v>0.5909</v>
      </c>
      <c r="AA110" s="109">
        <v>-1.0</v>
      </c>
      <c r="AB110" s="109">
        <v>-1.0</v>
      </c>
      <c r="AC110" s="109">
        <v>-1.0</v>
      </c>
      <c r="AD110" s="109">
        <v>-1.0</v>
      </c>
      <c r="AE110" s="109">
        <v>0.2829</v>
      </c>
      <c r="AF110" s="109">
        <v>0.0855</v>
      </c>
    </row>
    <row r="111">
      <c r="A111" s="108">
        <v>475.0</v>
      </c>
      <c r="B111" s="108">
        <v>307325.0</v>
      </c>
      <c r="C111" s="108">
        <v>458000.0</v>
      </c>
      <c r="D111" s="108">
        <v>765325.0</v>
      </c>
      <c r="E111" s="109">
        <v>0.7197</v>
      </c>
      <c r="F111" s="109">
        <v>0.6684</v>
      </c>
      <c r="G111" s="108">
        <v>98000.0</v>
      </c>
      <c r="H111" s="108">
        <v>10000.0</v>
      </c>
      <c r="I111" s="108">
        <v>70000.0</v>
      </c>
      <c r="J111" s="108">
        <v>100000.0</v>
      </c>
      <c r="K111" s="108">
        <v>40000.0</v>
      </c>
      <c r="L111" s="108">
        <v>30000.0</v>
      </c>
      <c r="M111" s="108">
        <v>75000.0</v>
      </c>
      <c r="N111" s="108">
        <v>0.0</v>
      </c>
      <c r="O111" s="108">
        <v>0.0</v>
      </c>
      <c r="P111" s="108">
        <v>0.0</v>
      </c>
      <c r="Q111" s="108">
        <v>0.0</v>
      </c>
      <c r="R111" s="108">
        <v>14000.0</v>
      </c>
      <c r="S111" s="108">
        <v>21000.0</v>
      </c>
      <c r="T111" s="109">
        <v>1.4561</v>
      </c>
      <c r="U111" s="109">
        <v>1.4219</v>
      </c>
      <c r="V111" s="109">
        <v>1.7027</v>
      </c>
      <c r="W111" s="109">
        <v>0.9231</v>
      </c>
      <c r="X111" s="109">
        <v>1.7778</v>
      </c>
      <c r="Y111" s="109">
        <v>0.5957</v>
      </c>
      <c r="Z111" s="109">
        <v>0.7045</v>
      </c>
      <c r="AA111" s="109">
        <v>-1.0</v>
      </c>
      <c r="AB111" s="109">
        <v>-1.0</v>
      </c>
      <c r="AC111" s="109">
        <v>-1.0</v>
      </c>
      <c r="AD111" s="109">
        <v>-1.0</v>
      </c>
      <c r="AE111" s="109">
        <v>0.2829</v>
      </c>
      <c r="AF111" s="109">
        <v>0.0362</v>
      </c>
    </row>
    <row r="112">
      <c r="A112" s="108">
        <v>480.0</v>
      </c>
      <c r="B112" s="108">
        <v>310560.0</v>
      </c>
      <c r="C112" s="108">
        <v>468000.0</v>
      </c>
      <c r="D112" s="108">
        <v>778560.0</v>
      </c>
      <c r="E112" s="109">
        <v>0.7378</v>
      </c>
      <c r="F112" s="109">
        <v>0.7049</v>
      </c>
      <c r="G112" s="108">
        <v>98000.0</v>
      </c>
      <c r="H112" s="108">
        <v>10000.0</v>
      </c>
      <c r="I112" s="108">
        <v>70000.0</v>
      </c>
      <c r="J112" s="108">
        <v>104000.0</v>
      </c>
      <c r="K112" s="108">
        <v>40000.0</v>
      </c>
      <c r="L112" s="108">
        <v>32000.0</v>
      </c>
      <c r="M112" s="108">
        <v>80000.0</v>
      </c>
      <c r="N112" s="108">
        <v>0.0</v>
      </c>
      <c r="O112" s="108">
        <v>0.0</v>
      </c>
      <c r="P112" s="108">
        <v>0.0</v>
      </c>
      <c r="Q112" s="108">
        <v>0.0</v>
      </c>
      <c r="R112" s="108">
        <v>14000.0</v>
      </c>
      <c r="S112" s="108">
        <v>20000.0</v>
      </c>
      <c r="T112" s="109">
        <v>1.4561</v>
      </c>
      <c r="U112" s="109">
        <v>1.4219</v>
      </c>
      <c r="V112" s="109">
        <v>1.7027</v>
      </c>
      <c r="W112" s="109">
        <v>1.0</v>
      </c>
      <c r="X112" s="109">
        <v>1.7778</v>
      </c>
      <c r="Y112" s="109">
        <v>0.7021</v>
      </c>
      <c r="Z112" s="109">
        <v>0.8182</v>
      </c>
      <c r="AA112" s="109">
        <v>-1.0</v>
      </c>
      <c r="AB112" s="109">
        <v>-1.0</v>
      </c>
      <c r="AC112" s="109">
        <v>-1.0</v>
      </c>
      <c r="AD112" s="109">
        <v>-1.0</v>
      </c>
      <c r="AE112" s="109">
        <v>0.2829</v>
      </c>
      <c r="AF112" s="109">
        <v>-0.0132</v>
      </c>
    </row>
    <row r="113">
      <c r="A113" s="108">
        <v>485.0</v>
      </c>
      <c r="B113" s="108">
        <v>313795.0</v>
      </c>
      <c r="C113" s="108">
        <v>483000.0</v>
      </c>
      <c r="D113" s="108">
        <v>796795.0</v>
      </c>
      <c r="E113" s="109">
        <v>0.7559</v>
      </c>
      <c r="F113" s="109">
        <v>0.7595</v>
      </c>
      <c r="G113" s="108">
        <v>98000.0</v>
      </c>
      <c r="H113" s="108">
        <v>10000.0</v>
      </c>
      <c r="I113" s="108">
        <v>70000.0</v>
      </c>
      <c r="J113" s="108">
        <v>108000.0</v>
      </c>
      <c r="K113" s="108">
        <v>40000.0</v>
      </c>
      <c r="L113" s="108">
        <v>34000.0</v>
      </c>
      <c r="M113" s="108">
        <v>85000.0</v>
      </c>
      <c r="N113" s="108">
        <v>5000.0</v>
      </c>
      <c r="O113" s="108">
        <v>0.0</v>
      </c>
      <c r="P113" s="108">
        <v>0.0</v>
      </c>
      <c r="Q113" s="108">
        <v>0.0</v>
      </c>
      <c r="R113" s="108">
        <v>14000.0</v>
      </c>
      <c r="S113" s="108">
        <v>19000.0</v>
      </c>
      <c r="T113" s="109">
        <v>1.4561</v>
      </c>
      <c r="U113" s="109">
        <v>1.4219</v>
      </c>
      <c r="V113" s="109">
        <v>1.7027</v>
      </c>
      <c r="W113" s="109">
        <v>1.0769</v>
      </c>
      <c r="X113" s="109">
        <v>1.7778</v>
      </c>
      <c r="Y113" s="109">
        <v>0.8085</v>
      </c>
      <c r="Z113" s="109">
        <v>0.9318</v>
      </c>
      <c r="AA113" s="109">
        <v>0.7857</v>
      </c>
      <c r="AB113" s="109">
        <v>-1.0</v>
      </c>
      <c r="AC113" s="109">
        <v>-1.0</v>
      </c>
      <c r="AD113" s="109">
        <v>-1.0</v>
      </c>
      <c r="AE113" s="109">
        <v>0.2829</v>
      </c>
      <c r="AF113" s="109">
        <v>-0.0625</v>
      </c>
    </row>
    <row r="114">
      <c r="A114" s="108">
        <v>490.0</v>
      </c>
      <c r="B114" s="108">
        <v>317030.0</v>
      </c>
      <c r="C114" s="108">
        <v>498000.0</v>
      </c>
      <c r="D114" s="108">
        <v>815030.0</v>
      </c>
      <c r="E114" s="109">
        <v>0.774</v>
      </c>
      <c r="F114" s="109">
        <v>0.8141</v>
      </c>
      <c r="G114" s="108">
        <v>98000.0</v>
      </c>
      <c r="H114" s="108">
        <v>10000.0</v>
      </c>
      <c r="I114" s="108">
        <v>70000.0</v>
      </c>
      <c r="J114" s="108">
        <v>112000.0</v>
      </c>
      <c r="K114" s="108">
        <v>40000.0</v>
      </c>
      <c r="L114" s="108">
        <v>36000.0</v>
      </c>
      <c r="M114" s="108">
        <v>90000.0</v>
      </c>
      <c r="N114" s="108">
        <v>10000.0</v>
      </c>
      <c r="O114" s="108">
        <v>0.0</v>
      </c>
      <c r="P114" s="108">
        <v>0.0</v>
      </c>
      <c r="Q114" s="108">
        <v>0.0</v>
      </c>
      <c r="R114" s="108">
        <v>14000.0</v>
      </c>
      <c r="S114" s="108">
        <v>18000.0</v>
      </c>
      <c r="T114" s="109">
        <v>1.4561</v>
      </c>
      <c r="U114" s="109">
        <v>1.4219</v>
      </c>
      <c r="V114" s="109">
        <v>1.7027</v>
      </c>
      <c r="W114" s="109">
        <v>1.1538</v>
      </c>
      <c r="X114" s="109">
        <v>1.7778</v>
      </c>
      <c r="Y114" s="109">
        <v>0.9149</v>
      </c>
      <c r="Z114" s="109">
        <v>1.0455</v>
      </c>
      <c r="AA114" s="109">
        <v>2.5714</v>
      </c>
      <c r="AB114" s="109">
        <v>-1.0</v>
      </c>
      <c r="AC114" s="109">
        <v>-1.0</v>
      </c>
      <c r="AD114" s="109">
        <v>-1.0</v>
      </c>
      <c r="AE114" s="109">
        <v>0.2829</v>
      </c>
      <c r="AF114" s="109">
        <v>-0.1119</v>
      </c>
    </row>
    <row r="115">
      <c r="A115" s="108">
        <v>495.0</v>
      </c>
      <c r="B115" s="108">
        <v>320265.0</v>
      </c>
      <c r="C115" s="108">
        <v>508000.0</v>
      </c>
      <c r="D115" s="108">
        <v>828265.0</v>
      </c>
      <c r="E115" s="109">
        <v>0.7921</v>
      </c>
      <c r="F115" s="109">
        <v>0.8506</v>
      </c>
      <c r="G115" s="108">
        <v>98000.0</v>
      </c>
      <c r="H115" s="108">
        <v>10000.0</v>
      </c>
      <c r="I115" s="108">
        <v>70000.0</v>
      </c>
      <c r="J115" s="108">
        <v>116000.0</v>
      </c>
      <c r="K115" s="108">
        <v>40000.0</v>
      </c>
      <c r="L115" s="108">
        <v>38000.0</v>
      </c>
      <c r="M115" s="108">
        <v>95000.0</v>
      </c>
      <c r="N115" s="108">
        <v>10000.0</v>
      </c>
      <c r="O115" s="108">
        <v>0.0</v>
      </c>
      <c r="P115" s="108">
        <v>0.0</v>
      </c>
      <c r="Q115" s="108">
        <v>0.0</v>
      </c>
      <c r="R115" s="108">
        <v>14000.0</v>
      </c>
      <c r="S115" s="108">
        <v>17000.0</v>
      </c>
      <c r="T115" s="109">
        <v>1.4561</v>
      </c>
      <c r="U115" s="109">
        <v>1.4219</v>
      </c>
      <c r="V115" s="109">
        <v>1.7027</v>
      </c>
      <c r="W115" s="109">
        <v>1.2308</v>
      </c>
      <c r="X115" s="109">
        <v>1.7778</v>
      </c>
      <c r="Y115" s="109">
        <v>1.0213</v>
      </c>
      <c r="Z115" s="109">
        <v>1.1591</v>
      </c>
      <c r="AA115" s="109">
        <v>2.5714</v>
      </c>
      <c r="AB115" s="109">
        <v>-1.0</v>
      </c>
      <c r="AC115" s="109">
        <v>-1.0</v>
      </c>
      <c r="AD115" s="109">
        <v>-1.0</v>
      </c>
      <c r="AE115" s="109">
        <v>0.2829</v>
      </c>
      <c r="AF115" s="109">
        <v>-0.1612</v>
      </c>
    </row>
    <row r="116">
      <c r="A116" s="108">
        <v>500.0</v>
      </c>
      <c r="B116" s="108">
        <v>323500.0</v>
      </c>
      <c r="C116" s="108">
        <v>518000.0</v>
      </c>
      <c r="D116" s="108">
        <v>841500.0</v>
      </c>
      <c r="E116" s="109">
        <v>0.8102</v>
      </c>
      <c r="F116" s="109">
        <v>0.887</v>
      </c>
      <c r="G116" s="108">
        <v>98000.0</v>
      </c>
      <c r="H116" s="108">
        <v>10000.0</v>
      </c>
      <c r="I116" s="108">
        <v>70000.0</v>
      </c>
      <c r="J116" s="108">
        <v>120000.0</v>
      </c>
      <c r="K116" s="108">
        <v>40000.0</v>
      </c>
      <c r="L116" s="108">
        <v>40000.0</v>
      </c>
      <c r="M116" s="108">
        <v>100000.0</v>
      </c>
      <c r="N116" s="108">
        <v>10000.0</v>
      </c>
      <c r="O116" s="108">
        <v>0.0</v>
      </c>
      <c r="P116" s="108">
        <v>0.0</v>
      </c>
      <c r="Q116" s="108">
        <v>0.0</v>
      </c>
      <c r="R116" s="108">
        <v>14000.0</v>
      </c>
      <c r="S116" s="108">
        <v>16000.0</v>
      </c>
      <c r="T116" s="109">
        <v>1.4561</v>
      </c>
      <c r="U116" s="109">
        <v>1.4219</v>
      </c>
      <c r="V116" s="109">
        <v>1.7027</v>
      </c>
      <c r="W116" s="109">
        <v>1.3077</v>
      </c>
      <c r="X116" s="109">
        <v>1.7778</v>
      </c>
      <c r="Y116" s="109">
        <v>1.1277</v>
      </c>
      <c r="Z116" s="109">
        <v>1.2727</v>
      </c>
      <c r="AA116" s="109">
        <v>2.5714</v>
      </c>
      <c r="AB116" s="109">
        <v>-1.0</v>
      </c>
      <c r="AC116" s="109">
        <v>-1.0</v>
      </c>
      <c r="AD116" s="109">
        <v>-1.0</v>
      </c>
      <c r="AE116" s="109">
        <v>0.2829</v>
      </c>
      <c r="AF116" s="109">
        <v>-0.2105</v>
      </c>
    </row>
    <row r="117">
      <c r="A117" s="108">
        <v>505.0</v>
      </c>
      <c r="B117" s="108">
        <v>326735.0</v>
      </c>
      <c r="C117" s="108">
        <v>535000.0</v>
      </c>
      <c r="D117" s="108">
        <v>861735.0</v>
      </c>
      <c r="E117" s="109">
        <v>0.8283</v>
      </c>
      <c r="F117" s="109">
        <v>0.9489</v>
      </c>
      <c r="G117" s="108">
        <v>98000.0</v>
      </c>
      <c r="H117" s="108">
        <v>10000.0</v>
      </c>
      <c r="I117" s="108">
        <v>70000.0</v>
      </c>
      <c r="J117" s="108">
        <v>124000.0</v>
      </c>
      <c r="K117" s="108">
        <v>40000.0</v>
      </c>
      <c r="L117" s="108">
        <v>42000.0</v>
      </c>
      <c r="M117" s="108">
        <v>105000.0</v>
      </c>
      <c r="N117" s="108">
        <v>10000.0</v>
      </c>
      <c r="O117" s="108">
        <v>5000.0</v>
      </c>
      <c r="P117" s="108">
        <v>1000.0</v>
      </c>
      <c r="Q117" s="108">
        <v>1000.0</v>
      </c>
      <c r="R117" s="108">
        <v>14000.0</v>
      </c>
      <c r="S117" s="108">
        <v>15000.0</v>
      </c>
      <c r="T117" s="109">
        <v>1.4561</v>
      </c>
      <c r="U117" s="109">
        <v>1.4219</v>
      </c>
      <c r="V117" s="109">
        <v>1.7027</v>
      </c>
      <c r="W117" s="109">
        <v>1.3846</v>
      </c>
      <c r="X117" s="109">
        <v>1.7778</v>
      </c>
      <c r="Y117" s="109">
        <v>1.234</v>
      </c>
      <c r="Z117" s="109">
        <v>1.3864</v>
      </c>
      <c r="AA117" s="109">
        <v>2.5714</v>
      </c>
      <c r="AB117" s="109">
        <v>-0.7872</v>
      </c>
      <c r="AC117" s="109">
        <v>-0.8901</v>
      </c>
      <c r="AD117" s="109">
        <v>-0.8864</v>
      </c>
      <c r="AE117" s="109">
        <v>0.2829</v>
      </c>
      <c r="AF117" s="109">
        <v>-0.2599</v>
      </c>
    </row>
    <row r="118">
      <c r="A118" s="108">
        <v>510.0</v>
      </c>
      <c r="B118" s="108">
        <v>329970.0</v>
      </c>
      <c r="C118" s="108">
        <v>552000.0</v>
      </c>
      <c r="D118" s="108">
        <v>881970.0</v>
      </c>
      <c r="E118" s="109">
        <v>0.8464</v>
      </c>
      <c r="F118" s="109">
        <v>1.0109</v>
      </c>
      <c r="G118" s="108">
        <v>98000.0</v>
      </c>
      <c r="H118" s="108">
        <v>10000.0</v>
      </c>
      <c r="I118" s="108">
        <v>70000.0</v>
      </c>
      <c r="J118" s="108">
        <v>128000.0</v>
      </c>
      <c r="K118" s="108">
        <v>40000.0</v>
      </c>
      <c r="L118" s="108">
        <v>44000.0</v>
      </c>
      <c r="M118" s="108">
        <v>110000.0</v>
      </c>
      <c r="N118" s="108">
        <v>10000.0</v>
      </c>
      <c r="O118" s="108">
        <v>10000.0</v>
      </c>
      <c r="P118" s="108">
        <v>2000.0</v>
      </c>
      <c r="Q118" s="108">
        <v>2000.0</v>
      </c>
      <c r="R118" s="108">
        <v>14000.0</v>
      </c>
      <c r="S118" s="108">
        <v>14000.0</v>
      </c>
      <c r="T118" s="109">
        <v>1.4561</v>
      </c>
      <c r="U118" s="109">
        <v>1.4219</v>
      </c>
      <c r="V118" s="109">
        <v>1.7027</v>
      </c>
      <c r="W118" s="109">
        <v>1.4615</v>
      </c>
      <c r="X118" s="109">
        <v>1.7778</v>
      </c>
      <c r="Y118" s="109">
        <v>1.3404</v>
      </c>
      <c r="Z118" s="109">
        <v>1.5</v>
      </c>
      <c r="AA118" s="109">
        <v>2.5714</v>
      </c>
      <c r="AB118" s="109">
        <v>-0.5745</v>
      </c>
      <c r="AC118" s="109">
        <v>-0.7802</v>
      </c>
      <c r="AD118" s="109">
        <v>-0.7727</v>
      </c>
      <c r="AE118" s="109">
        <v>0.2829</v>
      </c>
      <c r="AF118" s="109">
        <v>-0.3092</v>
      </c>
    </row>
    <row r="119">
      <c r="A119" s="108">
        <v>515.0</v>
      </c>
      <c r="B119" s="108">
        <v>333205.0</v>
      </c>
      <c r="C119" s="108">
        <v>569000.0</v>
      </c>
      <c r="D119" s="108">
        <v>902205.0</v>
      </c>
      <c r="E119" s="109">
        <v>0.8645</v>
      </c>
      <c r="F119" s="109">
        <v>1.0728</v>
      </c>
      <c r="G119" s="108">
        <v>98000.0</v>
      </c>
      <c r="H119" s="108">
        <v>10000.0</v>
      </c>
      <c r="I119" s="108">
        <v>70000.0</v>
      </c>
      <c r="J119" s="108">
        <v>132000.0</v>
      </c>
      <c r="K119" s="108">
        <v>40000.0</v>
      </c>
      <c r="L119" s="108">
        <v>46000.0</v>
      </c>
      <c r="M119" s="108">
        <v>115000.0</v>
      </c>
      <c r="N119" s="108">
        <v>10000.0</v>
      </c>
      <c r="O119" s="108">
        <v>15000.0</v>
      </c>
      <c r="P119" s="108">
        <v>3000.0</v>
      </c>
      <c r="Q119" s="108">
        <v>3000.0</v>
      </c>
      <c r="R119" s="108">
        <v>14000.0</v>
      </c>
      <c r="S119" s="108">
        <v>13000.0</v>
      </c>
      <c r="T119" s="109">
        <v>1.4561</v>
      </c>
      <c r="U119" s="109">
        <v>1.4219</v>
      </c>
      <c r="V119" s="109">
        <v>1.7027</v>
      </c>
      <c r="W119" s="109">
        <v>1.5385</v>
      </c>
      <c r="X119" s="109">
        <v>1.7778</v>
      </c>
      <c r="Y119" s="109">
        <v>1.4468</v>
      </c>
      <c r="Z119" s="109">
        <v>1.6136</v>
      </c>
      <c r="AA119" s="109">
        <v>2.5714</v>
      </c>
      <c r="AB119" s="109">
        <v>-0.3617</v>
      </c>
      <c r="AC119" s="109">
        <v>-0.6703</v>
      </c>
      <c r="AD119" s="109">
        <v>-0.6591</v>
      </c>
      <c r="AE119" s="109">
        <v>0.2829</v>
      </c>
      <c r="AF119" s="109">
        <v>-0.3586</v>
      </c>
    </row>
    <row r="120">
      <c r="A120" s="108">
        <v>520.0</v>
      </c>
      <c r="B120" s="108">
        <v>336440.0</v>
      </c>
      <c r="C120" s="108">
        <v>586000.0</v>
      </c>
      <c r="D120" s="108">
        <v>922440.0</v>
      </c>
      <c r="E120" s="109">
        <v>0.8826</v>
      </c>
      <c r="F120" s="109">
        <v>1.1347</v>
      </c>
      <c r="G120" s="108">
        <v>98000.0</v>
      </c>
      <c r="H120" s="108">
        <v>10000.0</v>
      </c>
      <c r="I120" s="108">
        <v>70000.0</v>
      </c>
      <c r="J120" s="108">
        <v>136000.0</v>
      </c>
      <c r="K120" s="108">
        <v>40000.0</v>
      </c>
      <c r="L120" s="108">
        <v>48000.0</v>
      </c>
      <c r="M120" s="108">
        <v>120000.0</v>
      </c>
      <c r="N120" s="108">
        <v>10000.0</v>
      </c>
      <c r="O120" s="108">
        <v>20000.0</v>
      </c>
      <c r="P120" s="108">
        <v>4000.0</v>
      </c>
      <c r="Q120" s="108">
        <v>4000.0</v>
      </c>
      <c r="R120" s="108">
        <v>14000.0</v>
      </c>
      <c r="S120" s="108">
        <v>12000.0</v>
      </c>
      <c r="T120" s="109">
        <v>1.4561</v>
      </c>
      <c r="U120" s="109">
        <v>1.4219</v>
      </c>
      <c r="V120" s="109">
        <v>1.7027</v>
      </c>
      <c r="W120" s="109">
        <v>1.6154</v>
      </c>
      <c r="X120" s="109">
        <v>1.7778</v>
      </c>
      <c r="Y120" s="109">
        <v>1.5532</v>
      </c>
      <c r="Z120" s="109">
        <v>1.7273</v>
      </c>
      <c r="AA120" s="109">
        <v>2.5714</v>
      </c>
      <c r="AB120" s="109">
        <v>-0.1489</v>
      </c>
      <c r="AC120" s="109">
        <v>-0.5604</v>
      </c>
      <c r="AD120" s="109">
        <v>-0.5455</v>
      </c>
      <c r="AE120" s="109">
        <v>0.2829</v>
      </c>
      <c r="AF120" s="109">
        <v>-0.4079</v>
      </c>
    </row>
    <row r="121">
      <c r="A121" s="108">
        <v>525.0</v>
      </c>
      <c r="B121" s="108">
        <v>339675.0</v>
      </c>
      <c r="C121" s="108">
        <v>603000.0</v>
      </c>
      <c r="D121" s="108">
        <v>942675.0</v>
      </c>
      <c r="E121" s="109">
        <v>0.9007</v>
      </c>
      <c r="F121" s="109">
        <v>1.1966</v>
      </c>
      <c r="G121" s="108">
        <v>98000.0</v>
      </c>
      <c r="H121" s="108">
        <v>10000.0</v>
      </c>
      <c r="I121" s="108">
        <v>70000.0</v>
      </c>
      <c r="J121" s="108">
        <v>140000.0</v>
      </c>
      <c r="K121" s="108">
        <v>40000.0</v>
      </c>
      <c r="L121" s="108">
        <v>50000.0</v>
      </c>
      <c r="M121" s="108">
        <v>125000.0</v>
      </c>
      <c r="N121" s="108">
        <v>10000.0</v>
      </c>
      <c r="O121" s="108">
        <v>25000.0</v>
      </c>
      <c r="P121" s="108">
        <v>5000.0</v>
      </c>
      <c r="Q121" s="108">
        <v>5000.0</v>
      </c>
      <c r="R121" s="108">
        <v>14000.0</v>
      </c>
      <c r="S121" s="108">
        <v>11000.0</v>
      </c>
      <c r="T121" s="109">
        <v>1.4561</v>
      </c>
      <c r="U121" s="109">
        <v>1.4219</v>
      </c>
      <c r="V121" s="109">
        <v>1.7027</v>
      </c>
      <c r="W121" s="109">
        <v>1.6923</v>
      </c>
      <c r="X121" s="109">
        <v>1.7778</v>
      </c>
      <c r="Y121" s="109">
        <v>1.6596</v>
      </c>
      <c r="Z121" s="109">
        <v>1.8409</v>
      </c>
      <c r="AA121" s="109">
        <v>2.5714</v>
      </c>
      <c r="AB121" s="109">
        <v>0.0638</v>
      </c>
      <c r="AC121" s="109">
        <v>-0.4505</v>
      </c>
      <c r="AD121" s="109">
        <v>-0.4318</v>
      </c>
      <c r="AE121" s="109">
        <v>0.2829</v>
      </c>
      <c r="AF121" s="109">
        <v>-0.4572</v>
      </c>
    </row>
    <row r="122">
      <c r="A122" s="108">
        <v>530.0</v>
      </c>
      <c r="B122" s="108">
        <v>342910.0</v>
      </c>
      <c r="C122" s="108">
        <v>620000.0</v>
      </c>
      <c r="D122" s="108">
        <v>962910.0</v>
      </c>
      <c r="E122" s="109">
        <v>0.9188</v>
      </c>
      <c r="F122" s="109">
        <v>1.2586</v>
      </c>
      <c r="G122" s="108">
        <v>98000.0</v>
      </c>
      <c r="H122" s="108">
        <v>10000.0</v>
      </c>
      <c r="I122" s="108">
        <v>70000.0</v>
      </c>
      <c r="J122" s="108">
        <v>144000.0</v>
      </c>
      <c r="K122" s="108">
        <v>40000.0</v>
      </c>
      <c r="L122" s="108">
        <v>52000.0</v>
      </c>
      <c r="M122" s="108">
        <v>130000.0</v>
      </c>
      <c r="N122" s="108">
        <v>10000.0</v>
      </c>
      <c r="O122" s="108">
        <v>30000.0</v>
      </c>
      <c r="P122" s="108">
        <v>6000.0</v>
      </c>
      <c r="Q122" s="108">
        <v>6000.0</v>
      </c>
      <c r="R122" s="108">
        <v>14000.0</v>
      </c>
      <c r="S122" s="108">
        <v>10000.0</v>
      </c>
      <c r="T122" s="109">
        <v>1.4561</v>
      </c>
      <c r="U122" s="109">
        <v>1.4219</v>
      </c>
      <c r="V122" s="109">
        <v>1.7027</v>
      </c>
      <c r="W122" s="109">
        <v>1.7692</v>
      </c>
      <c r="X122" s="109">
        <v>1.7778</v>
      </c>
      <c r="Y122" s="109">
        <v>1.766</v>
      </c>
      <c r="Z122" s="109">
        <v>1.9545</v>
      </c>
      <c r="AA122" s="109">
        <v>2.5714</v>
      </c>
      <c r="AB122" s="109">
        <v>0.2766</v>
      </c>
      <c r="AC122" s="109">
        <v>-0.3407</v>
      </c>
      <c r="AD122" s="109">
        <v>-0.3182</v>
      </c>
      <c r="AE122" s="109">
        <v>0.2829</v>
      </c>
      <c r="AF122" s="109">
        <v>-0.5066</v>
      </c>
    </row>
    <row r="123">
      <c r="A123" s="108">
        <v>535.0</v>
      </c>
      <c r="B123" s="108">
        <v>346145.0</v>
      </c>
      <c r="C123" s="108">
        <v>637000.0</v>
      </c>
      <c r="D123" s="108">
        <v>983145.0</v>
      </c>
      <c r="E123" s="109">
        <v>0.9369</v>
      </c>
      <c r="F123" s="109">
        <v>1.3205</v>
      </c>
      <c r="G123" s="108">
        <v>98000.0</v>
      </c>
      <c r="H123" s="108">
        <v>10000.0</v>
      </c>
      <c r="I123" s="108">
        <v>70000.0</v>
      </c>
      <c r="J123" s="108">
        <v>148000.0</v>
      </c>
      <c r="K123" s="108">
        <v>40000.0</v>
      </c>
      <c r="L123" s="108">
        <v>54000.0</v>
      </c>
      <c r="M123" s="108">
        <v>135000.0</v>
      </c>
      <c r="N123" s="108">
        <v>10000.0</v>
      </c>
      <c r="O123" s="108">
        <v>35000.0</v>
      </c>
      <c r="P123" s="108">
        <v>7000.0</v>
      </c>
      <c r="Q123" s="108">
        <v>7000.0</v>
      </c>
      <c r="R123" s="108">
        <v>14000.0</v>
      </c>
      <c r="S123" s="108">
        <v>9000.0</v>
      </c>
      <c r="T123" s="109">
        <v>1.4561</v>
      </c>
      <c r="U123" s="109">
        <v>1.4219</v>
      </c>
      <c r="V123" s="109">
        <v>1.7027</v>
      </c>
      <c r="W123" s="109">
        <v>1.8462</v>
      </c>
      <c r="X123" s="109">
        <v>1.7778</v>
      </c>
      <c r="Y123" s="109">
        <v>1.8723</v>
      </c>
      <c r="Z123" s="109">
        <v>2.0682</v>
      </c>
      <c r="AA123" s="109">
        <v>2.5714</v>
      </c>
      <c r="AB123" s="109">
        <v>0.4894</v>
      </c>
      <c r="AC123" s="109">
        <v>-0.2308</v>
      </c>
      <c r="AD123" s="109">
        <v>-0.2045</v>
      </c>
      <c r="AE123" s="109">
        <v>0.2829</v>
      </c>
      <c r="AF123" s="109">
        <v>-0.5559</v>
      </c>
    </row>
    <row r="124">
      <c r="A124" s="108">
        <v>540.0</v>
      </c>
      <c r="B124" s="108">
        <v>349380.0</v>
      </c>
      <c r="C124" s="108">
        <v>654000.0</v>
      </c>
      <c r="D124" s="108">
        <v>1003380.0</v>
      </c>
      <c r="E124" s="109">
        <v>0.955</v>
      </c>
      <c r="F124" s="109">
        <v>1.3824</v>
      </c>
      <c r="G124" s="108">
        <v>98000.0</v>
      </c>
      <c r="H124" s="108">
        <v>10000.0</v>
      </c>
      <c r="I124" s="108">
        <v>70000.0</v>
      </c>
      <c r="J124" s="108">
        <v>152000.0</v>
      </c>
      <c r="K124" s="108">
        <v>40000.0</v>
      </c>
      <c r="L124" s="108">
        <v>56000.0</v>
      </c>
      <c r="M124" s="108">
        <v>140000.0</v>
      </c>
      <c r="N124" s="108">
        <v>10000.0</v>
      </c>
      <c r="O124" s="108">
        <v>40000.0</v>
      </c>
      <c r="P124" s="108">
        <v>8000.0</v>
      </c>
      <c r="Q124" s="108">
        <v>8000.0</v>
      </c>
      <c r="R124" s="108">
        <v>14000.0</v>
      </c>
      <c r="S124" s="108">
        <v>8000.0</v>
      </c>
      <c r="T124" s="109">
        <v>1.4561</v>
      </c>
      <c r="U124" s="109">
        <v>1.4219</v>
      </c>
      <c r="V124" s="109">
        <v>1.7027</v>
      </c>
      <c r="W124" s="109">
        <v>1.9231</v>
      </c>
      <c r="X124" s="109">
        <v>1.7778</v>
      </c>
      <c r="Y124" s="109">
        <v>1.9787</v>
      </c>
      <c r="Z124" s="109">
        <v>2.1818</v>
      </c>
      <c r="AA124" s="109">
        <v>2.5714</v>
      </c>
      <c r="AB124" s="109">
        <v>0.7021</v>
      </c>
      <c r="AC124" s="109">
        <v>-0.1209</v>
      </c>
      <c r="AD124" s="109">
        <v>-0.0909</v>
      </c>
      <c r="AE124" s="109">
        <v>0.2829</v>
      </c>
      <c r="AF124" s="109">
        <v>-0.6053</v>
      </c>
    </row>
    <row r="125">
      <c r="A125" s="108">
        <v>545.0</v>
      </c>
      <c r="B125" s="108">
        <v>352615.0</v>
      </c>
      <c r="C125" s="108">
        <v>671000.0</v>
      </c>
      <c r="D125" s="108">
        <v>1023615.0</v>
      </c>
      <c r="E125" s="109">
        <v>0.9731</v>
      </c>
      <c r="F125" s="109">
        <v>1.4444</v>
      </c>
      <c r="G125" s="108">
        <v>98000.0</v>
      </c>
      <c r="H125" s="108">
        <v>10000.0</v>
      </c>
      <c r="I125" s="108">
        <v>70000.0</v>
      </c>
      <c r="J125" s="108">
        <v>156000.0</v>
      </c>
      <c r="K125" s="108">
        <v>40000.0</v>
      </c>
      <c r="L125" s="108">
        <v>58000.0</v>
      </c>
      <c r="M125" s="108">
        <v>145000.0</v>
      </c>
      <c r="N125" s="108">
        <v>10000.0</v>
      </c>
      <c r="O125" s="108">
        <v>45000.0</v>
      </c>
      <c r="P125" s="108">
        <v>9000.0</v>
      </c>
      <c r="Q125" s="108">
        <v>9000.0</v>
      </c>
      <c r="R125" s="108">
        <v>14000.0</v>
      </c>
      <c r="S125" s="108">
        <v>7000.0</v>
      </c>
      <c r="T125" s="109">
        <v>1.4561</v>
      </c>
      <c r="U125" s="109">
        <v>1.4219</v>
      </c>
      <c r="V125" s="109">
        <v>1.7027</v>
      </c>
      <c r="W125" s="109">
        <v>2.0</v>
      </c>
      <c r="X125" s="109">
        <v>1.7778</v>
      </c>
      <c r="Y125" s="109">
        <v>2.0851</v>
      </c>
      <c r="Z125" s="109">
        <v>2.2955</v>
      </c>
      <c r="AA125" s="109">
        <v>2.5714</v>
      </c>
      <c r="AB125" s="109">
        <v>0.9149</v>
      </c>
      <c r="AC125" s="109">
        <v>-0.011</v>
      </c>
      <c r="AD125" s="109">
        <v>0.0227</v>
      </c>
      <c r="AE125" s="109">
        <v>0.2829</v>
      </c>
      <c r="AF125" s="109">
        <v>-0.6546</v>
      </c>
    </row>
    <row r="126">
      <c r="A126" s="108">
        <v>550.0</v>
      </c>
      <c r="B126" s="108">
        <v>355850.0</v>
      </c>
      <c r="C126" s="108">
        <v>688000.0</v>
      </c>
      <c r="D126" s="108">
        <v>1043850.0</v>
      </c>
      <c r="E126" s="109">
        <v>0.9912</v>
      </c>
      <c r="F126" s="109">
        <v>1.5063</v>
      </c>
      <c r="G126" s="108">
        <v>98000.0</v>
      </c>
      <c r="H126" s="108">
        <v>10000.0</v>
      </c>
      <c r="I126" s="108">
        <v>70000.0</v>
      </c>
      <c r="J126" s="108">
        <v>160000.0</v>
      </c>
      <c r="K126" s="108">
        <v>40000.0</v>
      </c>
      <c r="L126" s="108">
        <v>60000.0</v>
      </c>
      <c r="M126" s="108">
        <v>150000.0</v>
      </c>
      <c r="N126" s="108">
        <v>10000.0</v>
      </c>
      <c r="O126" s="108">
        <v>50000.0</v>
      </c>
      <c r="P126" s="108">
        <v>10000.0</v>
      </c>
      <c r="Q126" s="108">
        <v>10000.0</v>
      </c>
      <c r="R126" s="108">
        <v>14000.0</v>
      </c>
      <c r="S126" s="108">
        <v>6000.0</v>
      </c>
      <c r="T126" s="109">
        <v>1.4561</v>
      </c>
      <c r="U126" s="109">
        <v>1.4219</v>
      </c>
      <c r="V126" s="109">
        <v>1.7027</v>
      </c>
      <c r="W126" s="109">
        <v>2.0769</v>
      </c>
      <c r="X126" s="109">
        <v>1.7778</v>
      </c>
      <c r="Y126" s="109">
        <v>2.1915</v>
      </c>
      <c r="Z126" s="109">
        <v>2.4091</v>
      </c>
      <c r="AA126" s="109">
        <v>2.5714</v>
      </c>
      <c r="AB126" s="109">
        <v>1.1277</v>
      </c>
      <c r="AC126" s="109">
        <v>0.0989</v>
      </c>
      <c r="AD126" s="109">
        <v>0.1364</v>
      </c>
      <c r="AE126" s="109">
        <v>0.2829</v>
      </c>
      <c r="AF126" s="109">
        <v>-0.704</v>
      </c>
    </row>
    <row r="127">
      <c r="A127" s="108">
        <v>555.0</v>
      </c>
      <c r="B127" s="108">
        <v>359085.0</v>
      </c>
      <c r="C127" s="108">
        <v>694000.0</v>
      </c>
      <c r="D127" s="108">
        <v>1053085.0</v>
      </c>
      <c r="E127" s="109">
        <v>1.0093</v>
      </c>
      <c r="F127" s="109">
        <v>1.5282</v>
      </c>
      <c r="G127" s="108">
        <v>98000.0</v>
      </c>
      <c r="H127" s="108">
        <v>10000.0</v>
      </c>
      <c r="I127" s="108">
        <v>70000.0</v>
      </c>
      <c r="J127" s="108">
        <v>160000.0</v>
      </c>
      <c r="K127" s="108">
        <v>40000.0</v>
      </c>
      <c r="L127" s="108">
        <v>60000.0</v>
      </c>
      <c r="M127" s="108">
        <v>150000.0</v>
      </c>
      <c r="N127" s="108">
        <v>10000.0</v>
      </c>
      <c r="O127" s="108">
        <v>55000.0</v>
      </c>
      <c r="P127" s="108">
        <v>11000.0</v>
      </c>
      <c r="Q127" s="108">
        <v>11000.0</v>
      </c>
      <c r="R127" s="108">
        <v>14000.0</v>
      </c>
      <c r="S127" s="108">
        <v>5000.0</v>
      </c>
      <c r="T127" s="109">
        <v>1.4561</v>
      </c>
      <c r="U127" s="109">
        <v>1.4219</v>
      </c>
      <c r="V127" s="109">
        <v>1.7027</v>
      </c>
      <c r="W127" s="109">
        <v>2.0769</v>
      </c>
      <c r="X127" s="109">
        <v>1.7778</v>
      </c>
      <c r="Y127" s="109">
        <v>2.1915</v>
      </c>
      <c r="Z127" s="109">
        <v>2.4091</v>
      </c>
      <c r="AA127" s="109">
        <v>2.5714</v>
      </c>
      <c r="AB127" s="109">
        <v>1.3404</v>
      </c>
      <c r="AC127" s="109">
        <v>0.2088</v>
      </c>
      <c r="AD127" s="109">
        <v>0.25</v>
      </c>
      <c r="AE127" s="109">
        <v>0.2829</v>
      </c>
      <c r="AF127" s="109">
        <v>-0.7533</v>
      </c>
    </row>
    <row r="128">
      <c r="A128" s="108">
        <v>560.0</v>
      </c>
      <c r="B128" s="108">
        <v>362320.0</v>
      </c>
      <c r="C128" s="108">
        <v>700000.0</v>
      </c>
      <c r="D128" s="108">
        <v>1062320.0</v>
      </c>
      <c r="E128" s="109">
        <v>1.0274</v>
      </c>
      <c r="F128" s="109">
        <v>1.55</v>
      </c>
      <c r="G128" s="108">
        <v>98000.0</v>
      </c>
      <c r="H128" s="108">
        <v>10000.0</v>
      </c>
      <c r="I128" s="108">
        <v>70000.0</v>
      </c>
      <c r="J128" s="108">
        <v>160000.0</v>
      </c>
      <c r="K128" s="108">
        <v>40000.0</v>
      </c>
      <c r="L128" s="108">
        <v>60000.0</v>
      </c>
      <c r="M128" s="108">
        <v>150000.0</v>
      </c>
      <c r="N128" s="108">
        <v>10000.0</v>
      </c>
      <c r="O128" s="108">
        <v>60000.0</v>
      </c>
      <c r="P128" s="108">
        <v>12000.0</v>
      </c>
      <c r="Q128" s="108">
        <v>12000.0</v>
      </c>
      <c r="R128" s="108">
        <v>14000.0</v>
      </c>
      <c r="S128" s="108">
        <v>4000.0</v>
      </c>
      <c r="T128" s="109">
        <v>1.4561</v>
      </c>
      <c r="U128" s="109">
        <v>1.4219</v>
      </c>
      <c r="V128" s="109">
        <v>1.7027</v>
      </c>
      <c r="W128" s="109">
        <v>2.0769</v>
      </c>
      <c r="X128" s="109">
        <v>1.7778</v>
      </c>
      <c r="Y128" s="109">
        <v>2.1915</v>
      </c>
      <c r="Z128" s="109">
        <v>2.4091</v>
      </c>
      <c r="AA128" s="109">
        <v>2.5714</v>
      </c>
      <c r="AB128" s="109">
        <v>1.5532</v>
      </c>
      <c r="AC128" s="109">
        <v>0.3187</v>
      </c>
      <c r="AD128" s="109">
        <v>0.3636</v>
      </c>
      <c r="AE128" s="109">
        <v>0.2829</v>
      </c>
      <c r="AF128" s="109">
        <v>-0.8026</v>
      </c>
    </row>
    <row r="129">
      <c r="A129" s="108">
        <v>565.0</v>
      </c>
      <c r="B129" s="108">
        <v>365555.0</v>
      </c>
      <c r="C129" s="108">
        <v>706000.0</v>
      </c>
      <c r="D129" s="108">
        <v>1071555.0</v>
      </c>
      <c r="E129" s="109">
        <v>1.0455</v>
      </c>
      <c r="F129" s="109">
        <v>1.5719</v>
      </c>
      <c r="G129" s="108">
        <v>98000.0</v>
      </c>
      <c r="H129" s="108">
        <v>10000.0</v>
      </c>
      <c r="I129" s="108">
        <v>70000.0</v>
      </c>
      <c r="J129" s="108">
        <v>160000.0</v>
      </c>
      <c r="K129" s="108">
        <v>40000.0</v>
      </c>
      <c r="L129" s="108">
        <v>60000.0</v>
      </c>
      <c r="M129" s="108">
        <v>150000.0</v>
      </c>
      <c r="N129" s="108">
        <v>10000.0</v>
      </c>
      <c r="O129" s="108">
        <v>65000.0</v>
      </c>
      <c r="P129" s="108">
        <v>13000.0</v>
      </c>
      <c r="Q129" s="108">
        <v>13000.0</v>
      </c>
      <c r="R129" s="108">
        <v>14000.0</v>
      </c>
      <c r="S129" s="108">
        <v>3000.0</v>
      </c>
      <c r="T129" s="109">
        <v>1.4561</v>
      </c>
      <c r="U129" s="109">
        <v>1.4219</v>
      </c>
      <c r="V129" s="109">
        <v>1.7027</v>
      </c>
      <c r="W129" s="109">
        <v>2.0769</v>
      </c>
      <c r="X129" s="109">
        <v>1.7778</v>
      </c>
      <c r="Y129" s="109">
        <v>2.1915</v>
      </c>
      <c r="Z129" s="109">
        <v>2.4091</v>
      </c>
      <c r="AA129" s="109">
        <v>2.5714</v>
      </c>
      <c r="AB129" s="109">
        <v>1.766</v>
      </c>
      <c r="AC129" s="109">
        <v>0.4286</v>
      </c>
      <c r="AD129" s="109">
        <v>0.4773</v>
      </c>
      <c r="AE129" s="109">
        <v>0.2829</v>
      </c>
      <c r="AF129" s="109">
        <v>-0.852</v>
      </c>
    </row>
    <row r="130">
      <c r="A130" s="108">
        <v>570.0</v>
      </c>
      <c r="B130" s="108">
        <v>368790.0</v>
      </c>
      <c r="C130" s="108">
        <v>712000.0</v>
      </c>
      <c r="D130" s="108">
        <v>1080790.0</v>
      </c>
      <c r="E130" s="109">
        <v>1.0636</v>
      </c>
      <c r="F130" s="109">
        <v>1.5937</v>
      </c>
      <c r="G130" s="108">
        <v>98000.0</v>
      </c>
      <c r="H130" s="108">
        <v>10000.0</v>
      </c>
      <c r="I130" s="108">
        <v>70000.0</v>
      </c>
      <c r="J130" s="108">
        <v>160000.0</v>
      </c>
      <c r="K130" s="108">
        <v>40000.0</v>
      </c>
      <c r="L130" s="108">
        <v>60000.0</v>
      </c>
      <c r="M130" s="108">
        <v>150000.0</v>
      </c>
      <c r="N130" s="108">
        <v>10000.0</v>
      </c>
      <c r="O130" s="108">
        <v>70000.0</v>
      </c>
      <c r="P130" s="108">
        <v>14000.0</v>
      </c>
      <c r="Q130" s="108">
        <v>14000.0</v>
      </c>
      <c r="R130" s="108">
        <v>14000.0</v>
      </c>
      <c r="S130" s="108">
        <v>2000.0</v>
      </c>
      <c r="T130" s="109">
        <v>1.4561</v>
      </c>
      <c r="U130" s="109">
        <v>1.4219</v>
      </c>
      <c r="V130" s="109">
        <v>1.7027</v>
      </c>
      <c r="W130" s="109">
        <v>2.0769</v>
      </c>
      <c r="X130" s="109">
        <v>1.7778</v>
      </c>
      <c r="Y130" s="109">
        <v>2.1915</v>
      </c>
      <c r="Z130" s="109">
        <v>2.4091</v>
      </c>
      <c r="AA130" s="109">
        <v>2.5714</v>
      </c>
      <c r="AB130" s="109">
        <v>1.9787</v>
      </c>
      <c r="AC130" s="109">
        <v>0.5385</v>
      </c>
      <c r="AD130" s="109">
        <v>0.5909</v>
      </c>
      <c r="AE130" s="109">
        <v>0.2829</v>
      </c>
      <c r="AF130" s="109">
        <v>-0.9013</v>
      </c>
    </row>
    <row r="131">
      <c r="A131" s="108">
        <v>575.0</v>
      </c>
      <c r="B131" s="108">
        <v>372025.0</v>
      </c>
      <c r="C131" s="108">
        <v>718000.0</v>
      </c>
      <c r="D131" s="108">
        <v>1090025.0</v>
      </c>
      <c r="E131" s="109">
        <v>1.0817</v>
      </c>
      <c r="F131" s="109">
        <v>1.6156</v>
      </c>
      <c r="G131" s="108">
        <v>98000.0</v>
      </c>
      <c r="H131" s="108">
        <v>10000.0</v>
      </c>
      <c r="I131" s="108">
        <v>70000.0</v>
      </c>
      <c r="J131" s="108">
        <v>160000.0</v>
      </c>
      <c r="K131" s="108">
        <v>40000.0</v>
      </c>
      <c r="L131" s="108">
        <v>60000.0</v>
      </c>
      <c r="M131" s="108">
        <v>150000.0</v>
      </c>
      <c r="N131" s="108">
        <v>10000.0</v>
      </c>
      <c r="O131" s="108">
        <v>75000.0</v>
      </c>
      <c r="P131" s="108">
        <v>15000.0</v>
      </c>
      <c r="Q131" s="108">
        <v>15000.0</v>
      </c>
      <c r="R131" s="108">
        <v>14000.0</v>
      </c>
      <c r="S131" s="108">
        <v>1000.0</v>
      </c>
      <c r="T131" s="109">
        <v>1.4561</v>
      </c>
      <c r="U131" s="109">
        <v>1.4219</v>
      </c>
      <c r="V131" s="109">
        <v>1.7027</v>
      </c>
      <c r="W131" s="109">
        <v>2.0769</v>
      </c>
      <c r="X131" s="109">
        <v>1.7778</v>
      </c>
      <c r="Y131" s="109">
        <v>2.1915</v>
      </c>
      <c r="Z131" s="109">
        <v>2.4091</v>
      </c>
      <c r="AA131" s="109">
        <v>2.5714</v>
      </c>
      <c r="AB131" s="109">
        <v>2.1915</v>
      </c>
      <c r="AC131" s="109">
        <v>0.6484</v>
      </c>
      <c r="AD131" s="109">
        <v>0.7045</v>
      </c>
      <c r="AE131" s="109">
        <v>0.2829</v>
      </c>
      <c r="AF131" s="109">
        <v>-0.9507</v>
      </c>
    </row>
    <row r="132">
      <c r="A132" s="108">
        <v>580.0</v>
      </c>
      <c r="B132" s="108">
        <v>375260.0</v>
      </c>
      <c r="C132" s="108">
        <v>724000.0</v>
      </c>
      <c r="D132" s="108">
        <v>1099260.0</v>
      </c>
      <c r="E132" s="109">
        <v>1.0998</v>
      </c>
      <c r="F132" s="109">
        <v>1.6374</v>
      </c>
      <c r="G132" s="108">
        <v>98000.0</v>
      </c>
      <c r="H132" s="108">
        <v>10000.0</v>
      </c>
      <c r="I132" s="108">
        <v>70000.0</v>
      </c>
      <c r="J132" s="108">
        <v>160000.0</v>
      </c>
      <c r="K132" s="108">
        <v>40000.0</v>
      </c>
      <c r="L132" s="108">
        <v>60000.0</v>
      </c>
      <c r="M132" s="108">
        <v>150000.0</v>
      </c>
      <c r="N132" s="108">
        <v>10000.0</v>
      </c>
      <c r="O132" s="108">
        <v>80000.0</v>
      </c>
      <c r="P132" s="108">
        <v>16000.0</v>
      </c>
      <c r="Q132" s="108">
        <v>16000.0</v>
      </c>
      <c r="R132" s="108">
        <v>14000.0</v>
      </c>
      <c r="S132" s="108">
        <v>0.0</v>
      </c>
      <c r="T132" s="109">
        <v>1.4561</v>
      </c>
      <c r="U132" s="109">
        <v>1.4219</v>
      </c>
      <c r="V132" s="109">
        <v>1.7027</v>
      </c>
      <c r="W132" s="109">
        <v>2.0769</v>
      </c>
      <c r="X132" s="109">
        <v>1.7778</v>
      </c>
      <c r="Y132" s="109">
        <v>2.1915</v>
      </c>
      <c r="Z132" s="109">
        <v>2.4091</v>
      </c>
      <c r="AA132" s="109">
        <v>2.5714</v>
      </c>
      <c r="AB132" s="109">
        <v>2.4043</v>
      </c>
      <c r="AC132" s="109">
        <v>0.7582</v>
      </c>
      <c r="AD132" s="109">
        <v>0.8182</v>
      </c>
      <c r="AE132" s="109">
        <v>0.2829</v>
      </c>
      <c r="AF132" s="109">
        <v>-1.0</v>
      </c>
    </row>
    <row r="133">
      <c r="A133" s="108">
        <v>585.0</v>
      </c>
      <c r="B133" s="108">
        <v>378495.0</v>
      </c>
      <c r="C133" s="108">
        <v>731000.0</v>
      </c>
      <c r="D133" s="108">
        <v>1109495.0</v>
      </c>
      <c r="E133" s="109">
        <v>1.1179</v>
      </c>
      <c r="F133" s="109">
        <v>1.6629</v>
      </c>
      <c r="G133" s="108">
        <v>98000.0</v>
      </c>
      <c r="H133" s="108">
        <v>10000.0</v>
      </c>
      <c r="I133" s="108">
        <v>70000.0</v>
      </c>
      <c r="J133" s="108">
        <v>160000.0</v>
      </c>
      <c r="K133" s="108">
        <v>40000.0</v>
      </c>
      <c r="L133" s="108">
        <v>60000.0</v>
      </c>
      <c r="M133" s="108">
        <v>150000.0</v>
      </c>
      <c r="N133" s="108">
        <v>10000.0</v>
      </c>
      <c r="O133" s="108">
        <v>85000.0</v>
      </c>
      <c r="P133" s="108">
        <v>17000.0</v>
      </c>
      <c r="Q133" s="108">
        <v>17000.0</v>
      </c>
      <c r="R133" s="108">
        <v>14000.0</v>
      </c>
      <c r="S133" s="108">
        <v>0.0</v>
      </c>
      <c r="T133" s="109">
        <v>1.4561</v>
      </c>
      <c r="U133" s="109">
        <v>1.4219</v>
      </c>
      <c r="V133" s="109">
        <v>1.7027</v>
      </c>
      <c r="W133" s="109">
        <v>2.0769</v>
      </c>
      <c r="X133" s="109">
        <v>1.7778</v>
      </c>
      <c r="Y133" s="109">
        <v>2.1915</v>
      </c>
      <c r="Z133" s="109">
        <v>2.4091</v>
      </c>
      <c r="AA133" s="109">
        <v>2.5714</v>
      </c>
      <c r="AB133" s="109">
        <v>2.617</v>
      </c>
      <c r="AC133" s="109">
        <v>0.8681</v>
      </c>
      <c r="AD133" s="109">
        <v>0.9318</v>
      </c>
      <c r="AE133" s="109">
        <v>0.2829</v>
      </c>
      <c r="AF133" s="109">
        <v>-1.0</v>
      </c>
    </row>
    <row r="134">
      <c r="A134" s="108">
        <v>590.0</v>
      </c>
      <c r="B134" s="108">
        <v>381730.0</v>
      </c>
      <c r="C134" s="108">
        <v>738000.0</v>
      </c>
      <c r="D134" s="108">
        <v>1119730.0</v>
      </c>
      <c r="E134" s="109">
        <v>1.136</v>
      </c>
      <c r="F134" s="109">
        <v>1.6884</v>
      </c>
      <c r="G134" s="108">
        <v>98000.0</v>
      </c>
      <c r="H134" s="108">
        <v>10000.0</v>
      </c>
      <c r="I134" s="108">
        <v>70000.0</v>
      </c>
      <c r="J134" s="108">
        <v>160000.0</v>
      </c>
      <c r="K134" s="108">
        <v>40000.0</v>
      </c>
      <c r="L134" s="108">
        <v>60000.0</v>
      </c>
      <c r="M134" s="108">
        <v>150000.0</v>
      </c>
      <c r="N134" s="108">
        <v>10000.0</v>
      </c>
      <c r="O134" s="108">
        <v>90000.0</v>
      </c>
      <c r="P134" s="108">
        <v>18000.0</v>
      </c>
      <c r="Q134" s="108">
        <v>18000.0</v>
      </c>
      <c r="R134" s="108">
        <v>14000.0</v>
      </c>
      <c r="S134" s="108">
        <v>0.0</v>
      </c>
      <c r="T134" s="109">
        <v>1.4561</v>
      </c>
      <c r="U134" s="109">
        <v>1.4219</v>
      </c>
      <c r="V134" s="109">
        <v>1.7027</v>
      </c>
      <c r="W134" s="109">
        <v>2.0769</v>
      </c>
      <c r="X134" s="109">
        <v>1.7778</v>
      </c>
      <c r="Y134" s="109">
        <v>2.1915</v>
      </c>
      <c r="Z134" s="109">
        <v>2.4091</v>
      </c>
      <c r="AA134" s="109">
        <v>2.5714</v>
      </c>
      <c r="AB134" s="109">
        <v>2.8298</v>
      </c>
      <c r="AC134" s="109">
        <v>0.978</v>
      </c>
      <c r="AD134" s="109">
        <v>1.0455</v>
      </c>
      <c r="AE134" s="109">
        <v>0.2829</v>
      </c>
      <c r="AF134" s="109">
        <v>-1.0</v>
      </c>
    </row>
    <row r="135">
      <c r="A135" s="108">
        <v>595.0</v>
      </c>
      <c r="B135" s="108">
        <v>384965.0</v>
      </c>
      <c r="C135" s="108">
        <v>745000.0</v>
      </c>
      <c r="D135" s="108">
        <v>1129965.0</v>
      </c>
      <c r="E135" s="109">
        <v>1.1541</v>
      </c>
      <c r="F135" s="109">
        <v>1.7139</v>
      </c>
      <c r="G135" s="108">
        <v>98000.0</v>
      </c>
      <c r="H135" s="108">
        <v>10000.0</v>
      </c>
      <c r="I135" s="108">
        <v>70000.0</v>
      </c>
      <c r="J135" s="108">
        <v>160000.0</v>
      </c>
      <c r="K135" s="108">
        <v>40000.0</v>
      </c>
      <c r="L135" s="108">
        <v>60000.0</v>
      </c>
      <c r="M135" s="108">
        <v>150000.0</v>
      </c>
      <c r="N135" s="108">
        <v>10000.0</v>
      </c>
      <c r="O135" s="108">
        <v>95000.0</v>
      </c>
      <c r="P135" s="108">
        <v>19000.0</v>
      </c>
      <c r="Q135" s="108">
        <v>19000.0</v>
      </c>
      <c r="R135" s="108">
        <v>14000.0</v>
      </c>
      <c r="S135" s="108">
        <v>0.0</v>
      </c>
      <c r="T135" s="109">
        <v>1.4561</v>
      </c>
      <c r="U135" s="109">
        <v>1.4219</v>
      </c>
      <c r="V135" s="109">
        <v>1.7027</v>
      </c>
      <c r="W135" s="109">
        <v>2.0769</v>
      </c>
      <c r="X135" s="109">
        <v>1.7778</v>
      </c>
      <c r="Y135" s="109">
        <v>2.1915</v>
      </c>
      <c r="Z135" s="109">
        <v>2.4091</v>
      </c>
      <c r="AA135" s="109">
        <v>2.5714</v>
      </c>
      <c r="AB135" s="109">
        <v>3.0426</v>
      </c>
      <c r="AC135" s="109">
        <v>1.0879</v>
      </c>
      <c r="AD135" s="109">
        <v>1.1591</v>
      </c>
      <c r="AE135" s="109">
        <v>0.2829</v>
      </c>
      <c r="AF135" s="109">
        <v>-1.0</v>
      </c>
    </row>
    <row r="136">
      <c r="A136" s="108">
        <v>600.0</v>
      </c>
      <c r="B136" s="108">
        <v>388200.0</v>
      </c>
      <c r="C136" s="108">
        <v>752000.0</v>
      </c>
      <c r="D136" s="108">
        <v>1140200.0</v>
      </c>
      <c r="E136" s="109">
        <v>1.1722</v>
      </c>
      <c r="F136" s="109">
        <v>1.7394</v>
      </c>
      <c r="G136" s="108">
        <v>98000.0</v>
      </c>
      <c r="H136" s="108">
        <v>10000.0</v>
      </c>
      <c r="I136" s="108">
        <v>70000.0</v>
      </c>
      <c r="J136" s="108">
        <v>160000.0</v>
      </c>
      <c r="K136" s="108">
        <v>40000.0</v>
      </c>
      <c r="L136" s="108">
        <v>60000.0</v>
      </c>
      <c r="M136" s="108">
        <v>150000.0</v>
      </c>
      <c r="N136" s="108">
        <v>10000.0</v>
      </c>
      <c r="O136" s="108">
        <v>100000.0</v>
      </c>
      <c r="P136" s="108">
        <v>20000.0</v>
      </c>
      <c r="Q136" s="108">
        <v>20000.0</v>
      </c>
      <c r="R136" s="108">
        <v>14000.0</v>
      </c>
      <c r="S136" s="108">
        <v>0.0</v>
      </c>
      <c r="T136" s="109">
        <v>1.4561</v>
      </c>
      <c r="U136" s="109">
        <v>1.4219</v>
      </c>
      <c r="V136" s="109">
        <v>1.7027</v>
      </c>
      <c r="W136" s="109">
        <v>2.0769</v>
      </c>
      <c r="X136" s="109">
        <v>1.7778</v>
      </c>
      <c r="Y136" s="109">
        <v>2.1915</v>
      </c>
      <c r="Z136" s="109">
        <v>2.4091</v>
      </c>
      <c r="AA136" s="109">
        <v>2.5714</v>
      </c>
      <c r="AB136" s="109">
        <v>3.2553</v>
      </c>
      <c r="AC136" s="109">
        <v>1.1978</v>
      </c>
      <c r="AD136" s="109">
        <v>1.2727</v>
      </c>
      <c r="AE136" s="109">
        <v>0.2829</v>
      </c>
      <c r="AF136" s="109">
        <v>-1.0</v>
      </c>
    </row>
    <row r="137">
      <c r="A137" s="108">
        <v>605.0</v>
      </c>
      <c r="B137" s="108">
        <v>391435.0</v>
      </c>
      <c r="C137" s="108">
        <v>754000.0</v>
      </c>
      <c r="D137" s="108">
        <v>1145435.0</v>
      </c>
      <c r="E137" s="109">
        <v>1.1903</v>
      </c>
      <c r="F137" s="109">
        <v>1.7467</v>
      </c>
      <c r="G137" s="108">
        <v>98000.0</v>
      </c>
      <c r="H137" s="108">
        <v>10000.0</v>
      </c>
      <c r="I137" s="108">
        <v>70000.0</v>
      </c>
      <c r="J137" s="108">
        <v>160000.0</v>
      </c>
      <c r="K137" s="108">
        <v>40000.0</v>
      </c>
      <c r="L137" s="108">
        <v>60000.0</v>
      </c>
      <c r="M137" s="108">
        <v>150000.0</v>
      </c>
      <c r="N137" s="108">
        <v>10000.0</v>
      </c>
      <c r="O137" s="108">
        <v>100000.0</v>
      </c>
      <c r="P137" s="108">
        <v>21000.0</v>
      </c>
      <c r="Q137" s="108">
        <v>21000.0</v>
      </c>
      <c r="R137" s="108">
        <v>14000.0</v>
      </c>
      <c r="S137" s="108">
        <v>0.0</v>
      </c>
      <c r="T137" s="109">
        <v>1.4561</v>
      </c>
      <c r="U137" s="109">
        <v>1.4219</v>
      </c>
      <c r="V137" s="109">
        <v>1.7027</v>
      </c>
      <c r="W137" s="109">
        <v>2.0769</v>
      </c>
      <c r="X137" s="109">
        <v>1.7778</v>
      </c>
      <c r="Y137" s="109">
        <v>2.1915</v>
      </c>
      <c r="Z137" s="109">
        <v>2.4091</v>
      </c>
      <c r="AA137" s="109">
        <v>2.5714</v>
      </c>
      <c r="AB137" s="109">
        <v>3.2553</v>
      </c>
      <c r="AC137" s="109">
        <v>1.3077</v>
      </c>
      <c r="AD137" s="109">
        <v>1.3864</v>
      </c>
      <c r="AE137" s="109">
        <v>0.2829</v>
      </c>
      <c r="AF137" s="109">
        <v>-1.0</v>
      </c>
    </row>
    <row r="138">
      <c r="A138" s="108">
        <v>610.0</v>
      </c>
      <c r="B138" s="108">
        <v>394670.0</v>
      </c>
      <c r="C138" s="108">
        <v>756000.0</v>
      </c>
      <c r="D138" s="108">
        <v>1150670.0</v>
      </c>
      <c r="E138" s="109">
        <v>1.2084</v>
      </c>
      <c r="F138" s="109">
        <v>1.754</v>
      </c>
      <c r="G138" s="108">
        <v>98000.0</v>
      </c>
      <c r="H138" s="108">
        <v>10000.0</v>
      </c>
      <c r="I138" s="108">
        <v>70000.0</v>
      </c>
      <c r="J138" s="108">
        <v>160000.0</v>
      </c>
      <c r="K138" s="108">
        <v>40000.0</v>
      </c>
      <c r="L138" s="108">
        <v>60000.0</v>
      </c>
      <c r="M138" s="108">
        <v>150000.0</v>
      </c>
      <c r="N138" s="108">
        <v>10000.0</v>
      </c>
      <c r="O138" s="108">
        <v>100000.0</v>
      </c>
      <c r="P138" s="108">
        <v>22000.0</v>
      </c>
      <c r="Q138" s="108">
        <v>22000.0</v>
      </c>
      <c r="R138" s="108">
        <v>14000.0</v>
      </c>
      <c r="S138" s="108">
        <v>0.0</v>
      </c>
      <c r="T138" s="109">
        <v>1.4561</v>
      </c>
      <c r="U138" s="109">
        <v>1.4219</v>
      </c>
      <c r="V138" s="109">
        <v>1.7027</v>
      </c>
      <c r="W138" s="109">
        <v>2.0769</v>
      </c>
      <c r="X138" s="109">
        <v>1.7778</v>
      </c>
      <c r="Y138" s="109">
        <v>2.1915</v>
      </c>
      <c r="Z138" s="109">
        <v>2.4091</v>
      </c>
      <c r="AA138" s="109">
        <v>2.5714</v>
      </c>
      <c r="AB138" s="109">
        <v>3.2553</v>
      </c>
      <c r="AC138" s="109">
        <v>1.4176</v>
      </c>
      <c r="AD138" s="109">
        <v>1.5</v>
      </c>
      <c r="AE138" s="109">
        <v>0.2829</v>
      </c>
      <c r="AF138" s="109">
        <v>-1.0</v>
      </c>
    </row>
    <row r="139">
      <c r="A139" s="108">
        <v>615.0</v>
      </c>
      <c r="B139" s="108">
        <v>397905.0</v>
      </c>
      <c r="C139" s="108">
        <v>758000.0</v>
      </c>
      <c r="D139" s="108">
        <v>1155905.0</v>
      </c>
      <c r="E139" s="109">
        <v>1.2265</v>
      </c>
      <c r="F139" s="109">
        <v>1.7613</v>
      </c>
      <c r="G139" s="108">
        <v>98000.0</v>
      </c>
      <c r="H139" s="108">
        <v>10000.0</v>
      </c>
      <c r="I139" s="108">
        <v>70000.0</v>
      </c>
      <c r="J139" s="108">
        <v>160000.0</v>
      </c>
      <c r="K139" s="108">
        <v>40000.0</v>
      </c>
      <c r="L139" s="108">
        <v>60000.0</v>
      </c>
      <c r="M139" s="108">
        <v>150000.0</v>
      </c>
      <c r="N139" s="108">
        <v>10000.0</v>
      </c>
      <c r="O139" s="108">
        <v>100000.0</v>
      </c>
      <c r="P139" s="108">
        <v>23000.0</v>
      </c>
      <c r="Q139" s="108">
        <v>23000.0</v>
      </c>
      <c r="R139" s="108">
        <v>14000.0</v>
      </c>
      <c r="S139" s="108">
        <v>0.0</v>
      </c>
      <c r="T139" s="109">
        <v>1.4561</v>
      </c>
      <c r="U139" s="109">
        <v>1.4219</v>
      </c>
      <c r="V139" s="109">
        <v>1.7027</v>
      </c>
      <c r="W139" s="109">
        <v>2.0769</v>
      </c>
      <c r="X139" s="109">
        <v>1.7778</v>
      </c>
      <c r="Y139" s="109">
        <v>2.1915</v>
      </c>
      <c r="Z139" s="109">
        <v>2.4091</v>
      </c>
      <c r="AA139" s="109">
        <v>2.5714</v>
      </c>
      <c r="AB139" s="109">
        <v>3.2553</v>
      </c>
      <c r="AC139" s="109">
        <v>1.5275</v>
      </c>
      <c r="AD139" s="109">
        <v>1.6136</v>
      </c>
      <c r="AE139" s="109">
        <v>0.2829</v>
      </c>
      <c r="AF139" s="109">
        <v>-1.0</v>
      </c>
    </row>
    <row r="140">
      <c r="A140" s="108">
        <v>620.0</v>
      </c>
      <c r="B140" s="108">
        <v>401140.0</v>
      </c>
      <c r="C140" s="108">
        <v>760000.0</v>
      </c>
      <c r="D140" s="108">
        <v>1161140.0</v>
      </c>
      <c r="E140" s="109">
        <v>1.2446</v>
      </c>
      <c r="F140" s="109">
        <v>1.7686</v>
      </c>
      <c r="G140" s="108">
        <v>98000.0</v>
      </c>
      <c r="H140" s="108">
        <v>10000.0</v>
      </c>
      <c r="I140" s="108">
        <v>70000.0</v>
      </c>
      <c r="J140" s="108">
        <v>160000.0</v>
      </c>
      <c r="K140" s="108">
        <v>40000.0</v>
      </c>
      <c r="L140" s="108">
        <v>60000.0</v>
      </c>
      <c r="M140" s="108">
        <v>150000.0</v>
      </c>
      <c r="N140" s="108">
        <v>10000.0</v>
      </c>
      <c r="O140" s="108">
        <v>100000.0</v>
      </c>
      <c r="P140" s="108">
        <v>24000.0</v>
      </c>
      <c r="Q140" s="108">
        <v>24000.0</v>
      </c>
      <c r="R140" s="108">
        <v>14000.0</v>
      </c>
      <c r="S140" s="108">
        <v>0.0</v>
      </c>
      <c r="T140" s="109">
        <v>1.4561</v>
      </c>
      <c r="U140" s="109">
        <v>1.4219</v>
      </c>
      <c r="V140" s="109">
        <v>1.7027</v>
      </c>
      <c r="W140" s="109">
        <v>2.0769</v>
      </c>
      <c r="X140" s="109">
        <v>1.7778</v>
      </c>
      <c r="Y140" s="109">
        <v>2.1915</v>
      </c>
      <c r="Z140" s="109">
        <v>2.4091</v>
      </c>
      <c r="AA140" s="109">
        <v>2.5714</v>
      </c>
      <c r="AB140" s="109">
        <v>3.2553</v>
      </c>
      <c r="AC140" s="109">
        <v>1.6374</v>
      </c>
      <c r="AD140" s="109">
        <v>1.7273</v>
      </c>
      <c r="AE140" s="109">
        <v>0.2829</v>
      </c>
      <c r="AF140" s="109">
        <v>-1.0</v>
      </c>
    </row>
    <row r="141">
      <c r="A141" s="108">
        <v>625.0</v>
      </c>
      <c r="B141" s="108">
        <v>404375.0</v>
      </c>
      <c r="C141" s="108">
        <v>762000.0</v>
      </c>
      <c r="D141" s="108">
        <v>1166375.0</v>
      </c>
      <c r="E141" s="109">
        <v>1.2627</v>
      </c>
      <c r="F141" s="109">
        <v>1.7759</v>
      </c>
      <c r="G141" s="108">
        <v>98000.0</v>
      </c>
      <c r="H141" s="108">
        <v>10000.0</v>
      </c>
      <c r="I141" s="108">
        <v>70000.0</v>
      </c>
      <c r="J141" s="108">
        <v>160000.0</v>
      </c>
      <c r="K141" s="108">
        <v>40000.0</v>
      </c>
      <c r="L141" s="108">
        <v>60000.0</v>
      </c>
      <c r="M141" s="108">
        <v>150000.0</v>
      </c>
      <c r="N141" s="108">
        <v>10000.0</v>
      </c>
      <c r="O141" s="108">
        <v>100000.0</v>
      </c>
      <c r="P141" s="108">
        <v>25000.0</v>
      </c>
      <c r="Q141" s="108">
        <v>25000.0</v>
      </c>
      <c r="R141" s="108">
        <v>14000.0</v>
      </c>
      <c r="S141" s="108">
        <v>0.0</v>
      </c>
      <c r="T141" s="109">
        <v>1.4561</v>
      </c>
      <c r="U141" s="109">
        <v>1.4219</v>
      </c>
      <c r="V141" s="109">
        <v>1.7027</v>
      </c>
      <c r="W141" s="109">
        <v>2.0769</v>
      </c>
      <c r="X141" s="109">
        <v>1.7778</v>
      </c>
      <c r="Y141" s="109">
        <v>2.1915</v>
      </c>
      <c r="Z141" s="109">
        <v>2.4091</v>
      </c>
      <c r="AA141" s="109">
        <v>2.5714</v>
      </c>
      <c r="AB141" s="109">
        <v>3.2553</v>
      </c>
      <c r="AC141" s="109">
        <v>1.7473</v>
      </c>
      <c r="AD141" s="109">
        <v>1.8409</v>
      </c>
      <c r="AE141" s="109">
        <v>0.2829</v>
      </c>
      <c r="AF141" s="109">
        <v>-1.0</v>
      </c>
    </row>
    <row r="142">
      <c r="A142" s="108">
        <v>630.0</v>
      </c>
      <c r="B142" s="108">
        <v>407610.0</v>
      </c>
      <c r="C142" s="108">
        <v>764000.0</v>
      </c>
      <c r="D142" s="108">
        <v>1171610.0</v>
      </c>
      <c r="E142" s="109">
        <v>1.2808</v>
      </c>
      <c r="F142" s="109">
        <v>1.7832</v>
      </c>
      <c r="G142" s="108">
        <v>98000.0</v>
      </c>
      <c r="H142" s="108">
        <v>10000.0</v>
      </c>
      <c r="I142" s="108">
        <v>70000.0</v>
      </c>
      <c r="J142" s="108">
        <v>160000.0</v>
      </c>
      <c r="K142" s="108">
        <v>40000.0</v>
      </c>
      <c r="L142" s="108">
        <v>60000.0</v>
      </c>
      <c r="M142" s="108">
        <v>150000.0</v>
      </c>
      <c r="N142" s="108">
        <v>10000.0</v>
      </c>
      <c r="O142" s="108">
        <v>100000.0</v>
      </c>
      <c r="P142" s="108">
        <v>26000.0</v>
      </c>
      <c r="Q142" s="108">
        <v>26000.0</v>
      </c>
      <c r="R142" s="108">
        <v>14000.0</v>
      </c>
      <c r="S142" s="108">
        <v>0.0</v>
      </c>
      <c r="T142" s="109">
        <v>1.4561</v>
      </c>
      <c r="U142" s="109">
        <v>1.4219</v>
      </c>
      <c r="V142" s="109">
        <v>1.7027</v>
      </c>
      <c r="W142" s="109">
        <v>2.0769</v>
      </c>
      <c r="X142" s="109">
        <v>1.7778</v>
      </c>
      <c r="Y142" s="109">
        <v>2.1915</v>
      </c>
      <c r="Z142" s="109">
        <v>2.4091</v>
      </c>
      <c r="AA142" s="109">
        <v>2.5714</v>
      </c>
      <c r="AB142" s="109">
        <v>3.2553</v>
      </c>
      <c r="AC142" s="109">
        <v>1.8571</v>
      </c>
      <c r="AD142" s="109">
        <v>1.9545</v>
      </c>
      <c r="AE142" s="109">
        <v>0.2829</v>
      </c>
      <c r="AF142" s="109">
        <v>-1.0</v>
      </c>
    </row>
    <row r="143">
      <c r="A143" s="108">
        <v>635.0</v>
      </c>
      <c r="B143" s="108">
        <v>410845.0</v>
      </c>
      <c r="C143" s="108">
        <v>766000.0</v>
      </c>
      <c r="D143" s="108">
        <v>1176845.0</v>
      </c>
      <c r="E143" s="109">
        <v>1.2989</v>
      </c>
      <c r="F143" s="109">
        <v>1.7904</v>
      </c>
      <c r="G143" s="108">
        <v>98000.0</v>
      </c>
      <c r="H143" s="108">
        <v>10000.0</v>
      </c>
      <c r="I143" s="108">
        <v>70000.0</v>
      </c>
      <c r="J143" s="108">
        <v>160000.0</v>
      </c>
      <c r="K143" s="108">
        <v>40000.0</v>
      </c>
      <c r="L143" s="108">
        <v>60000.0</v>
      </c>
      <c r="M143" s="108">
        <v>150000.0</v>
      </c>
      <c r="N143" s="108">
        <v>10000.0</v>
      </c>
      <c r="O143" s="108">
        <v>100000.0</v>
      </c>
      <c r="P143" s="108">
        <v>27000.0</v>
      </c>
      <c r="Q143" s="108">
        <v>27000.0</v>
      </c>
      <c r="R143" s="108">
        <v>14000.0</v>
      </c>
      <c r="S143" s="108">
        <v>0.0</v>
      </c>
      <c r="T143" s="109">
        <v>1.4561</v>
      </c>
      <c r="U143" s="109">
        <v>1.4219</v>
      </c>
      <c r="V143" s="109">
        <v>1.7027</v>
      </c>
      <c r="W143" s="109">
        <v>2.0769</v>
      </c>
      <c r="X143" s="109">
        <v>1.7778</v>
      </c>
      <c r="Y143" s="109">
        <v>2.1915</v>
      </c>
      <c r="Z143" s="109">
        <v>2.4091</v>
      </c>
      <c r="AA143" s="109">
        <v>2.5714</v>
      </c>
      <c r="AB143" s="109">
        <v>3.2553</v>
      </c>
      <c r="AC143" s="109">
        <v>1.967</v>
      </c>
      <c r="AD143" s="109">
        <v>2.0682</v>
      </c>
      <c r="AE143" s="109">
        <v>0.2829</v>
      </c>
      <c r="AF143" s="109">
        <v>-1.0</v>
      </c>
    </row>
    <row r="144">
      <c r="A144" s="108">
        <v>640.0</v>
      </c>
      <c r="B144" s="108">
        <v>414080.0</v>
      </c>
      <c r="C144" s="108">
        <v>768000.0</v>
      </c>
      <c r="D144" s="108">
        <v>1182080.0</v>
      </c>
      <c r="E144" s="109">
        <v>1.317</v>
      </c>
      <c r="F144" s="109">
        <v>1.7977</v>
      </c>
      <c r="G144" s="108">
        <v>98000.0</v>
      </c>
      <c r="H144" s="108">
        <v>10000.0</v>
      </c>
      <c r="I144" s="108">
        <v>70000.0</v>
      </c>
      <c r="J144" s="108">
        <v>160000.0</v>
      </c>
      <c r="K144" s="108">
        <v>40000.0</v>
      </c>
      <c r="L144" s="108">
        <v>60000.0</v>
      </c>
      <c r="M144" s="108">
        <v>150000.0</v>
      </c>
      <c r="N144" s="108">
        <v>10000.0</v>
      </c>
      <c r="O144" s="108">
        <v>100000.0</v>
      </c>
      <c r="P144" s="108">
        <v>28000.0</v>
      </c>
      <c r="Q144" s="108">
        <v>28000.0</v>
      </c>
      <c r="R144" s="108">
        <v>14000.0</v>
      </c>
      <c r="S144" s="108">
        <v>0.0</v>
      </c>
      <c r="T144" s="109">
        <v>1.4561</v>
      </c>
      <c r="U144" s="109">
        <v>1.4219</v>
      </c>
      <c r="V144" s="109">
        <v>1.7027</v>
      </c>
      <c r="W144" s="109">
        <v>2.0769</v>
      </c>
      <c r="X144" s="109">
        <v>1.7778</v>
      </c>
      <c r="Y144" s="109">
        <v>2.1915</v>
      </c>
      <c r="Z144" s="109">
        <v>2.4091</v>
      </c>
      <c r="AA144" s="109">
        <v>2.5714</v>
      </c>
      <c r="AB144" s="109">
        <v>3.2553</v>
      </c>
      <c r="AC144" s="109">
        <v>2.0769</v>
      </c>
      <c r="AD144" s="109">
        <v>2.1818</v>
      </c>
      <c r="AE144" s="109">
        <v>0.2829</v>
      </c>
      <c r="AF144" s="109">
        <v>-1.0</v>
      </c>
    </row>
    <row r="145">
      <c r="A145" s="108">
        <v>645.0</v>
      </c>
      <c r="B145" s="108">
        <v>417315.0</v>
      </c>
      <c r="C145" s="108">
        <v>770000.0</v>
      </c>
      <c r="D145" s="108">
        <v>1187315.0</v>
      </c>
      <c r="E145" s="109">
        <v>1.3351</v>
      </c>
      <c r="F145" s="109">
        <v>1.805</v>
      </c>
      <c r="G145" s="108">
        <v>98000.0</v>
      </c>
      <c r="H145" s="108">
        <v>10000.0</v>
      </c>
      <c r="I145" s="108">
        <v>70000.0</v>
      </c>
      <c r="J145" s="108">
        <v>160000.0</v>
      </c>
      <c r="K145" s="108">
        <v>40000.0</v>
      </c>
      <c r="L145" s="108">
        <v>60000.0</v>
      </c>
      <c r="M145" s="108">
        <v>150000.0</v>
      </c>
      <c r="N145" s="108">
        <v>10000.0</v>
      </c>
      <c r="O145" s="108">
        <v>100000.0</v>
      </c>
      <c r="P145" s="108">
        <v>29000.0</v>
      </c>
      <c r="Q145" s="108">
        <v>29000.0</v>
      </c>
      <c r="R145" s="108">
        <v>14000.0</v>
      </c>
      <c r="S145" s="108">
        <v>0.0</v>
      </c>
      <c r="T145" s="109">
        <v>1.4561</v>
      </c>
      <c r="U145" s="109">
        <v>1.4219</v>
      </c>
      <c r="V145" s="109">
        <v>1.7027</v>
      </c>
      <c r="W145" s="109">
        <v>2.0769</v>
      </c>
      <c r="X145" s="109">
        <v>1.7778</v>
      </c>
      <c r="Y145" s="109">
        <v>2.1915</v>
      </c>
      <c r="Z145" s="109">
        <v>2.4091</v>
      </c>
      <c r="AA145" s="109">
        <v>2.5714</v>
      </c>
      <c r="AB145" s="109">
        <v>3.2553</v>
      </c>
      <c r="AC145" s="109">
        <v>2.1868</v>
      </c>
      <c r="AD145" s="109">
        <v>2.2955</v>
      </c>
      <c r="AE145" s="109">
        <v>0.2829</v>
      </c>
      <c r="AF145" s="109">
        <v>-1.0</v>
      </c>
    </row>
    <row r="146">
      <c r="A146" s="108">
        <v>650.0</v>
      </c>
      <c r="B146" s="108">
        <v>420550.0</v>
      </c>
      <c r="C146" s="108">
        <v>772000.0</v>
      </c>
      <c r="D146" s="108">
        <v>1192550.0</v>
      </c>
      <c r="E146" s="109">
        <v>1.3532</v>
      </c>
      <c r="F146" s="109">
        <v>1.8123</v>
      </c>
      <c r="G146" s="108">
        <v>98000.0</v>
      </c>
      <c r="H146" s="108">
        <v>10000.0</v>
      </c>
      <c r="I146" s="108">
        <v>70000.0</v>
      </c>
      <c r="J146" s="108">
        <v>160000.0</v>
      </c>
      <c r="K146" s="108">
        <v>40000.0</v>
      </c>
      <c r="L146" s="108">
        <v>60000.0</v>
      </c>
      <c r="M146" s="108">
        <v>150000.0</v>
      </c>
      <c r="N146" s="108">
        <v>10000.0</v>
      </c>
      <c r="O146" s="108">
        <v>100000.0</v>
      </c>
      <c r="P146" s="108">
        <v>30000.0</v>
      </c>
      <c r="Q146" s="108">
        <v>30000.0</v>
      </c>
      <c r="R146" s="108">
        <v>14000.0</v>
      </c>
      <c r="S146" s="108">
        <v>0.0</v>
      </c>
      <c r="T146" s="109">
        <v>1.4561</v>
      </c>
      <c r="U146" s="109">
        <v>1.4219</v>
      </c>
      <c r="V146" s="109">
        <v>1.7027</v>
      </c>
      <c r="W146" s="109">
        <v>2.0769</v>
      </c>
      <c r="X146" s="109">
        <v>1.7778</v>
      </c>
      <c r="Y146" s="109">
        <v>2.1915</v>
      </c>
      <c r="Z146" s="109">
        <v>2.4091</v>
      </c>
      <c r="AA146" s="109">
        <v>2.5714</v>
      </c>
      <c r="AB146" s="109">
        <v>3.2553</v>
      </c>
      <c r="AC146" s="109">
        <v>2.2967</v>
      </c>
      <c r="AD146" s="109">
        <v>2.4091</v>
      </c>
      <c r="AE146" s="109">
        <v>0.2829</v>
      </c>
      <c r="AF146" s="109">
        <v>-1.0</v>
      </c>
    </row>
    <row r="147">
      <c r="A147" s="108">
        <v>655.0</v>
      </c>
      <c r="B147" s="108">
        <v>423785.0</v>
      </c>
      <c r="C147" s="108">
        <v>774000.0</v>
      </c>
      <c r="D147" s="108">
        <v>1197785.0</v>
      </c>
      <c r="E147" s="109">
        <v>1.3713</v>
      </c>
      <c r="F147" s="109">
        <v>1.8196</v>
      </c>
      <c r="G147" s="108">
        <v>98000.0</v>
      </c>
      <c r="H147" s="108">
        <v>10000.0</v>
      </c>
      <c r="I147" s="108">
        <v>70000.0</v>
      </c>
      <c r="J147" s="108">
        <v>160000.0</v>
      </c>
      <c r="K147" s="108">
        <v>40000.0</v>
      </c>
      <c r="L147" s="108">
        <v>60000.0</v>
      </c>
      <c r="M147" s="108">
        <v>150000.0</v>
      </c>
      <c r="N147" s="108">
        <v>10000.0</v>
      </c>
      <c r="O147" s="108">
        <v>100000.0</v>
      </c>
      <c r="P147" s="108">
        <v>31000.0</v>
      </c>
      <c r="Q147" s="108">
        <v>31000.0</v>
      </c>
      <c r="R147" s="108">
        <v>14000.0</v>
      </c>
      <c r="S147" s="108">
        <v>0.0</v>
      </c>
      <c r="T147" s="109">
        <v>1.4561</v>
      </c>
      <c r="U147" s="109">
        <v>1.4219</v>
      </c>
      <c r="V147" s="109">
        <v>1.7027</v>
      </c>
      <c r="W147" s="109">
        <v>2.0769</v>
      </c>
      <c r="X147" s="109">
        <v>1.7778</v>
      </c>
      <c r="Y147" s="109">
        <v>2.1915</v>
      </c>
      <c r="Z147" s="109">
        <v>2.4091</v>
      </c>
      <c r="AA147" s="109">
        <v>2.5714</v>
      </c>
      <c r="AB147" s="109">
        <v>3.2553</v>
      </c>
      <c r="AC147" s="109">
        <v>2.4066</v>
      </c>
      <c r="AD147" s="109">
        <v>2.5227</v>
      </c>
      <c r="AE147" s="109">
        <v>0.2829</v>
      </c>
      <c r="AF147" s="109">
        <v>-1.0</v>
      </c>
    </row>
    <row r="148">
      <c r="A148" s="108">
        <v>660.0</v>
      </c>
      <c r="B148" s="108">
        <v>427020.0</v>
      </c>
      <c r="C148" s="108">
        <v>776000.0</v>
      </c>
      <c r="D148" s="108">
        <v>1203020.0</v>
      </c>
      <c r="E148" s="109">
        <v>1.3894</v>
      </c>
      <c r="F148" s="109">
        <v>1.8269</v>
      </c>
      <c r="G148" s="108">
        <v>98000.0</v>
      </c>
      <c r="H148" s="108">
        <v>10000.0</v>
      </c>
      <c r="I148" s="108">
        <v>70000.0</v>
      </c>
      <c r="J148" s="108">
        <v>160000.0</v>
      </c>
      <c r="K148" s="108">
        <v>40000.0</v>
      </c>
      <c r="L148" s="108">
        <v>60000.0</v>
      </c>
      <c r="M148" s="108">
        <v>150000.0</v>
      </c>
      <c r="N148" s="108">
        <v>10000.0</v>
      </c>
      <c r="O148" s="108">
        <v>100000.0</v>
      </c>
      <c r="P148" s="108">
        <v>32000.0</v>
      </c>
      <c r="Q148" s="108">
        <v>32000.0</v>
      </c>
      <c r="R148" s="108">
        <v>14000.0</v>
      </c>
      <c r="S148" s="108">
        <v>0.0</v>
      </c>
      <c r="T148" s="109">
        <v>1.4561</v>
      </c>
      <c r="U148" s="109">
        <v>1.4219</v>
      </c>
      <c r="V148" s="109">
        <v>1.7027</v>
      </c>
      <c r="W148" s="109">
        <v>2.0769</v>
      </c>
      <c r="X148" s="109">
        <v>1.7778</v>
      </c>
      <c r="Y148" s="109">
        <v>2.1915</v>
      </c>
      <c r="Z148" s="109">
        <v>2.4091</v>
      </c>
      <c r="AA148" s="109">
        <v>2.5714</v>
      </c>
      <c r="AB148" s="109">
        <v>3.2553</v>
      </c>
      <c r="AC148" s="109">
        <v>2.5165</v>
      </c>
      <c r="AD148" s="109">
        <v>2.6364</v>
      </c>
      <c r="AE148" s="109">
        <v>0.2829</v>
      </c>
      <c r="AF148" s="109">
        <v>-1.0</v>
      </c>
    </row>
    <row r="149">
      <c r="A149" s="108">
        <v>665.0</v>
      </c>
      <c r="B149" s="108">
        <v>430255.0</v>
      </c>
      <c r="C149" s="108">
        <v>778000.0</v>
      </c>
      <c r="D149" s="108">
        <v>1208255.0</v>
      </c>
      <c r="E149" s="109">
        <v>1.4075</v>
      </c>
      <c r="F149" s="109">
        <v>1.8342</v>
      </c>
      <c r="G149" s="108">
        <v>98000.0</v>
      </c>
      <c r="H149" s="108">
        <v>10000.0</v>
      </c>
      <c r="I149" s="108">
        <v>70000.0</v>
      </c>
      <c r="J149" s="108">
        <v>160000.0</v>
      </c>
      <c r="K149" s="108">
        <v>40000.0</v>
      </c>
      <c r="L149" s="108">
        <v>60000.0</v>
      </c>
      <c r="M149" s="108">
        <v>150000.0</v>
      </c>
      <c r="N149" s="108">
        <v>10000.0</v>
      </c>
      <c r="O149" s="108">
        <v>100000.0</v>
      </c>
      <c r="P149" s="108">
        <v>33000.0</v>
      </c>
      <c r="Q149" s="108">
        <v>33000.0</v>
      </c>
      <c r="R149" s="108">
        <v>14000.0</v>
      </c>
      <c r="S149" s="108">
        <v>0.0</v>
      </c>
      <c r="T149" s="109">
        <v>1.4561</v>
      </c>
      <c r="U149" s="109">
        <v>1.4219</v>
      </c>
      <c r="V149" s="109">
        <v>1.7027</v>
      </c>
      <c r="W149" s="109">
        <v>2.0769</v>
      </c>
      <c r="X149" s="109">
        <v>1.7778</v>
      </c>
      <c r="Y149" s="109">
        <v>2.1915</v>
      </c>
      <c r="Z149" s="109">
        <v>2.4091</v>
      </c>
      <c r="AA149" s="109">
        <v>2.5714</v>
      </c>
      <c r="AB149" s="109">
        <v>3.2553</v>
      </c>
      <c r="AC149" s="109">
        <v>2.6264</v>
      </c>
      <c r="AD149" s="109">
        <v>2.75</v>
      </c>
      <c r="AE149" s="109">
        <v>0.2829</v>
      </c>
      <c r="AF149" s="109">
        <v>-1.0</v>
      </c>
    </row>
    <row r="150">
      <c r="A150" s="108">
        <v>670.0</v>
      </c>
      <c r="B150" s="108">
        <v>433490.0</v>
      </c>
      <c r="C150" s="108">
        <v>780000.0</v>
      </c>
      <c r="D150" s="108">
        <v>1213490.0</v>
      </c>
      <c r="E150" s="109">
        <v>1.4256</v>
      </c>
      <c r="F150" s="109">
        <v>1.8414</v>
      </c>
      <c r="G150" s="108">
        <v>98000.0</v>
      </c>
      <c r="H150" s="108">
        <v>10000.0</v>
      </c>
      <c r="I150" s="108">
        <v>70000.0</v>
      </c>
      <c r="J150" s="108">
        <v>160000.0</v>
      </c>
      <c r="K150" s="108">
        <v>40000.0</v>
      </c>
      <c r="L150" s="108">
        <v>60000.0</v>
      </c>
      <c r="M150" s="108">
        <v>150000.0</v>
      </c>
      <c r="N150" s="108">
        <v>10000.0</v>
      </c>
      <c r="O150" s="108">
        <v>100000.0</v>
      </c>
      <c r="P150" s="108">
        <v>34000.0</v>
      </c>
      <c r="Q150" s="108">
        <v>34000.0</v>
      </c>
      <c r="R150" s="108">
        <v>14000.0</v>
      </c>
      <c r="S150" s="108">
        <v>0.0</v>
      </c>
      <c r="T150" s="109">
        <v>1.4561</v>
      </c>
      <c r="U150" s="109">
        <v>1.4219</v>
      </c>
      <c r="V150" s="109">
        <v>1.7027</v>
      </c>
      <c r="W150" s="109">
        <v>2.0769</v>
      </c>
      <c r="X150" s="109">
        <v>1.7778</v>
      </c>
      <c r="Y150" s="109">
        <v>2.1915</v>
      </c>
      <c r="Z150" s="109">
        <v>2.4091</v>
      </c>
      <c r="AA150" s="109">
        <v>2.5714</v>
      </c>
      <c r="AB150" s="109">
        <v>3.2553</v>
      </c>
      <c r="AC150" s="109">
        <v>2.7363</v>
      </c>
      <c r="AD150" s="109">
        <v>2.8636</v>
      </c>
      <c r="AE150" s="109">
        <v>0.2829</v>
      </c>
      <c r="AF150" s="109">
        <v>-1.0</v>
      </c>
    </row>
    <row r="151">
      <c r="A151" s="108">
        <v>675.0</v>
      </c>
      <c r="B151" s="108">
        <v>436725.0</v>
      </c>
      <c r="C151" s="108">
        <v>782000.0</v>
      </c>
      <c r="D151" s="108">
        <v>1218725.0</v>
      </c>
      <c r="E151" s="109">
        <v>1.4437</v>
      </c>
      <c r="F151" s="109">
        <v>1.8487</v>
      </c>
      <c r="G151" s="108">
        <v>98000.0</v>
      </c>
      <c r="H151" s="108">
        <v>10000.0</v>
      </c>
      <c r="I151" s="108">
        <v>70000.0</v>
      </c>
      <c r="J151" s="108">
        <v>160000.0</v>
      </c>
      <c r="K151" s="108">
        <v>40000.0</v>
      </c>
      <c r="L151" s="108">
        <v>60000.0</v>
      </c>
      <c r="M151" s="108">
        <v>150000.0</v>
      </c>
      <c r="N151" s="108">
        <v>10000.0</v>
      </c>
      <c r="O151" s="108">
        <v>100000.0</v>
      </c>
      <c r="P151" s="108">
        <v>35000.0</v>
      </c>
      <c r="Q151" s="108">
        <v>35000.0</v>
      </c>
      <c r="R151" s="108">
        <v>14000.0</v>
      </c>
      <c r="S151" s="108">
        <v>0.0</v>
      </c>
      <c r="T151" s="109">
        <v>1.4561</v>
      </c>
      <c r="U151" s="109">
        <v>1.4219</v>
      </c>
      <c r="V151" s="109">
        <v>1.7027</v>
      </c>
      <c r="W151" s="109">
        <v>2.0769</v>
      </c>
      <c r="X151" s="109">
        <v>1.7778</v>
      </c>
      <c r="Y151" s="109">
        <v>2.1915</v>
      </c>
      <c r="Z151" s="109">
        <v>2.4091</v>
      </c>
      <c r="AA151" s="109">
        <v>2.5714</v>
      </c>
      <c r="AB151" s="109">
        <v>3.2553</v>
      </c>
      <c r="AC151" s="109">
        <v>2.8462</v>
      </c>
      <c r="AD151" s="109">
        <v>2.9773</v>
      </c>
      <c r="AE151" s="109">
        <v>0.2829</v>
      </c>
      <c r="AF151" s="109">
        <v>-1.0</v>
      </c>
    </row>
    <row r="152">
      <c r="A152" s="108">
        <v>680.0</v>
      </c>
      <c r="B152" s="108">
        <v>439960.0</v>
      </c>
      <c r="C152" s="108">
        <v>784000.0</v>
      </c>
      <c r="D152" s="108">
        <v>1223960.0</v>
      </c>
      <c r="E152" s="109">
        <v>1.4618</v>
      </c>
      <c r="F152" s="109">
        <v>1.856</v>
      </c>
      <c r="G152" s="108">
        <v>98000.0</v>
      </c>
      <c r="H152" s="108">
        <v>10000.0</v>
      </c>
      <c r="I152" s="108">
        <v>70000.0</v>
      </c>
      <c r="J152" s="108">
        <v>160000.0</v>
      </c>
      <c r="K152" s="108">
        <v>40000.0</v>
      </c>
      <c r="L152" s="108">
        <v>60000.0</v>
      </c>
      <c r="M152" s="108">
        <v>150000.0</v>
      </c>
      <c r="N152" s="108">
        <v>10000.0</v>
      </c>
      <c r="O152" s="108">
        <v>100000.0</v>
      </c>
      <c r="P152" s="108">
        <v>36000.0</v>
      </c>
      <c r="Q152" s="108">
        <v>36000.0</v>
      </c>
      <c r="R152" s="108">
        <v>14000.0</v>
      </c>
      <c r="S152" s="108">
        <v>0.0</v>
      </c>
      <c r="T152" s="109">
        <v>1.4561</v>
      </c>
      <c r="U152" s="109">
        <v>1.4219</v>
      </c>
      <c r="V152" s="109">
        <v>1.7027</v>
      </c>
      <c r="W152" s="109">
        <v>2.0769</v>
      </c>
      <c r="X152" s="109">
        <v>1.7778</v>
      </c>
      <c r="Y152" s="109">
        <v>2.1915</v>
      </c>
      <c r="Z152" s="109">
        <v>2.4091</v>
      </c>
      <c r="AA152" s="109">
        <v>2.5714</v>
      </c>
      <c r="AB152" s="109">
        <v>3.2553</v>
      </c>
      <c r="AC152" s="109">
        <v>2.956</v>
      </c>
      <c r="AD152" s="109">
        <v>3.0909</v>
      </c>
      <c r="AE152" s="109">
        <v>0.2829</v>
      </c>
      <c r="AF152" s="109">
        <v>-1.0</v>
      </c>
    </row>
    <row r="153">
      <c r="A153" s="108">
        <v>685.0</v>
      </c>
      <c r="B153" s="108">
        <v>443195.0</v>
      </c>
      <c r="C153" s="108">
        <v>786000.0</v>
      </c>
      <c r="D153" s="108">
        <v>1229195.0</v>
      </c>
      <c r="E153" s="109">
        <v>1.4799</v>
      </c>
      <c r="F153" s="109">
        <v>1.8633</v>
      </c>
      <c r="G153" s="108">
        <v>98000.0</v>
      </c>
      <c r="H153" s="108">
        <v>10000.0</v>
      </c>
      <c r="I153" s="108">
        <v>70000.0</v>
      </c>
      <c r="J153" s="108">
        <v>160000.0</v>
      </c>
      <c r="K153" s="108">
        <v>40000.0</v>
      </c>
      <c r="L153" s="108">
        <v>60000.0</v>
      </c>
      <c r="M153" s="108">
        <v>150000.0</v>
      </c>
      <c r="N153" s="108">
        <v>10000.0</v>
      </c>
      <c r="O153" s="108">
        <v>100000.0</v>
      </c>
      <c r="P153" s="108">
        <v>37000.0</v>
      </c>
      <c r="Q153" s="108">
        <v>37000.0</v>
      </c>
      <c r="R153" s="108">
        <v>14000.0</v>
      </c>
      <c r="S153" s="108">
        <v>0.0</v>
      </c>
      <c r="T153" s="109">
        <v>1.4561</v>
      </c>
      <c r="U153" s="109">
        <v>1.4219</v>
      </c>
      <c r="V153" s="109">
        <v>1.7027</v>
      </c>
      <c r="W153" s="109">
        <v>2.0769</v>
      </c>
      <c r="X153" s="109">
        <v>1.7778</v>
      </c>
      <c r="Y153" s="109">
        <v>2.1915</v>
      </c>
      <c r="Z153" s="109">
        <v>2.4091</v>
      </c>
      <c r="AA153" s="109">
        <v>2.5714</v>
      </c>
      <c r="AB153" s="109">
        <v>3.2553</v>
      </c>
      <c r="AC153" s="109">
        <v>3.0659</v>
      </c>
      <c r="AD153" s="109">
        <v>3.2045</v>
      </c>
      <c r="AE153" s="109">
        <v>0.2829</v>
      </c>
      <c r="AF153" s="109">
        <v>-1.0</v>
      </c>
    </row>
    <row r="154">
      <c r="A154" s="108">
        <v>690.0</v>
      </c>
      <c r="B154" s="108">
        <v>446430.0</v>
      </c>
      <c r="C154" s="108">
        <v>788000.0</v>
      </c>
      <c r="D154" s="108">
        <v>1234430.0</v>
      </c>
      <c r="E154" s="109">
        <v>1.498</v>
      </c>
      <c r="F154" s="109">
        <v>1.8706</v>
      </c>
      <c r="G154" s="108">
        <v>98000.0</v>
      </c>
      <c r="H154" s="108">
        <v>10000.0</v>
      </c>
      <c r="I154" s="108">
        <v>70000.0</v>
      </c>
      <c r="J154" s="108">
        <v>160000.0</v>
      </c>
      <c r="K154" s="108">
        <v>40000.0</v>
      </c>
      <c r="L154" s="108">
        <v>60000.0</v>
      </c>
      <c r="M154" s="108">
        <v>150000.0</v>
      </c>
      <c r="N154" s="108">
        <v>10000.0</v>
      </c>
      <c r="O154" s="108">
        <v>100000.0</v>
      </c>
      <c r="P154" s="108">
        <v>38000.0</v>
      </c>
      <c r="Q154" s="108">
        <v>38000.0</v>
      </c>
      <c r="R154" s="108">
        <v>14000.0</v>
      </c>
      <c r="S154" s="108">
        <v>0.0</v>
      </c>
      <c r="T154" s="109">
        <v>1.4561</v>
      </c>
      <c r="U154" s="109">
        <v>1.4219</v>
      </c>
      <c r="V154" s="109">
        <v>1.7027</v>
      </c>
      <c r="W154" s="109">
        <v>2.0769</v>
      </c>
      <c r="X154" s="109">
        <v>1.7778</v>
      </c>
      <c r="Y154" s="109">
        <v>2.1915</v>
      </c>
      <c r="Z154" s="109">
        <v>2.4091</v>
      </c>
      <c r="AA154" s="109">
        <v>2.5714</v>
      </c>
      <c r="AB154" s="109">
        <v>3.2553</v>
      </c>
      <c r="AC154" s="109">
        <v>3.1758</v>
      </c>
      <c r="AD154" s="109">
        <v>3.3182</v>
      </c>
      <c r="AE154" s="109">
        <v>0.2829</v>
      </c>
      <c r="AF154" s="109">
        <v>-1.0</v>
      </c>
    </row>
    <row r="155">
      <c r="A155" s="108">
        <v>695.0</v>
      </c>
      <c r="B155" s="108">
        <v>449665.0</v>
      </c>
      <c r="C155" s="108">
        <v>790000.0</v>
      </c>
      <c r="D155" s="108">
        <v>1239665.0</v>
      </c>
      <c r="E155" s="109">
        <v>1.5161</v>
      </c>
      <c r="F155" s="109">
        <v>1.8779</v>
      </c>
      <c r="G155" s="108">
        <v>98000.0</v>
      </c>
      <c r="H155" s="108">
        <v>10000.0</v>
      </c>
      <c r="I155" s="108">
        <v>70000.0</v>
      </c>
      <c r="J155" s="108">
        <v>160000.0</v>
      </c>
      <c r="K155" s="108">
        <v>40000.0</v>
      </c>
      <c r="L155" s="108">
        <v>60000.0</v>
      </c>
      <c r="M155" s="108">
        <v>150000.0</v>
      </c>
      <c r="N155" s="108">
        <v>10000.0</v>
      </c>
      <c r="O155" s="108">
        <v>100000.0</v>
      </c>
      <c r="P155" s="108">
        <v>39000.0</v>
      </c>
      <c r="Q155" s="108">
        <v>39000.0</v>
      </c>
      <c r="R155" s="108">
        <v>14000.0</v>
      </c>
      <c r="S155" s="108">
        <v>0.0</v>
      </c>
      <c r="T155" s="109">
        <v>1.4561</v>
      </c>
      <c r="U155" s="109">
        <v>1.4219</v>
      </c>
      <c r="V155" s="109">
        <v>1.7027</v>
      </c>
      <c r="W155" s="109">
        <v>2.0769</v>
      </c>
      <c r="X155" s="109">
        <v>1.7778</v>
      </c>
      <c r="Y155" s="109">
        <v>2.1915</v>
      </c>
      <c r="Z155" s="109">
        <v>2.4091</v>
      </c>
      <c r="AA155" s="109">
        <v>2.5714</v>
      </c>
      <c r="AB155" s="109">
        <v>3.2553</v>
      </c>
      <c r="AC155" s="109">
        <v>3.2857</v>
      </c>
      <c r="AD155" s="109">
        <v>3.4318</v>
      </c>
      <c r="AE155" s="109">
        <v>0.2829</v>
      </c>
      <c r="AF155" s="109">
        <v>-1.0</v>
      </c>
    </row>
    <row r="156">
      <c r="A156" s="108">
        <v>700.0</v>
      </c>
      <c r="B156" s="108">
        <v>452900.0</v>
      </c>
      <c r="C156" s="108">
        <v>792000.0</v>
      </c>
      <c r="D156" s="108">
        <v>1244900.0</v>
      </c>
      <c r="E156" s="109">
        <v>1.5342</v>
      </c>
      <c r="F156" s="109">
        <v>1.8852</v>
      </c>
      <c r="G156" s="108">
        <v>98000.0</v>
      </c>
      <c r="H156" s="108">
        <v>10000.0</v>
      </c>
      <c r="I156" s="108">
        <v>70000.0</v>
      </c>
      <c r="J156" s="108">
        <v>160000.0</v>
      </c>
      <c r="K156" s="108">
        <v>40000.0</v>
      </c>
      <c r="L156" s="108">
        <v>60000.0</v>
      </c>
      <c r="M156" s="108">
        <v>150000.0</v>
      </c>
      <c r="N156" s="108">
        <v>10000.0</v>
      </c>
      <c r="O156" s="108">
        <v>100000.0</v>
      </c>
      <c r="P156" s="108">
        <v>40000.0</v>
      </c>
      <c r="Q156" s="108">
        <v>40000.0</v>
      </c>
      <c r="R156" s="108">
        <v>14000.0</v>
      </c>
      <c r="S156" s="108">
        <v>0.0</v>
      </c>
      <c r="T156" s="109">
        <v>1.4561</v>
      </c>
      <c r="U156" s="109">
        <v>1.4219</v>
      </c>
      <c r="V156" s="109">
        <v>1.7027</v>
      </c>
      <c r="W156" s="109">
        <v>2.0769</v>
      </c>
      <c r="X156" s="109">
        <v>1.7778</v>
      </c>
      <c r="Y156" s="109">
        <v>2.1915</v>
      </c>
      <c r="Z156" s="109">
        <v>2.4091</v>
      </c>
      <c r="AA156" s="109">
        <v>2.5714</v>
      </c>
      <c r="AB156" s="109">
        <v>3.2553</v>
      </c>
      <c r="AC156" s="109">
        <v>3.3956</v>
      </c>
      <c r="AD156" s="109">
        <v>3.5455</v>
      </c>
      <c r="AE156" s="109">
        <v>0.2829</v>
      </c>
      <c r="AF156" s="109">
        <v>-1.0</v>
      </c>
    </row>
    <row r="157">
      <c r="A157" s="108">
        <v>705.0</v>
      </c>
      <c r="B157" s="108">
        <v>456135.0</v>
      </c>
      <c r="C157" s="108">
        <v>792000.0</v>
      </c>
      <c r="D157" s="108">
        <v>1248135.0</v>
      </c>
      <c r="E157" s="109">
        <v>1.5523</v>
      </c>
      <c r="F157" s="109">
        <v>1.8852</v>
      </c>
      <c r="G157" s="108">
        <v>98000.0</v>
      </c>
      <c r="H157" s="108">
        <v>10000.0</v>
      </c>
      <c r="I157" s="108">
        <v>70000.0</v>
      </c>
      <c r="J157" s="108">
        <v>160000.0</v>
      </c>
      <c r="K157" s="108">
        <v>40000.0</v>
      </c>
      <c r="L157" s="108">
        <v>60000.0</v>
      </c>
      <c r="M157" s="108">
        <v>150000.0</v>
      </c>
      <c r="N157" s="108">
        <v>10000.0</v>
      </c>
      <c r="O157" s="108">
        <v>100000.0</v>
      </c>
      <c r="P157" s="108">
        <v>40000.0</v>
      </c>
      <c r="Q157" s="108">
        <v>40000.0</v>
      </c>
      <c r="R157" s="108">
        <v>14000.0</v>
      </c>
      <c r="S157" s="108">
        <v>0.0</v>
      </c>
      <c r="T157" s="109">
        <v>1.4561</v>
      </c>
      <c r="U157" s="109">
        <v>1.4219</v>
      </c>
      <c r="V157" s="109">
        <v>1.7027</v>
      </c>
      <c r="W157" s="109">
        <v>2.0769</v>
      </c>
      <c r="X157" s="109">
        <v>1.7778</v>
      </c>
      <c r="Y157" s="109">
        <v>2.1915</v>
      </c>
      <c r="Z157" s="109">
        <v>2.4091</v>
      </c>
      <c r="AA157" s="109">
        <v>2.5714</v>
      </c>
      <c r="AB157" s="109">
        <v>3.2553</v>
      </c>
      <c r="AC157" s="109">
        <v>3.3956</v>
      </c>
      <c r="AD157" s="109">
        <v>3.5455</v>
      </c>
      <c r="AE157" s="109">
        <v>0.2829</v>
      </c>
      <c r="AF157" s="109">
        <v>-1.0</v>
      </c>
    </row>
    <row r="158">
      <c r="A158" s="108">
        <v>710.0</v>
      </c>
      <c r="B158" s="108">
        <v>459370.0</v>
      </c>
      <c r="C158" s="108">
        <v>792000.0</v>
      </c>
      <c r="D158" s="108">
        <v>1251370.0</v>
      </c>
      <c r="E158" s="109">
        <v>1.5704</v>
      </c>
      <c r="F158" s="109">
        <v>1.8852</v>
      </c>
      <c r="G158" s="108">
        <v>98000.0</v>
      </c>
      <c r="H158" s="108">
        <v>10000.0</v>
      </c>
      <c r="I158" s="108">
        <v>70000.0</v>
      </c>
      <c r="J158" s="108">
        <v>160000.0</v>
      </c>
      <c r="K158" s="108">
        <v>40000.0</v>
      </c>
      <c r="L158" s="108">
        <v>60000.0</v>
      </c>
      <c r="M158" s="108">
        <v>150000.0</v>
      </c>
      <c r="N158" s="108">
        <v>10000.0</v>
      </c>
      <c r="O158" s="108">
        <v>100000.0</v>
      </c>
      <c r="P158" s="108">
        <v>40000.0</v>
      </c>
      <c r="Q158" s="108">
        <v>40000.0</v>
      </c>
      <c r="R158" s="108">
        <v>14000.0</v>
      </c>
      <c r="S158" s="108">
        <v>0.0</v>
      </c>
      <c r="T158" s="109">
        <v>1.4561</v>
      </c>
      <c r="U158" s="109">
        <v>1.4219</v>
      </c>
      <c r="V158" s="109">
        <v>1.7027</v>
      </c>
      <c r="W158" s="109">
        <v>2.0769</v>
      </c>
      <c r="X158" s="109">
        <v>1.7778</v>
      </c>
      <c r="Y158" s="109">
        <v>2.1915</v>
      </c>
      <c r="Z158" s="109">
        <v>2.4091</v>
      </c>
      <c r="AA158" s="109">
        <v>2.5714</v>
      </c>
      <c r="AB158" s="109">
        <v>3.2553</v>
      </c>
      <c r="AC158" s="109">
        <v>3.3956</v>
      </c>
      <c r="AD158" s="109">
        <v>3.5455</v>
      </c>
      <c r="AE158" s="109">
        <v>0.2829</v>
      </c>
      <c r="AF158" s="109">
        <v>-1.0</v>
      </c>
    </row>
    <row r="159">
      <c r="A159" s="108">
        <v>715.0</v>
      </c>
      <c r="B159" s="108">
        <v>462605.0</v>
      </c>
      <c r="C159" s="108">
        <v>792000.0</v>
      </c>
      <c r="D159" s="108">
        <v>1254605.0</v>
      </c>
      <c r="E159" s="109">
        <v>1.5885</v>
      </c>
      <c r="F159" s="109">
        <v>1.8852</v>
      </c>
      <c r="G159" s="108">
        <v>98000.0</v>
      </c>
      <c r="H159" s="108">
        <v>10000.0</v>
      </c>
      <c r="I159" s="108">
        <v>70000.0</v>
      </c>
      <c r="J159" s="108">
        <v>160000.0</v>
      </c>
      <c r="K159" s="108">
        <v>40000.0</v>
      </c>
      <c r="L159" s="108">
        <v>60000.0</v>
      </c>
      <c r="M159" s="108">
        <v>150000.0</v>
      </c>
      <c r="N159" s="108">
        <v>10000.0</v>
      </c>
      <c r="O159" s="108">
        <v>100000.0</v>
      </c>
      <c r="P159" s="108">
        <v>40000.0</v>
      </c>
      <c r="Q159" s="108">
        <v>40000.0</v>
      </c>
      <c r="R159" s="108">
        <v>14000.0</v>
      </c>
      <c r="S159" s="108">
        <v>0.0</v>
      </c>
      <c r="T159" s="109">
        <v>1.4561</v>
      </c>
      <c r="U159" s="109">
        <v>1.4219</v>
      </c>
      <c r="V159" s="109">
        <v>1.7027</v>
      </c>
      <c r="W159" s="109">
        <v>2.0769</v>
      </c>
      <c r="X159" s="109">
        <v>1.7778</v>
      </c>
      <c r="Y159" s="109">
        <v>2.1915</v>
      </c>
      <c r="Z159" s="109">
        <v>2.4091</v>
      </c>
      <c r="AA159" s="109">
        <v>2.5714</v>
      </c>
      <c r="AB159" s="109">
        <v>3.2553</v>
      </c>
      <c r="AC159" s="109">
        <v>3.3956</v>
      </c>
      <c r="AD159" s="109">
        <v>3.5455</v>
      </c>
      <c r="AE159" s="109">
        <v>0.2829</v>
      </c>
      <c r="AF159" s="109">
        <v>-1.0</v>
      </c>
    </row>
    <row r="160">
      <c r="A160" s="108">
        <v>720.0</v>
      </c>
      <c r="B160" s="108">
        <v>465840.0</v>
      </c>
      <c r="C160" s="108">
        <v>792000.0</v>
      </c>
      <c r="D160" s="108">
        <v>1257840.0</v>
      </c>
      <c r="E160" s="109">
        <v>1.6066</v>
      </c>
      <c r="F160" s="109">
        <v>1.8852</v>
      </c>
      <c r="G160" s="108">
        <v>98000.0</v>
      </c>
      <c r="H160" s="108">
        <v>10000.0</v>
      </c>
      <c r="I160" s="108">
        <v>70000.0</v>
      </c>
      <c r="J160" s="108">
        <v>160000.0</v>
      </c>
      <c r="K160" s="108">
        <v>40000.0</v>
      </c>
      <c r="L160" s="108">
        <v>60000.0</v>
      </c>
      <c r="M160" s="108">
        <v>150000.0</v>
      </c>
      <c r="N160" s="108">
        <v>10000.0</v>
      </c>
      <c r="O160" s="108">
        <v>100000.0</v>
      </c>
      <c r="P160" s="108">
        <v>40000.0</v>
      </c>
      <c r="Q160" s="108">
        <v>40000.0</v>
      </c>
      <c r="R160" s="108">
        <v>14000.0</v>
      </c>
      <c r="S160" s="108">
        <v>0.0</v>
      </c>
      <c r="T160" s="109">
        <v>1.4561</v>
      </c>
      <c r="U160" s="109">
        <v>1.4219</v>
      </c>
      <c r="V160" s="109">
        <v>1.7027</v>
      </c>
      <c r="W160" s="109">
        <v>2.0769</v>
      </c>
      <c r="X160" s="109">
        <v>1.7778</v>
      </c>
      <c r="Y160" s="109">
        <v>2.1915</v>
      </c>
      <c r="Z160" s="109">
        <v>2.4091</v>
      </c>
      <c r="AA160" s="109">
        <v>2.5714</v>
      </c>
      <c r="AB160" s="109">
        <v>3.2553</v>
      </c>
      <c r="AC160" s="109">
        <v>3.3956</v>
      </c>
      <c r="AD160" s="109">
        <v>3.5455</v>
      </c>
      <c r="AE160" s="109">
        <v>0.2829</v>
      </c>
      <c r="AF160" s="109">
        <v>-1.0</v>
      </c>
    </row>
    <row r="161">
      <c r="A161" s="108">
        <v>725.0</v>
      </c>
      <c r="B161" s="108">
        <v>469075.0</v>
      </c>
      <c r="C161" s="108">
        <v>792000.0</v>
      </c>
      <c r="D161" s="108">
        <v>1261075.0</v>
      </c>
      <c r="E161" s="109">
        <v>1.6247</v>
      </c>
      <c r="F161" s="109">
        <v>1.8852</v>
      </c>
      <c r="G161" s="108">
        <v>98000.0</v>
      </c>
      <c r="H161" s="108">
        <v>10000.0</v>
      </c>
      <c r="I161" s="108">
        <v>70000.0</v>
      </c>
      <c r="J161" s="108">
        <v>160000.0</v>
      </c>
      <c r="K161" s="108">
        <v>40000.0</v>
      </c>
      <c r="L161" s="108">
        <v>60000.0</v>
      </c>
      <c r="M161" s="108">
        <v>150000.0</v>
      </c>
      <c r="N161" s="108">
        <v>10000.0</v>
      </c>
      <c r="O161" s="108">
        <v>100000.0</v>
      </c>
      <c r="P161" s="108">
        <v>40000.0</v>
      </c>
      <c r="Q161" s="108">
        <v>40000.0</v>
      </c>
      <c r="R161" s="108">
        <v>14000.0</v>
      </c>
      <c r="S161" s="108">
        <v>0.0</v>
      </c>
      <c r="T161" s="109">
        <v>1.4561</v>
      </c>
      <c r="U161" s="109">
        <v>1.4219</v>
      </c>
      <c r="V161" s="109">
        <v>1.7027</v>
      </c>
      <c r="W161" s="109">
        <v>2.0769</v>
      </c>
      <c r="X161" s="109">
        <v>1.7778</v>
      </c>
      <c r="Y161" s="109">
        <v>2.1915</v>
      </c>
      <c r="Z161" s="109">
        <v>2.4091</v>
      </c>
      <c r="AA161" s="109">
        <v>2.5714</v>
      </c>
      <c r="AB161" s="109">
        <v>3.2553</v>
      </c>
      <c r="AC161" s="109">
        <v>3.3956</v>
      </c>
      <c r="AD161" s="109">
        <v>3.5455</v>
      </c>
      <c r="AE161" s="109">
        <v>0.2829</v>
      </c>
      <c r="AF161" s="109">
        <v>-1.0</v>
      </c>
    </row>
    <row r="162">
      <c r="A162" s="108">
        <v>730.0</v>
      </c>
      <c r="B162" s="108">
        <v>472310.0</v>
      </c>
      <c r="C162" s="108">
        <v>792000.0</v>
      </c>
      <c r="D162" s="108">
        <v>1264310.0</v>
      </c>
      <c r="E162" s="109">
        <v>1.6428</v>
      </c>
      <c r="F162" s="109">
        <v>1.8852</v>
      </c>
      <c r="G162" s="108">
        <v>98000.0</v>
      </c>
      <c r="H162" s="108">
        <v>10000.0</v>
      </c>
      <c r="I162" s="108">
        <v>70000.0</v>
      </c>
      <c r="J162" s="108">
        <v>160000.0</v>
      </c>
      <c r="K162" s="108">
        <v>40000.0</v>
      </c>
      <c r="L162" s="108">
        <v>60000.0</v>
      </c>
      <c r="M162" s="108">
        <v>150000.0</v>
      </c>
      <c r="N162" s="108">
        <v>10000.0</v>
      </c>
      <c r="O162" s="108">
        <v>100000.0</v>
      </c>
      <c r="P162" s="108">
        <v>40000.0</v>
      </c>
      <c r="Q162" s="108">
        <v>40000.0</v>
      </c>
      <c r="R162" s="108">
        <v>14000.0</v>
      </c>
      <c r="S162" s="108">
        <v>0.0</v>
      </c>
      <c r="T162" s="109">
        <v>1.4561</v>
      </c>
      <c r="U162" s="109">
        <v>1.4219</v>
      </c>
      <c r="V162" s="109">
        <v>1.7027</v>
      </c>
      <c r="W162" s="109">
        <v>2.0769</v>
      </c>
      <c r="X162" s="109">
        <v>1.7778</v>
      </c>
      <c r="Y162" s="109">
        <v>2.1915</v>
      </c>
      <c r="Z162" s="109">
        <v>2.4091</v>
      </c>
      <c r="AA162" s="109">
        <v>2.5714</v>
      </c>
      <c r="AB162" s="109">
        <v>3.2553</v>
      </c>
      <c r="AC162" s="109">
        <v>3.3956</v>
      </c>
      <c r="AD162" s="109">
        <v>3.5455</v>
      </c>
      <c r="AE162" s="109">
        <v>0.2829</v>
      </c>
      <c r="AF162" s="109">
        <v>-1.0</v>
      </c>
    </row>
    <row r="163">
      <c r="A163" s="108">
        <v>735.0</v>
      </c>
      <c r="B163" s="108">
        <v>475545.0</v>
      </c>
      <c r="C163" s="108">
        <v>792000.0</v>
      </c>
      <c r="D163" s="108">
        <v>1267545.0</v>
      </c>
      <c r="E163" s="109">
        <v>1.6609</v>
      </c>
      <c r="F163" s="109">
        <v>1.8852</v>
      </c>
      <c r="G163" s="108">
        <v>98000.0</v>
      </c>
      <c r="H163" s="108">
        <v>10000.0</v>
      </c>
      <c r="I163" s="108">
        <v>70000.0</v>
      </c>
      <c r="J163" s="108">
        <v>160000.0</v>
      </c>
      <c r="K163" s="108">
        <v>40000.0</v>
      </c>
      <c r="L163" s="108">
        <v>60000.0</v>
      </c>
      <c r="M163" s="108">
        <v>150000.0</v>
      </c>
      <c r="N163" s="108">
        <v>10000.0</v>
      </c>
      <c r="O163" s="108">
        <v>100000.0</v>
      </c>
      <c r="P163" s="108">
        <v>40000.0</v>
      </c>
      <c r="Q163" s="108">
        <v>40000.0</v>
      </c>
      <c r="R163" s="108">
        <v>14000.0</v>
      </c>
      <c r="S163" s="108">
        <v>0.0</v>
      </c>
      <c r="T163" s="109">
        <v>1.4561</v>
      </c>
      <c r="U163" s="109">
        <v>1.4219</v>
      </c>
      <c r="V163" s="109">
        <v>1.7027</v>
      </c>
      <c r="W163" s="109">
        <v>2.0769</v>
      </c>
      <c r="X163" s="109">
        <v>1.7778</v>
      </c>
      <c r="Y163" s="109">
        <v>2.1915</v>
      </c>
      <c r="Z163" s="109">
        <v>2.4091</v>
      </c>
      <c r="AA163" s="109">
        <v>2.5714</v>
      </c>
      <c r="AB163" s="109">
        <v>3.2553</v>
      </c>
      <c r="AC163" s="109">
        <v>3.3956</v>
      </c>
      <c r="AD163" s="109">
        <v>3.5455</v>
      </c>
      <c r="AE163" s="109">
        <v>0.2829</v>
      </c>
      <c r="AF163" s="109">
        <v>-1.0</v>
      </c>
    </row>
    <row r="164">
      <c r="A164" s="108">
        <v>740.0</v>
      </c>
      <c r="B164" s="108">
        <v>478780.0</v>
      </c>
      <c r="C164" s="108">
        <v>792000.0</v>
      </c>
      <c r="D164" s="108">
        <v>1270780.0</v>
      </c>
      <c r="E164" s="109">
        <v>1.679</v>
      </c>
      <c r="F164" s="109">
        <v>1.8852</v>
      </c>
      <c r="G164" s="108">
        <v>98000.0</v>
      </c>
      <c r="H164" s="108">
        <v>10000.0</v>
      </c>
      <c r="I164" s="108">
        <v>70000.0</v>
      </c>
      <c r="J164" s="108">
        <v>160000.0</v>
      </c>
      <c r="K164" s="108">
        <v>40000.0</v>
      </c>
      <c r="L164" s="108">
        <v>60000.0</v>
      </c>
      <c r="M164" s="108">
        <v>150000.0</v>
      </c>
      <c r="N164" s="108">
        <v>10000.0</v>
      </c>
      <c r="O164" s="108">
        <v>100000.0</v>
      </c>
      <c r="P164" s="108">
        <v>40000.0</v>
      </c>
      <c r="Q164" s="108">
        <v>40000.0</v>
      </c>
      <c r="R164" s="108">
        <v>14000.0</v>
      </c>
      <c r="S164" s="108">
        <v>0.0</v>
      </c>
      <c r="T164" s="109">
        <v>1.4561</v>
      </c>
      <c r="U164" s="109">
        <v>1.4219</v>
      </c>
      <c r="V164" s="109">
        <v>1.7027</v>
      </c>
      <c r="W164" s="109">
        <v>2.0769</v>
      </c>
      <c r="X164" s="109">
        <v>1.7778</v>
      </c>
      <c r="Y164" s="109">
        <v>2.1915</v>
      </c>
      <c r="Z164" s="109">
        <v>2.4091</v>
      </c>
      <c r="AA164" s="109">
        <v>2.5714</v>
      </c>
      <c r="AB164" s="109">
        <v>3.2553</v>
      </c>
      <c r="AC164" s="109">
        <v>3.3956</v>
      </c>
      <c r="AD164" s="109">
        <v>3.5455</v>
      </c>
      <c r="AE164" s="109">
        <v>0.2829</v>
      </c>
      <c r="AF164" s="109">
        <v>-1.0</v>
      </c>
    </row>
    <row r="165">
      <c r="A165" s="108">
        <v>745.0</v>
      </c>
      <c r="B165" s="108">
        <v>482015.0</v>
      </c>
      <c r="C165" s="108">
        <v>792000.0</v>
      </c>
      <c r="D165" s="108">
        <v>1274015.0</v>
      </c>
      <c r="E165" s="109">
        <v>1.6972</v>
      </c>
      <c r="F165" s="109">
        <v>1.8852</v>
      </c>
      <c r="G165" s="108">
        <v>98000.0</v>
      </c>
      <c r="H165" s="108">
        <v>10000.0</v>
      </c>
      <c r="I165" s="108">
        <v>70000.0</v>
      </c>
      <c r="J165" s="108">
        <v>160000.0</v>
      </c>
      <c r="K165" s="108">
        <v>40000.0</v>
      </c>
      <c r="L165" s="108">
        <v>60000.0</v>
      </c>
      <c r="M165" s="108">
        <v>150000.0</v>
      </c>
      <c r="N165" s="108">
        <v>10000.0</v>
      </c>
      <c r="O165" s="108">
        <v>100000.0</v>
      </c>
      <c r="P165" s="108">
        <v>40000.0</v>
      </c>
      <c r="Q165" s="108">
        <v>40000.0</v>
      </c>
      <c r="R165" s="108">
        <v>14000.0</v>
      </c>
      <c r="S165" s="108">
        <v>0.0</v>
      </c>
      <c r="T165" s="109">
        <v>1.4561</v>
      </c>
      <c r="U165" s="109">
        <v>1.4219</v>
      </c>
      <c r="V165" s="109">
        <v>1.7027</v>
      </c>
      <c r="W165" s="109">
        <v>2.0769</v>
      </c>
      <c r="X165" s="109">
        <v>1.7778</v>
      </c>
      <c r="Y165" s="109">
        <v>2.1915</v>
      </c>
      <c r="Z165" s="109">
        <v>2.4091</v>
      </c>
      <c r="AA165" s="109">
        <v>2.5714</v>
      </c>
      <c r="AB165" s="109">
        <v>3.2553</v>
      </c>
      <c r="AC165" s="109">
        <v>3.3956</v>
      </c>
      <c r="AD165" s="109">
        <v>3.5455</v>
      </c>
      <c r="AE165" s="109">
        <v>0.2829</v>
      </c>
      <c r="AF165" s="109">
        <v>-1.0</v>
      </c>
    </row>
    <row r="166">
      <c r="A166" s="108">
        <v>750.0</v>
      </c>
      <c r="B166" s="108">
        <v>485250.0</v>
      </c>
      <c r="C166" s="108">
        <v>792000.0</v>
      </c>
      <c r="D166" s="108">
        <v>1277250.0</v>
      </c>
      <c r="E166" s="109">
        <v>1.7153</v>
      </c>
      <c r="F166" s="109">
        <v>1.8852</v>
      </c>
      <c r="G166" s="108">
        <v>98000.0</v>
      </c>
      <c r="H166" s="108">
        <v>10000.0</v>
      </c>
      <c r="I166" s="108">
        <v>70000.0</v>
      </c>
      <c r="J166" s="108">
        <v>160000.0</v>
      </c>
      <c r="K166" s="108">
        <v>40000.0</v>
      </c>
      <c r="L166" s="108">
        <v>60000.0</v>
      </c>
      <c r="M166" s="108">
        <v>150000.0</v>
      </c>
      <c r="N166" s="108">
        <v>10000.0</v>
      </c>
      <c r="O166" s="108">
        <v>100000.0</v>
      </c>
      <c r="P166" s="108">
        <v>40000.0</v>
      </c>
      <c r="Q166" s="108">
        <v>40000.0</v>
      </c>
      <c r="R166" s="108">
        <v>14000.0</v>
      </c>
      <c r="S166" s="108">
        <v>0.0</v>
      </c>
      <c r="T166" s="109">
        <v>1.4561</v>
      </c>
      <c r="U166" s="109">
        <v>1.4219</v>
      </c>
      <c r="V166" s="109">
        <v>1.7027</v>
      </c>
      <c r="W166" s="109">
        <v>2.0769</v>
      </c>
      <c r="X166" s="109">
        <v>1.7778</v>
      </c>
      <c r="Y166" s="109">
        <v>2.1915</v>
      </c>
      <c r="Z166" s="109">
        <v>2.4091</v>
      </c>
      <c r="AA166" s="109">
        <v>2.5714</v>
      </c>
      <c r="AB166" s="109">
        <v>3.2553</v>
      </c>
      <c r="AC166" s="109">
        <v>3.3956</v>
      </c>
      <c r="AD166" s="109">
        <v>3.5455</v>
      </c>
      <c r="AE166" s="109">
        <v>0.2829</v>
      </c>
      <c r="AF166" s="109">
        <v>-1.0</v>
      </c>
    </row>
    <row r="167">
      <c r="A167" s="108">
        <v>755.0</v>
      </c>
      <c r="B167" s="108">
        <v>488485.0</v>
      </c>
      <c r="C167" s="108">
        <v>792000.0</v>
      </c>
      <c r="D167" s="108">
        <v>1280485.0</v>
      </c>
      <c r="E167" s="109">
        <v>1.7334</v>
      </c>
      <c r="F167" s="109">
        <v>1.8852</v>
      </c>
      <c r="G167" s="108">
        <v>98000.0</v>
      </c>
      <c r="H167" s="108">
        <v>10000.0</v>
      </c>
      <c r="I167" s="108">
        <v>70000.0</v>
      </c>
      <c r="J167" s="108">
        <v>160000.0</v>
      </c>
      <c r="K167" s="108">
        <v>40000.0</v>
      </c>
      <c r="L167" s="108">
        <v>60000.0</v>
      </c>
      <c r="M167" s="108">
        <v>150000.0</v>
      </c>
      <c r="N167" s="108">
        <v>10000.0</v>
      </c>
      <c r="O167" s="108">
        <v>100000.0</v>
      </c>
      <c r="P167" s="108">
        <v>40000.0</v>
      </c>
      <c r="Q167" s="108">
        <v>40000.0</v>
      </c>
      <c r="R167" s="108">
        <v>14000.0</v>
      </c>
      <c r="S167" s="108">
        <v>0.0</v>
      </c>
      <c r="T167" s="109">
        <v>1.4561</v>
      </c>
      <c r="U167" s="109">
        <v>1.4219</v>
      </c>
      <c r="V167" s="109">
        <v>1.7027</v>
      </c>
      <c r="W167" s="109">
        <v>2.0769</v>
      </c>
      <c r="X167" s="109">
        <v>1.7778</v>
      </c>
      <c r="Y167" s="109">
        <v>2.1915</v>
      </c>
      <c r="Z167" s="109">
        <v>2.4091</v>
      </c>
      <c r="AA167" s="109">
        <v>2.5714</v>
      </c>
      <c r="AB167" s="109">
        <v>3.2553</v>
      </c>
      <c r="AC167" s="109">
        <v>3.3956</v>
      </c>
      <c r="AD167" s="109">
        <v>3.5455</v>
      </c>
      <c r="AE167" s="109">
        <v>0.2829</v>
      </c>
      <c r="AF167" s="109">
        <v>-1.0</v>
      </c>
    </row>
    <row r="168">
      <c r="A168" s="108">
        <v>760.0</v>
      </c>
      <c r="B168" s="108">
        <v>491720.0</v>
      </c>
      <c r="C168" s="108">
        <v>792000.0</v>
      </c>
      <c r="D168" s="108">
        <v>1283720.0</v>
      </c>
      <c r="E168" s="109">
        <v>1.7515</v>
      </c>
      <c r="F168" s="109">
        <v>1.8852</v>
      </c>
      <c r="G168" s="108">
        <v>98000.0</v>
      </c>
      <c r="H168" s="108">
        <v>10000.0</v>
      </c>
      <c r="I168" s="108">
        <v>70000.0</v>
      </c>
      <c r="J168" s="108">
        <v>160000.0</v>
      </c>
      <c r="K168" s="108">
        <v>40000.0</v>
      </c>
      <c r="L168" s="108">
        <v>60000.0</v>
      </c>
      <c r="M168" s="108">
        <v>150000.0</v>
      </c>
      <c r="N168" s="108">
        <v>10000.0</v>
      </c>
      <c r="O168" s="108">
        <v>100000.0</v>
      </c>
      <c r="P168" s="108">
        <v>40000.0</v>
      </c>
      <c r="Q168" s="108">
        <v>40000.0</v>
      </c>
      <c r="R168" s="108">
        <v>14000.0</v>
      </c>
      <c r="S168" s="108">
        <v>0.0</v>
      </c>
      <c r="T168" s="109">
        <v>1.4561</v>
      </c>
      <c r="U168" s="109">
        <v>1.4219</v>
      </c>
      <c r="V168" s="109">
        <v>1.7027</v>
      </c>
      <c r="W168" s="109">
        <v>2.0769</v>
      </c>
      <c r="X168" s="109">
        <v>1.7778</v>
      </c>
      <c r="Y168" s="109">
        <v>2.1915</v>
      </c>
      <c r="Z168" s="109">
        <v>2.4091</v>
      </c>
      <c r="AA168" s="109">
        <v>2.5714</v>
      </c>
      <c r="AB168" s="109">
        <v>3.2553</v>
      </c>
      <c r="AC168" s="109">
        <v>3.3956</v>
      </c>
      <c r="AD168" s="109">
        <v>3.5455</v>
      </c>
      <c r="AE168" s="109">
        <v>0.2829</v>
      </c>
      <c r="AF168" s="109">
        <v>-1.0</v>
      </c>
    </row>
    <row r="169">
      <c r="A169" s="108">
        <v>765.0</v>
      </c>
      <c r="B169" s="108">
        <v>494955.0</v>
      </c>
      <c r="C169" s="108">
        <v>792000.0</v>
      </c>
      <c r="D169" s="108">
        <v>1286955.0</v>
      </c>
      <c r="E169" s="109">
        <v>1.7696</v>
      </c>
      <c r="F169" s="109">
        <v>1.8852</v>
      </c>
      <c r="G169" s="108">
        <v>98000.0</v>
      </c>
      <c r="H169" s="108">
        <v>10000.0</v>
      </c>
      <c r="I169" s="108">
        <v>70000.0</v>
      </c>
      <c r="J169" s="108">
        <v>160000.0</v>
      </c>
      <c r="K169" s="108">
        <v>40000.0</v>
      </c>
      <c r="L169" s="108">
        <v>60000.0</v>
      </c>
      <c r="M169" s="108">
        <v>150000.0</v>
      </c>
      <c r="N169" s="108">
        <v>10000.0</v>
      </c>
      <c r="O169" s="108">
        <v>100000.0</v>
      </c>
      <c r="P169" s="108">
        <v>40000.0</v>
      </c>
      <c r="Q169" s="108">
        <v>40000.0</v>
      </c>
      <c r="R169" s="108">
        <v>14000.0</v>
      </c>
      <c r="S169" s="108">
        <v>0.0</v>
      </c>
      <c r="T169" s="109">
        <v>1.4561</v>
      </c>
      <c r="U169" s="109">
        <v>1.4219</v>
      </c>
      <c r="V169" s="109">
        <v>1.7027</v>
      </c>
      <c r="W169" s="109">
        <v>2.0769</v>
      </c>
      <c r="X169" s="109">
        <v>1.7778</v>
      </c>
      <c r="Y169" s="109">
        <v>2.1915</v>
      </c>
      <c r="Z169" s="109">
        <v>2.4091</v>
      </c>
      <c r="AA169" s="109">
        <v>2.5714</v>
      </c>
      <c r="AB169" s="109">
        <v>3.2553</v>
      </c>
      <c r="AC169" s="109">
        <v>3.3956</v>
      </c>
      <c r="AD169" s="109">
        <v>3.5455</v>
      </c>
      <c r="AE169" s="109">
        <v>0.2829</v>
      </c>
      <c r="AF169" s="109">
        <v>-1.0</v>
      </c>
    </row>
    <row r="170">
      <c r="A170" s="108">
        <v>770.0</v>
      </c>
      <c r="B170" s="108">
        <v>498190.0</v>
      </c>
      <c r="C170" s="108">
        <v>792000.0</v>
      </c>
      <c r="D170" s="108">
        <v>1290190.0</v>
      </c>
      <c r="E170" s="109">
        <v>1.7877</v>
      </c>
      <c r="F170" s="109">
        <v>1.8852</v>
      </c>
      <c r="G170" s="108">
        <v>98000.0</v>
      </c>
      <c r="H170" s="108">
        <v>10000.0</v>
      </c>
      <c r="I170" s="108">
        <v>70000.0</v>
      </c>
      <c r="J170" s="108">
        <v>160000.0</v>
      </c>
      <c r="K170" s="108">
        <v>40000.0</v>
      </c>
      <c r="L170" s="108">
        <v>60000.0</v>
      </c>
      <c r="M170" s="108">
        <v>150000.0</v>
      </c>
      <c r="N170" s="108">
        <v>10000.0</v>
      </c>
      <c r="O170" s="108">
        <v>100000.0</v>
      </c>
      <c r="P170" s="108">
        <v>40000.0</v>
      </c>
      <c r="Q170" s="108">
        <v>40000.0</v>
      </c>
      <c r="R170" s="108">
        <v>14000.0</v>
      </c>
      <c r="S170" s="108">
        <v>0.0</v>
      </c>
      <c r="T170" s="109">
        <v>1.4561</v>
      </c>
      <c r="U170" s="109">
        <v>1.4219</v>
      </c>
      <c r="V170" s="109">
        <v>1.7027</v>
      </c>
      <c r="W170" s="109">
        <v>2.0769</v>
      </c>
      <c r="X170" s="109">
        <v>1.7778</v>
      </c>
      <c r="Y170" s="109">
        <v>2.1915</v>
      </c>
      <c r="Z170" s="109">
        <v>2.4091</v>
      </c>
      <c r="AA170" s="109">
        <v>2.5714</v>
      </c>
      <c r="AB170" s="109">
        <v>3.2553</v>
      </c>
      <c r="AC170" s="109">
        <v>3.3956</v>
      </c>
      <c r="AD170" s="109">
        <v>3.5455</v>
      </c>
      <c r="AE170" s="109">
        <v>0.2829</v>
      </c>
      <c r="AF170" s="109">
        <v>-1.0</v>
      </c>
    </row>
    <row r="171">
      <c r="A171" s="108">
        <v>775.0</v>
      </c>
      <c r="B171" s="108">
        <v>501425.0</v>
      </c>
      <c r="C171" s="108">
        <v>792000.0</v>
      </c>
      <c r="D171" s="108">
        <v>1293425.0</v>
      </c>
      <c r="E171" s="109">
        <v>1.8058</v>
      </c>
      <c r="F171" s="109">
        <v>1.8852</v>
      </c>
      <c r="G171" s="108">
        <v>98000.0</v>
      </c>
      <c r="H171" s="108">
        <v>10000.0</v>
      </c>
      <c r="I171" s="108">
        <v>70000.0</v>
      </c>
      <c r="J171" s="108">
        <v>160000.0</v>
      </c>
      <c r="K171" s="108">
        <v>40000.0</v>
      </c>
      <c r="L171" s="108">
        <v>60000.0</v>
      </c>
      <c r="M171" s="108">
        <v>150000.0</v>
      </c>
      <c r="N171" s="108">
        <v>10000.0</v>
      </c>
      <c r="O171" s="108">
        <v>100000.0</v>
      </c>
      <c r="P171" s="108">
        <v>40000.0</v>
      </c>
      <c r="Q171" s="108">
        <v>40000.0</v>
      </c>
      <c r="R171" s="108">
        <v>14000.0</v>
      </c>
      <c r="S171" s="108">
        <v>0.0</v>
      </c>
      <c r="T171" s="109">
        <v>1.4561</v>
      </c>
      <c r="U171" s="109">
        <v>1.4219</v>
      </c>
      <c r="V171" s="109">
        <v>1.7027</v>
      </c>
      <c r="W171" s="109">
        <v>2.0769</v>
      </c>
      <c r="X171" s="109">
        <v>1.7778</v>
      </c>
      <c r="Y171" s="109">
        <v>2.1915</v>
      </c>
      <c r="Z171" s="109">
        <v>2.4091</v>
      </c>
      <c r="AA171" s="109">
        <v>2.5714</v>
      </c>
      <c r="AB171" s="109">
        <v>3.2553</v>
      </c>
      <c r="AC171" s="109">
        <v>3.3956</v>
      </c>
      <c r="AD171" s="109">
        <v>3.5455</v>
      </c>
      <c r="AE171" s="109">
        <v>0.2829</v>
      </c>
      <c r="AF171" s="109">
        <v>-1.0</v>
      </c>
    </row>
    <row r="172">
      <c r="A172" s="108">
        <v>780.0</v>
      </c>
      <c r="B172" s="108">
        <v>504660.0</v>
      </c>
      <c r="C172" s="108">
        <v>792000.0</v>
      </c>
      <c r="D172" s="108">
        <v>1296660.0</v>
      </c>
      <c r="E172" s="109">
        <v>1.8239</v>
      </c>
      <c r="F172" s="109">
        <v>1.8852</v>
      </c>
      <c r="G172" s="108">
        <v>98000.0</v>
      </c>
      <c r="H172" s="108">
        <v>10000.0</v>
      </c>
      <c r="I172" s="108">
        <v>70000.0</v>
      </c>
      <c r="J172" s="108">
        <v>160000.0</v>
      </c>
      <c r="K172" s="108">
        <v>40000.0</v>
      </c>
      <c r="L172" s="108">
        <v>60000.0</v>
      </c>
      <c r="M172" s="108">
        <v>150000.0</v>
      </c>
      <c r="N172" s="108">
        <v>10000.0</v>
      </c>
      <c r="O172" s="108">
        <v>100000.0</v>
      </c>
      <c r="P172" s="108">
        <v>40000.0</v>
      </c>
      <c r="Q172" s="108">
        <v>40000.0</v>
      </c>
      <c r="R172" s="108">
        <v>14000.0</v>
      </c>
      <c r="S172" s="108">
        <v>0.0</v>
      </c>
      <c r="T172" s="109">
        <v>1.4561</v>
      </c>
      <c r="U172" s="109">
        <v>1.4219</v>
      </c>
      <c r="V172" s="109">
        <v>1.7027</v>
      </c>
      <c r="W172" s="109">
        <v>2.0769</v>
      </c>
      <c r="X172" s="109">
        <v>1.7778</v>
      </c>
      <c r="Y172" s="109">
        <v>2.1915</v>
      </c>
      <c r="Z172" s="109">
        <v>2.4091</v>
      </c>
      <c r="AA172" s="109">
        <v>2.5714</v>
      </c>
      <c r="AB172" s="109">
        <v>3.2553</v>
      </c>
      <c r="AC172" s="109">
        <v>3.3956</v>
      </c>
      <c r="AD172" s="109">
        <v>3.5455</v>
      </c>
      <c r="AE172" s="109">
        <v>0.2829</v>
      </c>
      <c r="AF172" s="109">
        <v>-1.0</v>
      </c>
    </row>
    <row r="173">
      <c r="A173" s="108">
        <v>785.0</v>
      </c>
      <c r="B173" s="108">
        <v>507895.0</v>
      </c>
      <c r="C173" s="108">
        <v>792000.0</v>
      </c>
      <c r="D173" s="108">
        <v>1299895.0</v>
      </c>
      <c r="E173" s="109">
        <v>1.842</v>
      </c>
      <c r="F173" s="109">
        <v>1.8852</v>
      </c>
      <c r="G173" s="108">
        <v>98000.0</v>
      </c>
      <c r="H173" s="108">
        <v>10000.0</v>
      </c>
      <c r="I173" s="108">
        <v>70000.0</v>
      </c>
      <c r="J173" s="108">
        <v>160000.0</v>
      </c>
      <c r="K173" s="108">
        <v>40000.0</v>
      </c>
      <c r="L173" s="108">
        <v>60000.0</v>
      </c>
      <c r="M173" s="108">
        <v>150000.0</v>
      </c>
      <c r="N173" s="108">
        <v>10000.0</v>
      </c>
      <c r="O173" s="108">
        <v>100000.0</v>
      </c>
      <c r="P173" s="108">
        <v>40000.0</v>
      </c>
      <c r="Q173" s="108">
        <v>40000.0</v>
      </c>
      <c r="R173" s="108">
        <v>14000.0</v>
      </c>
      <c r="S173" s="108">
        <v>0.0</v>
      </c>
      <c r="T173" s="109">
        <v>1.4561</v>
      </c>
      <c r="U173" s="109">
        <v>1.4219</v>
      </c>
      <c r="V173" s="109">
        <v>1.7027</v>
      </c>
      <c r="W173" s="109">
        <v>2.0769</v>
      </c>
      <c r="X173" s="109">
        <v>1.7778</v>
      </c>
      <c r="Y173" s="109">
        <v>2.1915</v>
      </c>
      <c r="Z173" s="109">
        <v>2.4091</v>
      </c>
      <c r="AA173" s="109">
        <v>2.5714</v>
      </c>
      <c r="AB173" s="109">
        <v>3.2553</v>
      </c>
      <c r="AC173" s="109">
        <v>3.3956</v>
      </c>
      <c r="AD173" s="109">
        <v>3.5455</v>
      </c>
      <c r="AE173" s="109">
        <v>0.2829</v>
      </c>
      <c r="AF173" s="109">
        <v>-1.0</v>
      </c>
    </row>
    <row r="174">
      <c r="A174" s="108">
        <v>790.0</v>
      </c>
      <c r="B174" s="108">
        <v>511130.0</v>
      </c>
      <c r="C174" s="108">
        <v>792000.0</v>
      </c>
      <c r="D174" s="108">
        <v>1303130.0</v>
      </c>
      <c r="E174" s="109">
        <v>1.8601</v>
      </c>
      <c r="F174" s="109">
        <v>1.8852</v>
      </c>
      <c r="G174" s="108">
        <v>98000.0</v>
      </c>
      <c r="H174" s="108">
        <v>10000.0</v>
      </c>
      <c r="I174" s="108">
        <v>70000.0</v>
      </c>
      <c r="J174" s="108">
        <v>160000.0</v>
      </c>
      <c r="K174" s="108">
        <v>40000.0</v>
      </c>
      <c r="L174" s="108">
        <v>60000.0</v>
      </c>
      <c r="M174" s="108">
        <v>150000.0</v>
      </c>
      <c r="N174" s="108">
        <v>10000.0</v>
      </c>
      <c r="O174" s="108">
        <v>100000.0</v>
      </c>
      <c r="P174" s="108">
        <v>40000.0</v>
      </c>
      <c r="Q174" s="108">
        <v>40000.0</v>
      </c>
      <c r="R174" s="108">
        <v>14000.0</v>
      </c>
      <c r="S174" s="108">
        <v>0.0</v>
      </c>
      <c r="T174" s="109">
        <v>1.4561</v>
      </c>
      <c r="U174" s="109">
        <v>1.4219</v>
      </c>
      <c r="V174" s="109">
        <v>1.7027</v>
      </c>
      <c r="W174" s="109">
        <v>2.0769</v>
      </c>
      <c r="X174" s="109">
        <v>1.7778</v>
      </c>
      <c r="Y174" s="109">
        <v>2.1915</v>
      </c>
      <c r="Z174" s="109">
        <v>2.4091</v>
      </c>
      <c r="AA174" s="109">
        <v>2.5714</v>
      </c>
      <c r="AB174" s="109">
        <v>3.2553</v>
      </c>
      <c r="AC174" s="109">
        <v>3.3956</v>
      </c>
      <c r="AD174" s="109">
        <v>3.5455</v>
      </c>
      <c r="AE174" s="109">
        <v>0.2829</v>
      </c>
      <c r="AF174" s="109">
        <v>-1.0</v>
      </c>
    </row>
    <row r="175">
      <c r="A175" s="108">
        <v>795.0</v>
      </c>
      <c r="B175" s="108">
        <v>514365.0</v>
      </c>
      <c r="C175" s="108">
        <v>792000.0</v>
      </c>
      <c r="D175" s="108">
        <v>1306365.0</v>
      </c>
      <c r="E175" s="109">
        <v>1.8782</v>
      </c>
      <c r="F175" s="109">
        <v>1.8852</v>
      </c>
      <c r="G175" s="108">
        <v>98000.0</v>
      </c>
      <c r="H175" s="108">
        <v>10000.0</v>
      </c>
      <c r="I175" s="108">
        <v>70000.0</v>
      </c>
      <c r="J175" s="108">
        <v>160000.0</v>
      </c>
      <c r="K175" s="108">
        <v>40000.0</v>
      </c>
      <c r="L175" s="108">
        <v>60000.0</v>
      </c>
      <c r="M175" s="108">
        <v>150000.0</v>
      </c>
      <c r="N175" s="108">
        <v>10000.0</v>
      </c>
      <c r="O175" s="108">
        <v>100000.0</v>
      </c>
      <c r="P175" s="108">
        <v>40000.0</v>
      </c>
      <c r="Q175" s="108">
        <v>40000.0</v>
      </c>
      <c r="R175" s="108">
        <v>14000.0</v>
      </c>
      <c r="S175" s="108">
        <v>0.0</v>
      </c>
      <c r="T175" s="109">
        <v>1.4561</v>
      </c>
      <c r="U175" s="109">
        <v>1.4219</v>
      </c>
      <c r="V175" s="109">
        <v>1.7027</v>
      </c>
      <c r="W175" s="109">
        <v>2.0769</v>
      </c>
      <c r="X175" s="109">
        <v>1.7778</v>
      </c>
      <c r="Y175" s="109">
        <v>2.1915</v>
      </c>
      <c r="Z175" s="109">
        <v>2.4091</v>
      </c>
      <c r="AA175" s="109">
        <v>2.5714</v>
      </c>
      <c r="AB175" s="109">
        <v>3.2553</v>
      </c>
      <c r="AC175" s="109">
        <v>3.3956</v>
      </c>
      <c r="AD175" s="109">
        <v>3.5455</v>
      </c>
      <c r="AE175" s="109">
        <v>0.2829</v>
      </c>
      <c r="AF175" s="109">
        <v>-1.0</v>
      </c>
    </row>
    <row r="176">
      <c r="A176" s="108">
        <v>800.0</v>
      </c>
      <c r="B176" s="108">
        <v>517600.0</v>
      </c>
      <c r="C176" s="108">
        <v>792000.0</v>
      </c>
      <c r="D176" s="108">
        <v>1309600.0</v>
      </c>
      <c r="E176" s="109">
        <v>1.8963</v>
      </c>
      <c r="F176" s="109">
        <v>1.8852</v>
      </c>
      <c r="G176" s="108">
        <v>98000.0</v>
      </c>
      <c r="H176" s="108">
        <v>10000.0</v>
      </c>
      <c r="I176" s="108">
        <v>70000.0</v>
      </c>
      <c r="J176" s="108">
        <v>160000.0</v>
      </c>
      <c r="K176" s="108">
        <v>40000.0</v>
      </c>
      <c r="L176" s="108">
        <v>60000.0</v>
      </c>
      <c r="M176" s="108">
        <v>150000.0</v>
      </c>
      <c r="N176" s="108">
        <v>10000.0</v>
      </c>
      <c r="O176" s="108">
        <v>100000.0</v>
      </c>
      <c r="P176" s="108">
        <v>40000.0</v>
      </c>
      <c r="Q176" s="108">
        <v>40000.0</v>
      </c>
      <c r="R176" s="108">
        <v>14000.0</v>
      </c>
      <c r="S176" s="108">
        <v>0.0</v>
      </c>
      <c r="T176" s="109">
        <v>1.4561</v>
      </c>
      <c r="U176" s="109">
        <v>1.4219</v>
      </c>
      <c r="V176" s="109">
        <v>1.7027</v>
      </c>
      <c r="W176" s="109">
        <v>2.0769</v>
      </c>
      <c r="X176" s="109">
        <v>1.7778</v>
      </c>
      <c r="Y176" s="109">
        <v>2.1915</v>
      </c>
      <c r="Z176" s="109">
        <v>2.4091</v>
      </c>
      <c r="AA176" s="109">
        <v>2.5714</v>
      </c>
      <c r="AB176" s="109">
        <v>3.2553</v>
      </c>
      <c r="AC176" s="109">
        <v>3.3956</v>
      </c>
      <c r="AD176" s="109">
        <v>3.5455</v>
      </c>
      <c r="AE176" s="109">
        <v>0.2829</v>
      </c>
      <c r="AF176" s="109">
        <v>-1.0</v>
      </c>
    </row>
    <row r="177">
      <c r="A177" s="108">
        <v>805.0</v>
      </c>
      <c r="B177" s="108">
        <v>520835.0</v>
      </c>
      <c r="C177" s="108">
        <v>792000.0</v>
      </c>
      <c r="D177" s="108">
        <v>1312835.0</v>
      </c>
      <c r="E177" s="109">
        <v>1.9144</v>
      </c>
      <c r="F177" s="109">
        <v>1.8852</v>
      </c>
      <c r="G177" s="108">
        <v>98000.0</v>
      </c>
      <c r="H177" s="108">
        <v>10000.0</v>
      </c>
      <c r="I177" s="108">
        <v>70000.0</v>
      </c>
      <c r="J177" s="108">
        <v>160000.0</v>
      </c>
      <c r="K177" s="108">
        <v>40000.0</v>
      </c>
      <c r="L177" s="108">
        <v>60000.0</v>
      </c>
      <c r="M177" s="108">
        <v>150000.0</v>
      </c>
      <c r="N177" s="108">
        <v>10000.0</v>
      </c>
      <c r="O177" s="108">
        <v>100000.0</v>
      </c>
      <c r="P177" s="108">
        <v>40000.0</v>
      </c>
      <c r="Q177" s="108">
        <v>40000.0</v>
      </c>
      <c r="R177" s="108">
        <v>14000.0</v>
      </c>
      <c r="S177" s="108">
        <v>0.0</v>
      </c>
      <c r="T177" s="109">
        <v>1.4561</v>
      </c>
      <c r="U177" s="109">
        <v>1.4219</v>
      </c>
      <c r="V177" s="109">
        <v>1.7027</v>
      </c>
      <c r="W177" s="109">
        <v>2.0769</v>
      </c>
      <c r="X177" s="109">
        <v>1.7778</v>
      </c>
      <c r="Y177" s="109">
        <v>2.1915</v>
      </c>
      <c r="Z177" s="109">
        <v>2.4091</v>
      </c>
      <c r="AA177" s="109">
        <v>2.5714</v>
      </c>
      <c r="AB177" s="109">
        <v>3.2553</v>
      </c>
      <c r="AC177" s="109">
        <v>3.3956</v>
      </c>
      <c r="AD177" s="109">
        <v>3.5455</v>
      </c>
      <c r="AE177" s="109">
        <v>0.2829</v>
      </c>
      <c r="AF177" s="109">
        <v>-1.0</v>
      </c>
    </row>
    <row r="178">
      <c r="A178" s="108">
        <v>810.0</v>
      </c>
      <c r="B178" s="108">
        <v>524070.0</v>
      </c>
      <c r="C178" s="108">
        <v>792000.0</v>
      </c>
      <c r="D178" s="108">
        <v>1316070.0</v>
      </c>
      <c r="E178" s="109">
        <v>1.9325</v>
      </c>
      <c r="F178" s="109">
        <v>1.8852</v>
      </c>
      <c r="G178" s="108">
        <v>98000.0</v>
      </c>
      <c r="H178" s="108">
        <v>10000.0</v>
      </c>
      <c r="I178" s="108">
        <v>70000.0</v>
      </c>
      <c r="J178" s="108">
        <v>160000.0</v>
      </c>
      <c r="K178" s="108">
        <v>40000.0</v>
      </c>
      <c r="L178" s="108">
        <v>60000.0</v>
      </c>
      <c r="M178" s="108">
        <v>150000.0</v>
      </c>
      <c r="N178" s="108">
        <v>10000.0</v>
      </c>
      <c r="O178" s="108">
        <v>100000.0</v>
      </c>
      <c r="P178" s="108">
        <v>40000.0</v>
      </c>
      <c r="Q178" s="108">
        <v>40000.0</v>
      </c>
      <c r="R178" s="108">
        <v>14000.0</v>
      </c>
      <c r="S178" s="108">
        <v>0.0</v>
      </c>
      <c r="T178" s="109">
        <v>1.4561</v>
      </c>
      <c r="U178" s="109">
        <v>1.4219</v>
      </c>
      <c r="V178" s="109">
        <v>1.7027</v>
      </c>
      <c r="W178" s="109">
        <v>2.0769</v>
      </c>
      <c r="X178" s="109">
        <v>1.7778</v>
      </c>
      <c r="Y178" s="109">
        <v>2.1915</v>
      </c>
      <c r="Z178" s="109">
        <v>2.4091</v>
      </c>
      <c r="AA178" s="109">
        <v>2.5714</v>
      </c>
      <c r="AB178" s="109">
        <v>3.2553</v>
      </c>
      <c r="AC178" s="109">
        <v>3.3956</v>
      </c>
      <c r="AD178" s="109">
        <v>3.5455</v>
      </c>
      <c r="AE178" s="109">
        <v>0.2829</v>
      </c>
      <c r="AF178" s="109">
        <v>-1.0</v>
      </c>
    </row>
    <row r="179">
      <c r="A179" s="108">
        <v>815.0</v>
      </c>
      <c r="B179" s="108">
        <v>527305.0</v>
      </c>
      <c r="C179" s="108">
        <v>792000.0</v>
      </c>
      <c r="D179" s="108">
        <v>1319305.0</v>
      </c>
      <c r="E179" s="109">
        <v>1.9506</v>
      </c>
      <c r="F179" s="109">
        <v>1.8852</v>
      </c>
      <c r="G179" s="108">
        <v>98000.0</v>
      </c>
      <c r="H179" s="108">
        <v>10000.0</v>
      </c>
      <c r="I179" s="108">
        <v>70000.0</v>
      </c>
      <c r="J179" s="108">
        <v>160000.0</v>
      </c>
      <c r="K179" s="108">
        <v>40000.0</v>
      </c>
      <c r="L179" s="108">
        <v>60000.0</v>
      </c>
      <c r="M179" s="108">
        <v>150000.0</v>
      </c>
      <c r="N179" s="108">
        <v>10000.0</v>
      </c>
      <c r="O179" s="108">
        <v>100000.0</v>
      </c>
      <c r="P179" s="108">
        <v>40000.0</v>
      </c>
      <c r="Q179" s="108">
        <v>40000.0</v>
      </c>
      <c r="R179" s="108">
        <v>14000.0</v>
      </c>
      <c r="S179" s="108">
        <v>0.0</v>
      </c>
      <c r="T179" s="109">
        <v>1.4561</v>
      </c>
      <c r="U179" s="109">
        <v>1.4219</v>
      </c>
      <c r="V179" s="109">
        <v>1.7027</v>
      </c>
      <c r="W179" s="109">
        <v>2.0769</v>
      </c>
      <c r="X179" s="109">
        <v>1.7778</v>
      </c>
      <c r="Y179" s="109">
        <v>2.1915</v>
      </c>
      <c r="Z179" s="109">
        <v>2.4091</v>
      </c>
      <c r="AA179" s="109">
        <v>2.5714</v>
      </c>
      <c r="AB179" s="109">
        <v>3.2553</v>
      </c>
      <c r="AC179" s="109">
        <v>3.3956</v>
      </c>
      <c r="AD179" s="109">
        <v>3.5455</v>
      </c>
      <c r="AE179" s="109">
        <v>0.2829</v>
      </c>
      <c r="AF179" s="109">
        <v>-1.0</v>
      </c>
    </row>
    <row r="180">
      <c r="A180" s="108">
        <v>820.0</v>
      </c>
      <c r="B180" s="108">
        <v>530540.0</v>
      </c>
      <c r="C180" s="108">
        <v>792000.0</v>
      </c>
      <c r="D180" s="108">
        <v>1322540.0</v>
      </c>
      <c r="E180" s="109">
        <v>1.9687</v>
      </c>
      <c r="F180" s="109">
        <v>1.8852</v>
      </c>
      <c r="G180" s="108">
        <v>98000.0</v>
      </c>
      <c r="H180" s="108">
        <v>10000.0</v>
      </c>
      <c r="I180" s="108">
        <v>70000.0</v>
      </c>
      <c r="J180" s="108">
        <v>160000.0</v>
      </c>
      <c r="K180" s="108">
        <v>40000.0</v>
      </c>
      <c r="L180" s="108">
        <v>60000.0</v>
      </c>
      <c r="M180" s="108">
        <v>150000.0</v>
      </c>
      <c r="N180" s="108">
        <v>10000.0</v>
      </c>
      <c r="O180" s="108">
        <v>100000.0</v>
      </c>
      <c r="P180" s="108">
        <v>40000.0</v>
      </c>
      <c r="Q180" s="108">
        <v>40000.0</v>
      </c>
      <c r="R180" s="108">
        <v>14000.0</v>
      </c>
      <c r="S180" s="108">
        <v>0.0</v>
      </c>
      <c r="T180" s="109">
        <v>1.4561</v>
      </c>
      <c r="U180" s="109">
        <v>1.4219</v>
      </c>
      <c r="V180" s="109">
        <v>1.7027</v>
      </c>
      <c r="W180" s="109">
        <v>2.0769</v>
      </c>
      <c r="X180" s="109">
        <v>1.7778</v>
      </c>
      <c r="Y180" s="109">
        <v>2.1915</v>
      </c>
      <c r="Z180" s="109">
        <v>2.4091</v>
      </c>
      <c r="AA180" s="109">
        <v>2.5714</v>
      </c>
      <c r="AB180" s="109">
        <v>3.2553</v>
      </c>
      <c r="AC180" s="109">
        <v>3.3956</v>
      </c>
      <c r="AD180" s="109">
        <v>3.5455</v>
      </c>
      <c r="AE180" s="109">
        <v>0.2829</v>
      </c>
      <c r="AF180" s="109">
        <v>-1.0</v>
      </c>
    </row>
    <row r="181">
      <c r="A181" s="108">
        <v>825.0</v>
      </c>
      <c r="B181" s="108">
        <v>533775.0</v>
      </c>
      <c r="C181" s="108">
        <v>792000.0</v>
      </c>
      <c r="D181" s="108">
        <v>1325775.0</v>
      </c>
      <c r="E181" s="109">
        <v>1.9868</v>
      </c>
      <c r="F181" s="109">
        <v>1.8852</v>
      </c>
      <c r="G181" s="108">
        <v>98000.0</v>
      </c>
      <c r="H181" s="108">
        <v>10000.0</v>
      </c>
      <c r="I181" s="108">
        <v>70000.0</v>
      </c>
      <c r="J181" s="108">
        <v>160000.0</v>
      </c>
      <c r="K181" s="108">
        <v>40000.0</v>
      </c>
      <c r="L181" s="108">
        <v>60000.0</v>
      </c>
      <c r="M181" s="108">
        <v>150000.0</v>
      </c>
      <c r="N181" s="108">
        <v>10000.0</v>
      </c>
      <c r="O181" s="108">
        <v>100000.0</v>
      </c>
      <c r="P181" s="108">
        <v>40000.0</v>
      </c>
      <c r="Q181" s="108">
        <v>40000.0</v>
      </c>
      <c r="R181" s="108">
        <v>14000.0</v>
      </c>
      <c r="S181" s="108">
        <v>0.0</v>
      </c>
      <c r="T181" s="109">
        <v>1.4561</v>
      </c>
      <c r="U181" s="109">
        <v>1.4219</v>
      </c>
      <c r="V181" s="109">
        <v>1.7027</v>
      </c>
      <c r="W181" s="109">
        <v>2.0769</v>
      </c>
      <c r="X181" s="109">
        <v>1.7778</v>
      </c>
      <c r="Y181" s="109">
        <v>2.1915</v>
      </c>
      <c r="Z181" s="109">
        <v>2.4091</v>
      </c>
      <c r="AA181" s="109">
        <v>2.5714</v>
      </c>
      <c r="AB181" s="109">
        <v>3.2553</v>
      </c>
      <c r="AC181" s="109">
        <v>3.3956</v>
      </c>
      <c r="AD181" s="109">
        <v>3.5455</v>
      </c>
      <c r="AE181" s="109">
        <v>0.2829</v>
      </c>
      <c r="AF181" s="109">
        <v>-1.0</v>
      </c>
    </row>
    <row r="182">
      <c r="A182" s="108">
        <v>830.0</v>
      </c>
      <c r="B182" s="108">
        <v>537010.0</v>
      </c>
      <c r="C182" s="108">
        <v>792000.0</v>
      </c>
      <c r="D182" s="108">
        <v>1329010.0</v>
      </c>
      <c r="E182" s="109">
        <v>2.0049</v>
      </c>
      <c r="F182" s="109">
        <v>1.8852</v>
      </c>
      <c r="G182" s="108">
        <v>98000.0</v>
      </c>
      <c r="H182" s="108">
        <v>10000.0</v>
      </c>
      <c r="I182" s="108">
        <v>70000.0</v>
      </c>
      <c r="J182" s="108">
        <v>160000.0</v>
      </c>
      <c r="K182" s="108">
        <v>40000.0</v>
      </c>
      <c r="L182" s="108">
        <v>60000.0</v>
      </c>
      <c r="M182" s="108">
        <v>150000.0</v>
      </c>
      <c r="N182" s="108">
        <v>10000.0</v>
      </c>
      <c r="O182" s="108">
        <v>100000.0</v>
      </c>
      <c r="P182" s="108">
        <v>40000.0</v>
      </c>
      <c r="Q182" s="108">
        <v>40000.0</v>
      </c>
      <c r="R182" s="108">
        <v>14000.0</v>
      </c>
      <c r="S182" s="108">
        <v>0.0</v>
      </c>
      <c r="T182" s="109">
        <v>1.4561</v>
      </c>
      <c r="U182" s="109">
        <v>1.4219</v>
      </c>
      <c r="V182" s="109">
        <v>1.7027</v>
      </c>
      <c r="W182" s="109">
        <v>2.0769</v>
      </c>
      <c r="X182" s="109">
        <v>1.7778</v>
      </c>
      <c r="Y182" s="109">
        <v>2.1915</v>
      </c>
      <c r="Z182" s="109">
        <v>2.4091</v>
      </c>
      <c r="AA182" s="109">
        <v>2.5714</v>
      </c>
      <c r="AB182" s="109">
        <v>3.2553</v>
      </c>
      <c r="AC182" s="109">
        <v>3.3956</v>
      </c>
      <c r="AD182" s="109">
        <v>3.5455</v>
      </c>
      <c r="AE182" s="109">
        <v>0.2829</v>
      </c>
      <c r="AF182" s="109">
        <v>-1.0</v>
      </c>
    </row>
    <row r="183">
      <c r="A183" s="108">
        <v>835.0</v>
      </c>
      <c r="B183" s="108">
        <v>540245.0</v>
      </c>
      <c r="C183" s="108">
        <v>792000.0</v>
      </c>
      <c r="D183" s="108">
        <v>1332245.0</v>
      </c>
      <c r="E183" s="109">
        <v>2.023</v>
      </c>
      <c r="F183" s="109">
        <v>1.8852</v>
      </c>
      <c r="G183" s="108">
        <v>98000.0</v>
      </c>
      <c r="H183" s="108">
        <v>10000.0</v>
      </c>
      <c r="I183" s="108">
        <v>70000.0</v>
      </c>
      <c r="J183" s="108">
        <v>160000.0</v>
      </c>
      <c r="K183" s="108">
        <v>40000.0</v>
      </c>
      <c r="L183" s="108">
        <v>60000.0</v>
      </c>
      <c r="M183" s="108">
        <v>150000.0</v>
      </c>
      <c r="N183" s="108">
        <v>10000.0</v>
      </c>
      <c r="O183" s="108">
        <v>100000.0</v>
      </c>
      <c r="P183" s="108">
        <v>40000.0</v>
      </c>
      <c r="Q183" s="108">
        <v>40000.0</v>
      </c>
      <c r="R183" s="108">
        <v>14000.0</v>
      </c>
      <c r="S183" s="108">
        <v>0.0</v>
      </c>
      <c r="T183" s="109">
        <v>1.4561</v>
      </c>
      <c r="U183" s="109">
        <v>1.4219</v>
      </c>
      <c r="V183" s="109">
        <v>1.7027</v>
      </c>
      <c r="W183" s="109">
        <v>2.0769</v>
      </c>
      <c r="X183" s="109">
        <v>1.7778</v>
      </c>
      <c r="Y183" s="109">
        <v>2.1915</v>
      </c>
      <c r="Z183" s="109">
        <v>2.4091</v>
      </c>
      <c r="AA183" s="109">
        <v>2.5714</v>
      </c>
      <c r="AB183" s="109">
        <v>3.2553</v>
      </c>
      <c r="AC183" s="109">
        <v>3.3956</v>
      </c>
      <c r="AD183" s="109">
        <v>3.5455</v>
      </c>
      <c r="AE183" s="109">
        <v>0.2829</v>
      </c>
      <c r="AF183" s="109">
        <v>-1.0</v>
      </c>
    </row>
    <row r="184">
      <c r="A184" s="108">
        <v>840.0</v>
      </c>
      <c r="B184" s="108">
        <v>543480.0</v>
      </c>
      <c r="C184" s="108">
        <v>792000.0</v>
      </c>
      <c r="D184" s="108">
        <v>1335480.0</v>
      </c>
      <c r="E184" s="109">
        <v>2.0411</v>
      </c>
      <c r="F184" s="109">
        <v>1.8852</v>
      </c>
      <c r="G184" s="108">
        <v>98000.0</v>
      </c>
      <c r="H184" s="108">
        <v>10000.0</v>
      </c>
      <c r="I184" s="108">
        <v>70000.0</v>
      </c>
      <c r="J184" s="108">
        <v>160000.0</v>
      </c>
      <c r="K184" s="108">
        <v>40000.0</v>
      </c>
      <c r="L184" s="108">
        <v>60000.0</v>
      </c>
      <c r="M184" s="108">
        <v>150000.0</v>
      </c>
      <c r="N184" s="108">
        <v>10000.0</v>
      </c>
      <c r="O184" s="108">
        <v>100000.0</v>
      </c>
      <c r="P184" s="108">
        <v>40000.0</v>
      </c>
      <c r="Q184" s="108">
        <v>40000.0</v>
      </c>
      <c r="R184" s="108">
        <v>14000.0</v>
      </c>
      <c r="S184" s="108">
        <v>0.0</v>
      </c>
      <c r="T184" s="109">
        <v>1.4561</v>
      </c>
      <c r="U184" s="109">
        <v>1.4219</v>
      </c>
      <c r="V184" s="109">
        <v>1.7027</v>
      </c>
      <c r="W184" s="109">
        <v>2.0769</v>
      </c>
      <c r="X184" s="109">
        <v>1.7778</v>
      </c>
      <c r="Y184" s="109">
        <v>2.1915</v>
      </c>
      <c r="Z184" s="109">
        <v>2.4091</v>
      </c>
      <c r="AA184" s="109">
        <v>2.5714</v>
      </c>
      <c r="AB184" s="109">
        <v>3.2553</v>
      </c>
      <c r="AC184" s="109">
        <v>3.3956</v>
      </c>
      <c r="AD184" s="109">
        <v>3.5455</v>
      </c>
      <c r="AE184" s="109">
        <v>0.2829</v>
      </c>
      <c r="AF184" s="109">
        <v>-1.0</v>
      </c>
    </row>
    <row r="185">
      <c r="A185" s="108">
        <v>845.0</v>
      </c>
      <c r="B185" s="108">
        <v>546715.0</v>
      </c>
      <c r="C185" s="108">
        <v>792000.0</v>
      </c>
      <c r="D185" s="108">
        <v>1338715.0</v>
      </c>
      <c r="E185" s="109">
        <v>2.0592</v>
      </c>
      <c r="F185" s="109">
        <v>1.8852</v>
      </c>
      <c r="G185" s="108">
        <v>98000.0</v>
      </c>
      <c r="H185" s="108">
        <v>10000.0</v>
      </c>
      <c r="I185" s="108">
        <v>70000.0</v>
      </c>
      <c r="J185" s="108">
        <v>160000.0</v>
      </c>
      <c r="K185" s="108">
        <v>40000.0</v>
      </c>
      <c r="L185" s="108">
        <v>60000.0</v>
      </c>
      <c r="M185" s="108">
        <v>150000.0</v>
      </c>
      <c r="N185" s="108">
        <v>10000.0</v>
      </c>
      <c r="O185" s="108">
        <v>100000.0</v>
      </c>
      <c r="P185" s="108">
        <v>40000.0</v>
      </c>
      <c r="Q185" s="108">
        <v>40000.0</v>
      </c>
      <c r="R185" s="108">
        <v>14000.0</v>
      </c>
      <c r="S185" s="108">
        <v>0.0</v>
      </c>
      <c r="T185" s="109">
        <v>1.4561</v>
      </c>
      <c r="U185" s="109">
        <v>1.4219</v>
      </c>
      <c r="V185" s="109">
        <v>1.7027</v>
      </c>
      <c r="W185" s="109">
        <v>2.0769</v>
      </c>
      <c r="X185" s="109">
        <v>1.7778</v>
      </c>
      <c r="Y185" s="109">
        <v>2.1915</v>
      </c>
      <c r="Z185" s="109">
        <v>2.4091</v>
      </c>
      <c r="AA185" s="109">
        <v>2.5714</v>
      </c>
      <c r="AB185" s="109">
        <v>3.2553</v>
      </c>
      <c r="AC185" s="109">
        <v>3.3956</v>
      </c>
      <c r="AD185" s="109">
        <v>3.5455</v>
      </c>
      <c r="AE185" s="109">
        <v>0.2829</v>
      </c>
      <c r="AF185" s="109">
        <v>-1.0</v>
      </c>
    </row>
    <row r="186">
      <c r="A186" s="108">
        <v>850.0</v>
      </c>
      <c r="B186" s="108">
        <v>549950.0</v>
      </c>
      <c r="C186" s="108">
        <v>792000.0</v>
      </c>
      <c r="D186" s="108">
        <v>1341950.0</v>
      </c>
      <c r="E186" s="109">
        <v>2.0773</v>
      </c>
      <c r="F186" s="109">
        <v>1.8852</v>
      </c>
      <c r="G186" s="108">
        <v>98000.0</v>
      </c>
      <c r="H186" s="108">
        <v>10000.0</v>
      </c>
      <c r="I186" s="108">
        <v>70000.0</v>
      </c>
      <c r="J186" s="108">
        <v>160000.0</v>
      </c>
      <c r="K186" s="108">
        <v>40000.0</v>
      </c>
      <c r="L186" s="108">
        <v>60000.0</v>
      </c>
      <c r="M186" s="108">
        <v>150000.0</v>
      </c>
      <c r="N186" s="108">
        <v>10000.0</v>
      </c>
      <c r="O186" s="108">
        <v>100000.0</v>
      </c>
      <c r="P186" s="108">
        <v>40000.0</v>
      </c>
      <c r="Q186" s="108">
        <v>40000.0</v>
      </c>
      <c r="R186" s="108">
        <v>14000.0</v>
      </c>
      <c r="S186" s="108">
        <v>0.0</v>
      </c>
      <c r="T186" s="109">
        <v>1.4561</v>
      </c>
      <c r="U186" s="109">
        <v>1.4219</v>
      </c>
      <c r="V186" s="109">
        <v>1.7027</v>
      </c>
      <c r="W186" s="109">
        <v>2.0769</v>
      </c>
      <c r="X186" s="109">
        <v>1.7778</v>
      </c>
      <c r="Y186" s="109">
        <v>2.1915</v>
      </c>
      <c r="Z186" s="109">
        <v>2.4091</v>
      </c>
      <c r="AA186" s="109">
        <v>2.5714</v>
      </c>
      <c r="AB186" s="109">
        <v>3.2553</v>
      </c>
      <c r="AC186" s="109">
        <v>3.3956</v>
      </c>
      <c r="AD186" s="109">
        <v>3.5455</v>
      </c>
      <c r="AE186" s="109">
        <v>0.2829</v>
      </c>
      <c r="AF186" s="109">
        <v>-1.0</v>
      </c>
    </row>
    <row r="187">
      <c r="A187" s="108">
        <v>855.0</v>
      </c>
      <c r="B187" s="108">
        <v>553185.0</v>
      </c>
      <c r="C187" s="108">
        <v>792000.0</v>
      </c>
      <c r="D187" s="108">
        <v>1345185.0</v>
      </c>
      <c r="E187" s="109">
        <v>2.0954</v>
      </c>
      <c r="F187" s="109">
        <v>1.8852</v>
      </c>
      <c r="G187" s="108">
        <v>98000.0</v>
      </c>
      <c r="H187" s="108">
        <v>10000.0</v>
      </c>
      <c r="I187" s="108">
        <v>70000.0</v>
      </c>
      <c r="J187" s="108">
        <v>160000.0</v>
      </c>
      <c r="K187" s="108">
        <v>40000.0</v>
      </c>
      <c r="L187" s="108">
        <v>60000.0</v>
      </c>
      <c r="M187" s="108">
        <v>150000.0</v>
      </c>
      <c r="N187" s="108">
        <v>10000.0</v>
      </c>
      <c r="O187" s="108">
        <v>100000.0</v>
      </c>
      <c r="P187" s="108">
        <v>40000.0</v>
      </c>
      <c r="Q187" s="108">
        <v>40000.0</v>
      </c>
      <c r="R187" s="108">
        <v>14000.0</v>
      </c>
      <c r="S187" s="108">
        <v>0.0</v>
      </c>
      <c r="T187" s="109">
        <v>1.4561</v>
      </c>
      <c r="U187" s="109">
        <v>1.4219</v>
      </c>
      <c r="V187" s="109">
        <v>1.7027</v>
      </c>
      <c r="W187" s="109">
        <v>2.0769</v>
      </c>
      <c r="X187" s="109">
        <v>1.7778</v>
      </c>
      <c r="Y187" s="109">
        <v>2.1915</v>
      </c>
      <c r="Z187" s="109">
        <v>2.4091</v>
      </c>
      <c r="AA187" s="109">
        <v>2.5714</v>
      </c>
      <c r="AB187" s="109">
        <v>3.2553</v>
      </c>
      <c r="AC187" s="109">
        <v>3.3956</v>
      </c>
      <c r="AD187" s="109">
        <v>3.5455</v>
      </c>
      <c r="AE187" s="109">
        <v>0.2829</v>
      </c>
      <c r="AF187" s="109">
        <v>-1.0</v>
      </c>
    </row>
    <row r="188">
      <c r="A188" s="108">
        <v>860.0</v>
      </c>
      <c r="B188" s="108">
        <v>556420.0</v>
      </c>
      <c r="C188" s="108">
        <v>792000.0</v>
      </c>
      <c r="D188" s="108">
        <v>1348420.0</v>
      </c>
      <c r="E188" s="109">
        <v>2.1135</v>
      </c>
      <c r="F188" s="109">
        <v>1.8852</v>
      </c>
      <c r="G188" s="108">
        <v>98000.0</v>
      </c>
      <c r="H188" s="108">
        <v>10000.0</v>
      </c>
      <c r="I188" s="108">
        <v>70000.0</v>
      </c>
      <c r="J188" s="108">
        <v>160000.0</v>
      </c>
      <c r="K188" s="108">
        <v>40000.0</v>
      </c>
      <c r="L188" s="108">
        <v>60000.0</v>
      </c>
      <c r="M188" s="108">
        <v>150000.0</v>
      </c>
      <c r="N188" s="108">
        <v>10000.0</v>
      </c>
      <c r="O188" s="108">
        <v>100000.0</v>
      </c>
      <c r="P188" s="108">
        <v>40000.0</v>
      </c>
      <c r="Q188" s="108">
        <v>40000.0</v>
      </c>
      <c r="R188" s="108">
        <v>14000.0</v>
      </c>
      <c r="S188" s="108">
        <v>0.0</v>
      </c>
      <c r="T188" s="109">
        <v>1.4561</v>
      </c>
      <c r="U188" s="109">
        <v>1.4219</v>
      </c>
      <c r="V188" s="109">
        <v>1.7027</v>
      </c>
      <c r="W188" s="109">
        <v>2.0769</v>
      </c>
      <c r="X188" s="109">
        <v>1.7778</v>
      </c>
      <c r="Y188" s="109">
        <v>2.1915</v>
      </c>
      <c r="Z188" s="109">
        <v>2.4091</v>
      </c>
      <c r="AA188" s="109">
        <v>2.5714</v>
      </c>
      <c r="AB188" s="109">
        <v>3.2553</v>
      </c>
      <c r="AC188" s="109">
        <v>3.3956</v>
      </c>
      <c r="AD188" s="109">
        <v>3.5455</v>
      </c>
      <c r="AE188" s="109">
        <v>0.2829</v>
      </c>
      <c r="AF188" s="109">
        <v>-1.0</v>
      </c>
    </row>
    <row r="189">
      <c r="A189" s="108">
        <v>865.0</v>
      </c>
      <c r="B189" s="108">
        <v>559655.0</v>
      </c>
      <c r="C189" s="108">
        <v>792000.0</v>
      </c>
      <c r="D189" s="108">
        <v>1351655.0</v>
      </c>
      <c r="E189" s="109">
        <v>2.1316</v>
      </c>
      <c r="F189" s="109">
        <v>1.8852</v>
      </c>
      <c r="G189" s="108">
        <v>98000.0</v>
      </c>
      <c r="H189" s="108">
        <v>10000.0</v>
      </c>
      <c r="I189" s="108">
        <v>70000.0</v>
      </c>
      <c r="J189" s="108">
        <v>160000.0</v>
      </c>
      <c r="K189" s="108">
        <v>40000.0</v>
      </c>
      <c r="L189" s="108">
        <v>60000.0</v>
      </c>
      <c r="M189" s="108">
        <v>150000.0</v>
      </c>
      <c r="N189" s="108">
        <v>10000.0</v>
      </c>
      <c r="O189" s="108">
        <v>100000.0</v>
      </c>
      <c r="P189" s="108">
        <v>40000.0</v>
      </c>
      <c r="Q189" s="108">
        <v>40000.0</v>
      </c>
      <c r="R189" s="108">
        <v>14000.0</v>
      </c>
      <c r="S189" s="108">
        <v>0.0</v>
      </c>
      <c r="T189" s="109">
        <v>1.4561</v>
      </c>
      <c r="U189" s="109">
        <v>1.4219</v>
      </c>
      <c r="V189" s="109">
        <v>1.7027</v>
      </c>
      <c r="W189" s="109">
        <v>2.0769</v>
      </c>
      <c r="X189" s="109">
        <v>1.7778</v>
      </c>
      <c r="Y189" s="109">
        <v>2.1915</v>
      </c>
      <c r="Z189" s="109">
        <v>2.4091</v>
      </c>
      <c r="AA189" s="109">
        <v>2.5714</v>
      </c>
      <c r="AB189" s="109">
        <v>3.2553</v>
      </c>
      <c r="AC189" s="109">
        <v>3.3956</v>
      </c>
      <c r="AD189" s="109">
        <v>3.5455</v>
      </c>
      <c r="AE189" s="109">
        <v>0.2829</v>
      </c>
      <c r="AF189" s="109">
        <v>-1.0</v>
      </c>
    </row>
    <row r="190">
      <c r="A190" s="108">
        <v>870.0</v>
      </c>
      <c r="B190" s="108">
        <v>562890.0</v>
      </c>
      <c r="C190" s="108">
        <v>792000.0</v>
      </c>
      <c r="D190" s="108">
        <v>1354890.0</v>
      </c>
      <c r="E190" s="109">
        <v>2.1497</v>
      </c>
      <c r="F190" s="109">
        <v>1.8852</v>
      </c>
      <c r="G190" s="108">
        <v>98000.0</v>
      </c>
      <c r="H190" s="108">
        <v>10000.0</v>
      </c>
      <c r="I190" s="108">
        <v>70000.0</v>
      </c>
      <c r="J190" s="108">
        <v>160000.0</v>
      </c>
      <c r="K190" s="108">
        <v>40000.0</v>
      </c>
      <c r="L190" s="108">
        <v>60000.0</v>
      </c>
      <c r="M190" s="108">
        <v>150000.0</v>
      </c>
      <c r="N190" s="108">
        <v>10000.0</v>
      </c>
      <c r="O190" s="108">
        <v>100000.0</v>
      </c>
      <c r="P190" s="108">
        <v>40000.0</v>
      </c>
      <c r="Q190" s="108">
        <v>40000.0</v>
      </c>
      <c r="R190" s="108">
        <v>14000.0</v>
      </c>
      <c r="S190" s="108">
        <v>0.0</v>
      </c>
      <c r="T190" s="109">
        <v>1.4561</v>
      </c>
      <c r="U190" s="109">
        <v>1.4219</v>
      </c>
      <c r="V190" s="109">
        <v>1.7027</v>
      </c>
      <c r="W190" s="109">
        <v>2.0769</v>
      </c>
      <c r="X190" s="109">
        <v>1.7778</v>
      </c>
      <c r="Y190" s="109">
        <v>2.1915</v>
      </c>
      <c r="Z190" s="109">
        <v>2.4091</v>
      </c>
      <c r="AA190" s="109">
        <v>2.5714</v>
      </c>
      <c r="AB190" s="109">
        <v>3.2553</v>
      </c>
      <c r="AC190" s="109">
        <v>3.3956</v>
      </c>
      <c r="AD190" s="109">
        <v>3.5455</v>
      </c>
      <c r="AE190" s="109">
        <v>0.2829</v>
      </c>
      <c r="AF190" s="109">
        <v>-1.0</v>
      </c>
    </row>
    <row r="191">
      <c r="A191" s="108">
        <v>875.0</v>
      </c>
      <c r="B191" s="108">
        <v>566125.0</v>
      </c>
      <c r="C191" s="108">
        <v>792000.0</v>
      </c>
      <c r="D191" s="108">
        <v>1358125.0</v>
      </c>
      <c r="E191" s="109">
        <v>2.1678</v>
      </c>
      <c r="F191" s="109">
        <v>1.8852</v>
      </c>
      <c r="G191" s="108">
        <v>98000.0</v>
      </c>
      <c r="H191" s="108">
        <v>10000.0</v>
      </c>
      <c r="I191" s="108">
        <v>70000.0</v>
      </c>
      <c r="J191" s="108">
        <v>160000.0</v>
      </c>
      <c r="K191" s="108">
        <v>40000.0</v>
      </c>
      <c r="L191" s="108">
        <v>60000.0</v>
      </c>
      <c r="M191" s="108">
        <v>150000.0</v>
      </c>
      <c r="N191" s="108">
        <v>10000.0</v>
      </c>
      <c r="O191" s="108">
        <v>100000.0</v>
      </c>
      <c r="P191" s="108">
        <v>40000.0</v>
      </c>
      <c r="Q191" s="108">
        <v>40000.0</v>
      </c>
      <c r="R191" s="108">
        <v>14000.0</v>
      </c>
      <c r="S191" s="108">
        <v>0.0</v>
      </c>
      <c r="T191" s="109">
        <v>1.4561</v>
      </c>
      <c r="U191" s="109">
        <v>1.4219</v>
      </c>
      <c r="V191" s="109">
        <v>1.7027</v>
      </c>
      <c r="W191" s="109">
        <v>2.0769</v>
      </c>
      <c r="X191" s="109">
        <v>1.7778</v>
      </c>
      <c r="Y191" s="109">
        <v>2.1915</v>
      </c>
      <c r="Z191" s="109">
        <v>2.4091</v>
      </c>
      <c r="AA191" s="109">
        <v>2.5714</v>
      </c>
      <c r="AB191" s="109">
        <v>3.2553</v>
      </c>
      <c r="AC191" s="109">
        <v>3.3956</v>
      </c>
      <c r="AD191" s="109">
        <v>3.5455</v>
      </c>
      <c r="AE191" s="109">
        <v>0.2829</v>
      </c>
      <c r="AF191" s="109">
        <v>-1.0</v>
      </c>
    </row>
    <row r="192">
      <c r="A192" s="108">
        <v>880.0</v>
      </c>
      <c r="B192" s="108">
        <v>569360.0</v>
      </c>
      <c r="C192" s="108">
        <v>792000.0</v>
      </c>
      <c r="D192" s="108">
        <v>1361360.0</v>
      </c>
      <c r="E192" s="109">
        <v>2.1859</v>
      </c>
      <c r="F192" s="109">
        <v>1.8852</v>
      </c>
      <c r="G192" s="108">
        <v>98000.0</v>
      </c>
      <c r="H192" s="108">
        <v>10000.0</v>
      </c>
      <c r="I192" s="108">
        <v>70000.0</v>
      </c>
      <c r="J192" s="108">
        <v>160000.0</v>
      </c>
      <c r="K192" s="108">
        <v>40000.0</v>
      </c>
      <c r="L192" s="108">
        <v>60000.0</v>
      </c>
      <c r="M192" s="108">
        <v>150000.0</v>
      </c>
      <c r="N192" s="108">
        <v>10000.0</v>
      </c>
      <c r="O192" s="108">
        <v>100000.0</v>
      </c>
      <c r="P192" s="108">
        <v>40000.0</v>
      </c>
      <c r="Q192" s="108">
        <v>40000.0</v>
      </c>
      <c r="R192" s="108">
        <v>14000.0</v>
      </c>
      <c r="S192" s="108">
        <v>0.0</v>
      </c>
      <c r="T192" s="109">
        <v>1.4561</v>
      </c>
      <c r="U192" s="109">
        <v>1.4219</v>
      </c>
      <c r="V192" s="109">
        <v>1.7027</v>
      </c>
      <c r="W192" s="109">
        <v>2.0769</v>
      </c>
      <c r="X192" s="109">
        <v>1.7778</v>
      </c>
      <c r="Y192" s="109">
        <v>2.1915</v>
      </c>
      <c r="Z192" s="109">
        <v>2.4091</v>
      </c>
      <c r="AA192" s="109">
        <v>2.5714</v>
      </c>
      <c r="AB192" s="109">
        <v>3.2553</v>
      </c>
      <c r="AC192" s="109">
        <v>3.3956</v>
      </c>
      <c r="AD192" s="109">
        <v>3.5455</v>
      </c>
      <c r="AE192" s="109">
        <v>0.2829</v>
      </c>
      <c r="AF192" s="109">
        <v>-1.0</v>
      </c>
    </row>
    <row r="193">
      <c r="A193" s="108">
        <v>885.0</v>
      </c>
      <c r="B193" s="108">
        <v>572595.0</v>
      </c>
      <c r="C193" s="108">
        <v>792000.0</v>
      </c>
      <c r="D193" s="108">
        <v>1364595.0</v>
      </c>
      <c r="E193" s="109">
        <v>2.204</v>
      </c>
      <c r="F193" s="109">
        <v>1.8852</v>
      </c>
      <c r="G193" s="108">
        <v>98000.0</v>
      </c>
      <c r="H193" s="108">
        <v>10000.0</v>
      </c>
      <c r="I193" s="108">
        <v>70000.0</v>
      </c>
      <c r="J193" s="108">
        <v>160000.0</v>
      </c>
      <c r="K193" s="108">
        <v>40000.0</v>
      </c>
      <c r="L193" s="108">
        <v>60000.0</v>
      </c>
      <c r="M193" s="108">
        <v>150000.0</v>
      </c>
      <c r="N193" s="108">
        <v>10000.0</v>
      </c>
      <c r="O193" s="108">
        <v>100000.0</v>
      </c>
      <c r="P193" s="108">
        <v>40000.0</v>
      </c>
      <c r="Q193" s="108">
        <v>40000.0</v>
      </c>
      <c r="R193" s="108">
        <v>14000.0</v>
      </c>
      <c r="S193" s="108">
        <v>0.0</v>
      </c>
      <c r="T193" s="109">
        <v>1.4561</v>
      </c>
      <c r="U193" s="109">
        <v>1.4219</v>
      </c>
      <c r="V193" s="109">
        <v>1.7027</v>
      </c>
      <c r="W193" s="109">
        <v>2.0769</v>
      </c>
      <c r="X193" s="109">
        <v>1.7778</v>
      </c>
      <c r="Y193" s="109">
        <v>2.1915</v>
      </c>
      <c r="Z193" s="109">
        <v>2.4091</v>
      </c>
      <c r="AA193" s="109">
        <v>2.5714</v>
      </c>
      <c r="AB193" s="109">
        <v>3.2553</v>
      </c>
      <c r="AC193" s="109">
        <v>3.3956</v>
      </c>
      <c r="AD193" s="109">
        <v>3.5455</v>
      </c>
      <c r="AE193" s="109">
        <v>0.2829</v>
      </c>
      <c r="AF193" s="109">
        <v>-1.0</v>
      </c>
    </row>
    <row r="194">
      <c r="A194" s="108">
        <v>890.0</v>
      </c>
      <c r="B194" s="108">
        <v>575830.0</v>
      </c>
      <c r="C194" s="108">
        <v>792000.0</v>
      </c>
      <c r="D194" s="108">
        <v>1367830.0</v>
      </c>
      <c r="E194" s="109">
        <v>2.2221</v>
      </c>
      <c r="F194" s="109">
        <v>1.8852</v>
      </c>
      <c r="G194" s="108">
        <v>98000.0</v>
      </c>
      <c r="H194" s="108">
        <v>10000.0</v>
      </c>
      <c r="I194" s="108">
        <v>70000.0</v>
      </c>
      <c r="J194" s="108">
        <v>160000.0</v>
      </c>
      <c r="K194" s="108">
        <v>40000.0</v>
      </c>
      <c r="L194" s="108">
        <v>60000.0</v>
      </c>
      <c r="M194" s="108">
        <v>150000.0</v>
      </c>
      <c r="N194" s="108">
        <v>10000.0</v>
      </c>
      <c r="O194" s="108">
        <v>100000.0</v>
      </c>
      <c r="P194" s="108">
        <v>40000.0</v>
      </c>
      <c r="Q194" s="108">
        <v>40000.0</v>
      </c>
      <c r="R194" s="108">
        <v>14000.0</v>
      </c>
      <c r="S194" s="108">
        <v>0.0</v>
      </c>
      <c r="T194" s="109">
        <v>1.4561</v>
      </c>
      <c r="U194" s="109">
        <v>1.4219</v>
      </c>
      <c r="V194" s="109">
        <v>1.7027</v>
      </c>
      <c r="W194" s="109">
        <v>2.0769</v>
      </c>
      <c r="X194" s="109">
        <v>1.7778</v>
      </c>
      <c r="Y194" s="109">
        <v>2.1915</v>
      </c>
      <c r="Z194" s="109">
        <v>2.4091</v>
      </c>
      <c r="AA194" s="109">
        <v>2.5714</v>
      </c>
      <c r="AB194" s="109">
        <v>3.2553</v>
      </c>
      <c r="AC194" s="109">
        <v>3.3956</v>
      </c>
      <c r="AD194" s="109">
        <v>3.5455</v>
      </c>
      <c r="AE194" s="109">
        <v>0.2829</v>
      </c>
      <c r="AF194" s="109">
        <v>-1.0</v>
      </c>
    </row>
    <row r="195">
      <c r="A195" s="108">
        <v>895.0</v>
      </c>
      <c r="B195" s="108">
        <v>579065.0</v>
      </c>
      <c r="C195" s="108">
        <v>792000.0</v>
      </c>
      <c r="D195" s="108">
        <v>1371065.0</v>
      </c>
      <c r="E195" s="109">
        <v>2.2402</v>
      </c>
      <c r="F195" s="109">
        <v>1.8852</v>
      </c>
      <c r="G195" s="108">
        <v>98000.0</v>
      </c>
      <c r="H195" s="108">
        <v>10000.0</v>
      </c>
      <c r="I195" s="108">
        <v>70000.0</v>
      </c>
      <c r="J195" s="108">
        <v>160000.0</v>
      </c>
      <c r="K195" s="108">
        <v>40000.0</v>
      </c>
      <c r="L195" s="108">
        <v>60000.0</v>
      </c>
      <c r="M195" s="108">
        <v>150000.0</v>
      </c>
      <c r="N195" s="108">
        <v>10000.0</v>
      </c>
      <c r="O195" s="108">
        <v>100000.0</v>
      </c>
      <c r="P195" s="108">
        <v>40000.0</v>
      </c>
      <c r="Q195" s="108">
        <v>40000.0</v>
      </c>
      <c r="R195" s="108">
        <v>14000.0</v>
      </c>
      <c r="S195" s="108">
        <v>0.0</v>
      </c>
      <c r="T195" s="109">
        <v>1.4561</v>
      </c>
      <c r="U195" s="109">
        <v>1.4219</v>
      </c>
      <c r="V195" s="109">
        <v>1.7027</v>
      </c>
      <c r="W195" s="109">
        <v>2.0769</v>
      </c>
      <c r="X195" s="109">
        <v>1.7778</v>
      </c>
      <c r="Y195" s="109">
        <v>2.1915</v>
      </c>
      <c r="Z195" s="109">
        <v>2.4091</v>
      </c>
      <c r="AA195" s="109">
        <v>2.5714</v>
      </c>
      <c r="AB195" s="109">
        <v>3.2553</v>
      </c>
      <c r="AC195" s="109">
        <v>3.3956</v>
      </c>
      <c r="AD195" s="109">
        <v>3.5455</v>
      </c>
      <c r="AE195" s="109">
        <v>0.2829</v>
      </c>
      <c r="AF195" s="109">
        <v>-1.0</v>
      </c>
    </row>
    <row r="196">
      <c r="A196" s="108">
        <v>900.0</v>
      </c>
      <c r="B196" s="108">
        <v>582300.0</v>
      </c>
      <c r="C196" s="108">
        <v>792000.0</v>
      </c>
      <c r="D196" s="108">
        <v>1374300.0</v>
      </c>
      <c r="E196" s="109">
        <v>2.2583</v>
      </c>
      <c r="F196" s="109">
        <v>1.8852</v>
      </c>
      <c r="G196" s="108">
        <v>98000.0</v>
      </c>
      <c r="H196" s="108">
        <v>10000.0</v>
      </c>
      <c r="I196" s="108">
        <v>70000.0</v>
      </c>
      <c r="J196" s="108">
        <v>160000.0</v>
      </c>
      <c r="K196" s="108">
        <v>40000.0</v>
      </c>
      <c r="L196" s="108">
        <v>60000.0</v>
      </c>
      <c r="M196" s="108">
        <v>150000.0</v>
      </c>
      <c r="N196" s="108">
        <v>10000.0</v>
      </c>
      <c r="O196" s="108">
        <v>100000.0</v>
      </c>
      <c r="P196" s="108">
        <v>40000.0</v>
      </c>
      <c r="Q196" s="108">
        <v>40000.0</v>
      </c>
      <c r="R196" s="108">
        <v>14000.0</v>
      </c>
      <c r="S196" s="108">
        <v>0.0</v>
      </c>
      <c r="T196" s="109">
        <v>1.4561</v>
      </c>
      <c r="U196" s="109">
        <v>1.4219</v>
      </c>
      <c r="V196" s="109">
        <v>1.7027</v>
      </c>
      <c r="W196" s="109">
        <v>2.0769</v>
      </c>
      <c r="X196" s="109">
        <v>1.7778</v>
      </c>
      <c r="Y196" s="109">
        <v>2.1915</v>
      </c>
      <c r="Z196" s="109">
        <v>2.4091</v>
      </c>
      <c r="AA196" s="109">
        <v>2.5714</v>
      </c>
      <c r="AB196" s="109">
        <v>3.2553</v>
      </c>
      <c r="AC196" s="109">
        <v>3.3956</v>
      </c>
      <c r="AD196" s="109">
        <v>3.5455</v>
      </c>
      <c r="AE196" s="109">
        <v>0.2829</v>
      </c>
      <c r="AF196" s="109">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5.13"/>
    <col customWidth="1" min="3" max="3" width="9.0"/>
    <col customWidth="1" min="4" max="5" width="8.13"/>
    <col customWidth="1" min="6" max="6" width="10.0"/>
    <col customWidth="1" min="7" max="7" width="9.0"/>
  </cols>
  <sheetData>
    <row r="1" ht="22.5" customHeight="1">
      <c r="A1" s="110" t="s">
        <v>104</v>
      </c>
      <c r="B1" s="110" t="s">
        <v>105</v>
      </c>
      <c r="C1" s="110" t="s">
        <v>106</v>
      </c>
      <c r="D1" s="110" t="s">
        <v>107</v>
      </c>
      <c r="E1" s="110" t="s">
        <v>108</v>
      </c>
      <c r="F1" s="110" t="s">
        <v>109</v>
      </c>
      <c r="G1" s="110" t="s">
        <v>110</v>
      </c>
      <c r="H1" s="110" t="s">
        <v>111</v>
      </c>
      <c r="I1" s="110" t="s">
        <v>112</v>
      </c>
      <c r="J1" s="110" t="s">
        <v>113</v>
      </c>
      <c r="K1" s="110" t="s">
        <v>114</v>
      </c>
      <c r="L1" s="110" t="s">
        <v>115</v>
      </c>
    </row>
    <row r="2" ht="22.5" customHeight="1">
      <c r="A2" s="111" t="s">
        <v>33</v>
      </c>
      <c r="B2" s="112">
        <v>46059.0</v>
      </c>
      <c r="C2" s="111">
        <v>125.0</v>
      </c>
      <c r="D2" s="111" t="s">
        <v>116</v>
      </c>
      <c r="E2" s="34">
        <v>108.5</v>
      </c>
      <c r="F2" s="34">
        <v>110.35</v>
      </c>
      <c r="G2" s="34">
        <v>112.2</v>
      </c>
      <c r="H2" s="113">
        <v>1.4461000000000002</v>
      </c>
      <c r="I2" s="34">
        <v>0.9894</v>
      </c>
      <c r="J2" s="34">
        <v>0.0</v>
      </c>
      <c r="K2" s="34">
        <v>12.0</v>
      </c>
      <c r="L2" s="113">
        <v>0.46649999999999997</v>
      </c>
    </row>
    <row r="3" ht="22.5" customHeight="1">
      <c r="A3" s="111" t="s">
        <v>33</v>
      </c>
      <c r="B3" s="112">
        <v>46059.0</v>
      </c>
      <c r="C3" s="111">
        <v>130.0</v>
      </c>
      <c r="D3" s="111" t="s">
        <v>116</v>
      </c>
      <c r="E3" s="34">
        <v>103.5</v>
      </c>
      <c r="F3" s="34">
        <v>105.1</v>
      </c>
      <c r="G3" s="34">
        <v>106.7</v>
      </c>
      <c r="H3" s="113">
        <v>1.0006</v>
      </c>
      <c r="I3" s="34">
        <v>0.9988</v>
      </c>
      <c r="J3" s="34">
        <v>0.0</v>
      </c>
      <c r="K3" s="34">
        <v>1.0</v>
      </c>
      <c r="L3" s="113">
        <v>0.4451</v>
      </c>
    </row>
    <row r="4" ht="22.5" customHeight="1">
      <c r="A4" s="111" t="s">
        <v>33</v>
      </c>
      <c r="B4" s="112">
        <v>46059.0</v>
      </c>
      <c r="C4" s="111">
        <v>135.0</v>
      </c>
      <c r="D4" s="111" t="s">
        <v>116</v>
      </c>
      <c r="E4" s="34">
        <v>98.55</v>
      </c>
      <c r="F4" s="34">
        <v>100.35</v>
      </c>
      <c r="G4" s="34">
        <v>102.15</v>
      </c>
      <c r="H4" s="113">
        <v>1.2761</v>
      </c>
      <c r="I4" s="34">
        <v>0.9886</v>
      </c>
      <c r="J4" s="34">
        <v>0.0</v>
      </c>
      <c r="K4" s="34">
        <v>2.0</v>
      </c>
      <c r="L4" s="113">
        <v>0.4238</v>
      </c>
    </row>
    <row r="5" ht="22.5" customHeight="1">
      <c r="A5" s="111" t="s">
        <v>33</v>
      </c>
      <c r="B5" s="112">
        <v>46059.0</v>
      </c>
      <c r="C5" s="111">
        <v>140.0</v>
      </c>
      <c r="D5" s="111" t="s">
        <v>116</v>
      </c>
      <c r="E5" s="34">
        <v>93.65</v>
      </c>
      <c r="F5" s="34">
        <v>94.75</v>
      </c>
      <c r="G5" s="34">
        <v>95.85</v>
      </c>
      <c r="H5" s="113">
        <v>0.7595999999999999</v>
      </c>
      <c r="I5" s="34">
        <v>0.9997</v>
      </c>
      <c r="J5" s="34">
        <v>1.0</v>
      </c>
      <c r="K5" s="34">
        <v>4.0</v>
      </c>
      <c r="L5" s="113">
        <v>0.40240000000000004</v>
      </c>
    </row>
    <row r="6" ht="22.5" customHeight="1">
      <c r="A6" s="111" t="s">
        <v>33</v>
      </c>
      <c r="B6" s="112">
        <v>46059.0</v>
      </c>
      <c r="C6" s="111">
        <v>145.0</v>
      </c>
      <c r="D6" s="111" t="s">
        <v>116</v>
      </c>
      <c r="E6" s="34">
        <v>88.55</v>
      </c>
      <c r="F6" s="34">
        <v>90.35</v>
      </c>
      <c r="G6" s="34">
        <v>92.15</v>
      </c>
      <c r="H6" s="113">
        <v>1.1185</v>
      </c>
      <c r="I6" s="34">
        <v>0.9877</v>
      </c>
      <c r="J6" s="34">
        <v>0.0</v>
      </c>
      <c r="K6" s="34">
        <v>9.0</v>
      </c>
      <c r="L6" s="113">
        <v>0.3811</v>
      </c>
    </row>
    <row r="7" ht="22.5" customHeight="1">
      <c r="A7" s="111" t="s">
        <v>33</v>
      </c>
      <c r="B7" s="112">
        <v>46059.0</v>
      </c>
      <c r="C7" s="111">
        <v>150.0</v>
      </c>
      <c r="D7" s="111" t="s">
        <v>116</v>
      </c>
      <c r="E7" s="34">
        <v>83.6</v>
      </c>
      <c r="F7" s="34">
        <v>85.25</v>
      </c>
      <c r="G7" s="34">
        <v>86.9</v>
      </c>
      <c r="H7" s="113">
        <v>0.9684</v>
      </c>
      <c r="I7" s="34">
        <v>0.9916</v>
      </c>
      <c r="J7" s="34">
        <v>0.0</v>
      </c>
      <c r="K7" s="34">
        <v>42.0</v>
      </c>
      <c r="L7" s="113">
        <v>0.35969999999999996</v>
      </c>
    </row>
    <row r="8" ht="22.5" customHeight="1">
      <c r="A8" s="111" t="s">
        <v>33</v>
      </c>
      <c r="B8" s="112">
        <v>46059.0</v>
      </c>
      <c r="C8" s="111">
        <v>155.0</v>
      </c>
      <c r="D8" s="111" t="s">
        <v>116</v>
      </c>
      <c r="E8" s="34">
        <v>78.9</v>
      </c>
      <c r="F8" s="34">
        <v>80.5</v>
      </c>
      <c r="G8" s="34">
        <v>82.1</v>
      </c>
      <c r="H8" s="113">
        <v>1.0492</v>
      </c>
      <c r="I8" s="34">
        <v>0.9807</v>
      </c>
      <c r="J8" s="34">
        <v>1.0</v>
      </c>
      <c r="K8" s="34">
        <v>44.0</v>
      </c>
      <c r="L8" s="113">
        <v>0.33840000000000003</v>
      </c>
    </row>
    <row r="9" ht="22.5" customHeight="1">
      <c r="A9" s="111" t="s">
        <v>33</v>
      </c>
      <c r="B9" s="112">
        <v>46059.0</v>
      </c>
      <c r="C9" s="111">
        <v>160.0</v>
      </c>
      <c r="D9" s="111" t="s">
        <v>116</v>
      </c>
      <c r="E9" s="34">
        <v>73.65</v>
      </c>
      <c r="F9" s="34">
        <v>75.38</v>
      </c>
      <c r="G9" s="34">
        <v>77.1</v>
      </c>
      <c r="H9" s="113">
        <v>0.9157</v>
      </c>
      <c r="I9" s="34">
        <v>0.985</v>
      </c>
      <c r="J9" s="34">
        <v>0.0</v>
      </c>
      <c r="K9" s="34">
        <v>2.0</v>
      </c>
      <c r="L9" s="113">
        <v>0.3171</v>
      </c>
    </row>
    <row r="10" ht="22.5" customHeight="1">
      <c r="A10" s="111" t="s">
        <v>33</v>
      </c>
      <c r="B10" s="112">
        <v>46059.0</v>
      </c>
      <c r="C10" s="111">
        <v>165.0</v>
      </c>
      <c r="D10" s="111" t="s">
        <v>116</v>
      </c>
      <c r="E10" s="34">
        <v>68.65</v>
      </c>
      <c r="F10" s="34">
        <v>70.25</v>
      </c>
      <c r="G10" s="34">
        <v>71.85</v>
      </c>
      <c r="H10" s="113">
        <v>0.7644</v>
      </c>
      <c r="I10" s="34">
        <v>0.991</v>
      </c>
      <c r="J10" s="34">
        <v>0.0</v>
      </c>
      <c r="K10" s="34">
        <v>2.0</v>
      </c>
      <c r="L10" s="113">
        <v>0.2957</v>
      </c>
    </row>
    <row r="11" ht="22.5" customHeight="1">
      <c r="A11" s="111" t="s">
        <v>33</v>
      </c>
      <c r="B11" s="112">
        <v>46059.0</v>
      </c>
      <c r="C11" s="111">
        <v>170.0</v>
      </c>
      <c r="D11" s="111" t="s">
        <v>116</v>
      </c>
      <c r="E11" s="34">
        <v>63.7</v>
      </c>
      <c r="F11" s="34">
        <v>65.25</v>
      </c>
      <c r="G11" s="34">
        <v>66.8</v>
      </c>
      <c r="H11" s="113">
        <v>0.7006</v>
      </c>
      <c r="I11" s="34">
        <v>0.9908</v>
      </c>
      <c r="J11" s="34">
        <v>0.0</v>
      </c>
      <c r="K11" s="34">
        <v>2.0</v>
      </c>
      <c r="L11" s="113">
        <v>0.27440000000000003</v>
      </c>
    </row>
    <row r="12" ht="22.5" customHeight="1">
      <c r="A12" s="111" t="s">
        <v>33</v>
      </c>
      <c r="B12" s="112">
        <v>46059.0</v>
      </c>
      <c r="C12" s="111">
        <v>175.0</v>
      </c>
      <c r="D12" s="111" t="s">
        <v>116</v>
      </c>
      <c r="E12" s="34">
        <v>58.75</v>
      </c>
      <c r="F12" s="34">
        <v>60.08</v>
      </c>
      <c r="G12" s="34">
        <v>61.4</v>
      </c>
      <c r="H12" s="113">
        <v>0.0</v>
      </c>
      <c r="I12" s="34">
        <v>0.0</v>
      </c>
      <c r="J12" s="34">
        <v>0.0</v>
      </c>
      <c r="K12" s="34">
        <v>2.0</v>
      </c>
      <c r="L12" s="113">
        <v>0.253</v>
      </c>
    </row>
    <row r="13" ht="22.5" customHeight="1">
      <c r="A13" s="111" t="s">
        <v>33</v>
      </c>
      <c r="B13" s="112">
        <v>46059.0</v>
      </c>
      <c r="C13" s="111">
        <v>180.0</v>
      </c>
      <c r="D13" s="111" t="s">
        <v>116</v>
      </c>
      <c r="E13" s="34">
        <v>53.8</v>
      </c>
      <c r="F13" s="34">
        <v>55.22</v>
      </c>
      <c r="G13" s="34">
        <v>56.65</v>
      </c>
      <c r="H13" s="113">
        <v>0.5559000000000001</v>
      </c>
      <c r="I13" s="34">
        <v>0.9925</v>
      </c>
      <c r="J13" s="34">
        <v>0.0</v>
      </c>
      <c r="K13" s="34">
        <v>14.0</v>
      </c>
      <c r="L13" s="113">
        <v>0.23170000000000002</v>
      </c>
    </row>
    <row r="14" ht="22.5" customHeight="1">
      <c r="A14" s="111" t="s">
        <v>33</v>
      </c>
      <c r="B14" s="112">
        <v>46059.0</v>
      </c>
      <c r="C14" s="111">
        <v>185.0</v>
      </c>
      <c r="D14" s="111" t="s">
        <v>116</v>
      </c>
      <c r="E14" s="34">
        <v>48.85</v>
      </c>
      <c r="F14" s="34">
        <v>49.85</v>
      </c>
      <c r="G14" s="34">
        <v>50.85</v>
      </c>
      <c r="H14" s="113">
        <v>0.0</v>
      </c>
      <c r="I14" s="34">
        <v>0.0</v>
      </c>
      <c r="J14" s="34">
        <v>0.0</v>
      </c>
      <c r="K14" s="34">
        <v>4.0</v>
      </c>
      <c r="L14" s="113">
        <v>0.21030000000000001</v>
      </c>
    </row>
    <row r="15" ht="22.5" customHeight="1">
      <c r="A15" s="111" t="s">
        <v>33</v>
      </c>
      <c r="B15" s="112">
        <v>46059.0</v>
      </c>
      <c r="C15" s="111">
        <v>187.5</v>
      </c>
      <c r="D15" s="111" t="s">
        <v>116</v>
      </c>
      <c r="E15" s="34">
        <v>46.4</v>
      </c>
      <c r="F15" s="34">
        <v>47.65</v>
      </c>
      <c r="G15" s="34">
        <v>48.9</v>
      </c>
      <c r="H15" s="113">
        <v>0.0</v>
      </c>
      <c r="I15" s="34">
        <v>0.0</v>
      </c>
      <c r="J15" s="34">
        <v>0.0</v>
      </c>
      <c r="K15" s="34">
        <v>0.0</v>
      </c>
      <c r="L15" s="113">
        <v>0.1997</v>
      </c>
    </row>
    <row r="16" ht="22.5" customHeight="1">
      <c r="A16" s="111" t="s">
        <v>33</v>
      </c>
      <c r="B16" s="112">
        <v>46059.0</v>
      </c>
      <c r="C16" s="111">
        <v>190.0</v>
      </c>
      <c r="D16" s="111" t="s">
        <v>116</v>
      </c>
      <c r="E16" s="34">
        <v>43.95</v>
      </c>
      <c r="F16" s="34">
        <v>45.58</v>
      </c>
      <c r="G16" s="34">
        <v>47.2</v>
      </c>
      <c r="H16" s="113">
        <v>0.5984</v>
      </c>
      <c r="I16" s="34">
        <v>0.9657</v>
      </c>
      <c r="J16" s="34">
        <v>0.0</v>
      </c>
      <c r="K16" s="34">
        <v>42.0</v>
      </c>
      <c r="L16" s="113">
        <v>0.18899999999999997</v>
      </c>
    </row>
    <row r="17" ht="22.5" customHeight="1">
      <c r="A17" s="111" t="s">
        <v>33</v>
      </c>
      <c r="B17" s="112">
        <v>46059.0</v>
      </c>
      <c r="C17" s="111">
        <v>192.5</v>
      </c>
      <c r="D17" s="111" t="s">
        <v>116</v>
      </c>
      <c r="E17" s="34">
        <v>41.55</v>
      </c>
      <c r="F17" s="34">
        <v>42.93</v>
      </c>
      <c r="G17" s="34">
        <v>44.3</v>
      </c>
      <c r="H17" s="113">
        <v>0.5211</v>
      </c>
      <c r="I17" s="34">
        <v>0.9745</v>
      </c>
      <c r="J17" s="34">
        <v>0.0</v>
      </c>
      <c r="K17" s="34">
        <v>0.0</v>
      </c>
      <c r="L17" s="113">
        <v>0.1783</v>
      </c>
    </row>
    <row r="18" ht="22.5" customHeight="1">
      <c r="A18" s="111" t="s">
        <v>33</v>
      </c>
      <c r="B18" s="112">
        <v>46059.0</v>
      </c>
      <c r="C18" s="111">
        <v>195.0</v>
      </c>
      <c r="D18" s="111" t="s">
        <v>116</v>
      </c>
      <c r="E18" s="34">
        <v>39.1</v>
      </c>
      <c r="F18" s="34">
        <v>40.1</v>
      </c>
      <c r="G18" s="34">
        <v>41.1</v>
      </c>
      <c r="H18" s="113">
        <v>0.0</v>
      </c>
      <c r="I18" s="34">
        <v>0.0</v>
      </c>
      <c r="J18" s="34">
        <v>0.0</v>
      </c>
      <c r="K18" s="34">
        <v>1369.0</v>
      </c>
      <c r="L18" s="113">
        <v>0.1677</v>
      </c>
    </row>
    <row r="19" ht="22.5" customHeight="1">
      <c r="A19" s="111" t="s">
        <v>33</v>
      </c>
      <c r="B19" s="112">
        <v>46059.0</v>
      </c>
      <c r="C19" s="111">
        <v>197.5</v>
      </c>
      <c r="D19" s="111" t="s">
        <v>116</v>
      </c>
      <c r="E19" s="34">
        <v>36.7</v>
      </c>
      <c r="F19" s="34">
        <v>37.83</v>
      </c>
      <c r="G19" s="34">
        <v>38.95</v>
      </c>
      <c r="H19" s="113">
        <v>0.4233</v>
      </c>
      <c r="I19" s="34">
        <v>0.9813</v>
      </c>
      <c r="J19" s="34">
        <v>0.0</v>
      </c>
      <c r="K19" s="34">
        <v>0.0</v>
      </c>
      <c r="L19" s="113">
        <v>0.157</v>
      </c>
    </row>
    <row r="20" ht="22.5" customHeight="1">
      <c r="A20" s="111" t="s">
        <v>33</v>
      </c>
      <c r="B20" s="112">
        <v>46059.0</v>
      </c>
      <c r="C20" s="111">
        <v>200.0</v>
      </c>
      <c r="D20" s="111" t="s">
        <v>116</v>
      </c>
      <c r="E20" s="34">
        <v>34.65</v>
      </c>
      <c r="F20" s="34">
        <v>36.18</v>
      </c>
      <c r="G20" s="34">
        <v>37.7</v>
      </c>
      <c r="H20" s="113">
        <v>0.4792</v>
      </c>
      <c r="I20" s="34">
        <v>0.9572</v>
      </c>
      <c r="J20" s="34">
        <v>4.0</v>
      </c>
      <c r="K20" s="34">
        <v>608.0</v>
      </c>
      <c r="L20" s="113">
        <v>0.1463</v>
      </c>
    </row>
    <row r="21" ht="22.5" customHeight="1">
      <c r="A21" s="111" t="s">
        <v>33</v>
      </c>
      <c r="B21" s="112">
        <v>46059.0</v>
      </c>
      <c r="C21" s="111">
        <v>202.5</v>
      </c>
      <c r="D21" s="111" t="s">
        <v>116</v>
      </c>
      <c r="E21" s="34">
        <v>33.4</v>
      </c>
      <c r="F21" s="34">
        <v>33.7</v>
      </c>
      <c r="G21" s="34">
        <v>34.0</v>
      </c>
      <c r="H21" s="113">
        <v>0.5449</v>
      </c>
      <c r="I21" s="34">
        <v>0.921</v>
      </c>
      <c r="J21" s="34">
        <v>3.0</v>
      </c>
      <c r="K21" s="34">
        <v>0.0</v>
      </c>
      <c r="L21" s="113">
        <v>0.1356</v>
      </c>
    </row>
    <row r="22" ht="22.5" customHeight="1">
      <c r="A22" s="111" t="s">
        <v>33</v>
      </c>
      <c r="B22" s="112">
        <v>46059.0</v>
      </c>
      <c r="C22" s="111">
        <v>205.0</v>
      </c>
      <c r="D22" s="111" t="s">
        <v>116</v>
      </c>
      <c r="E22" s="34">
        <v>31.15</v>
      </c>
      <c r="F22" s="34">
        <v>31.4</v>
      </c>
      <c r="G22" s="34">
        <v>31.65</v>
      </c>
      <c r="H22" s="113">
        <v>0.5412</v>
      </c>
      <c r="I22" s="34">
        <v>0.9047</v>
      </c>
      <c r="J22" s="34">
        <v>2.0</v>
      </c>
      <c r="K22" s="34">
        <v>82.0</v>
      </c>
      <c r="L22" s="113">
        <v>0.125</v>
      </c>
    </row>
    <row r="23" ht="22.5" customHeight="1">
      <c r="A23" s="111" t="s">
        <v>33</v>
      </c>
      <c r="B23" s="112">
        <v>46059.0</v>
      </c>
      <c r="C23" s="111">
        <v>207.5</v>
      </c>
      <c r="D23" s="111" t="s">
        <v>116</v>
      </c>
      <c r="E23" s="34">
        <v>28.85</v>
      </c>
      <c r="F23" s="34">
        <v>29.23</v>
      </c>
      <c r="G23" s="34">
        <v>29.6</v>
      </c>
      <c r="H23" s="113">
        <v>0.5418</v>
      </c>
      <c r="I23" s="34">
        <v>0.8844</v>
      </c>
      <c r="J23" s="34">
        <v>0.0</v>
      </c>
      <c r="K23" s="34">
        <v>0.0</v>
      </c>
      <c r="L23" s="113">
        <v>0.1143</v>
      </c>
    </row>
    <row r="24" ht="22.5" customHeight="1">
      <c r="A24" s="111" t="s">
        <v>33</v>
      </c>
      <c r="B24" s="112">
        <v>46059.0</v>
      </c>
      <c r="C24" s="111">
        <v>210.0</v>
      </c>
      <c r="D24" s="111" t="s">
        <v>116</v>
      </c>
      <c r="E24" s="34">
        <v>26.7</v>
      </c>
      <c r="F24" s="34">
        <v>27.03</v>
      </c>
      <c r="G24" s="34">
        <v>27.35</v>
      </c>
      <c r="H24" s="113">
        <v>0.5341</v>
      </c>
      <c r="I24" s="34">
        <v>0.8649</v>
      </c>
      <c r="J24" s="34">
        <v>211.0</v>
      </c>
      <c r="K24" s="34">
        <v>176.0</v>
      </c>
      <c r="L24" s="113">
        <v>0.1036</v>
      </c>
    </row>
    <row r="25" ht="22.5" customHeight="1">
      <c r="A25" s="111" t="s">
        <v>33</v>
      </c>
      <c r="B25" s="112">
        <v>46059.0</v>
      </c>
      <c r="C25" s="111">
        <v>212.5</v>
      </c>
      <c r="D25" s="111" t="s">
        <v>116</v>
      </c>
      <c r="E25" s="34">
        <v>24.45</v>
      </c>
      <c r="F25" s="34">
        <v>24.88</v>
      </c>
      <c r="G25" s="34">
        <v>25.3</v>
      </c>
      <c r="H25" s="113">
        <v>0.5265</v>
      </c>
      <c r="I25" s="34">
        <v>0.8428</v>
      </c>
      <c r="J25" s="34">
        <v>1.0</v>
      </c>
      <c r="K25" s="34">
        <v>0.0</v>
      </c>
      <c r="L25" s="113">
        <v>0.09300000000000001</v>
      </c>
    </row>
    <row r="26" ht="22.5" customHeight="1">
      <c r="A26" s="111" t="s">
        <v>33</v>
      </c>
      <c r="B26" s="112">
        <v>46059.0</v>
      </c>
      <c r="C26" s="111">
        <v>215.0</v>
      </c>
      <c r="D26" s="111" t="s">
        <v>116</v>
      </c>
      <c r="E26" s="34">
        <v>22.45</v>
      </c>
      <c r="F26" s="34">
        <v>22.75</v>
      </c>
      <c r="G26" s="34">
        <v>23.05</v>
      </c>
      <c r="H26" s="113">
        <v>0.5165</v>
      </c>
      <c r="I26" s="34">
        <v>0.819</v>
      </c>
      <c r="J26" s="34">
        <v>44.0</v>
      </c>
      <c r="K26" s="34">
        <v>168.0</v>
      </c>
      <c r="L26" s="113">
        <v>0.0823</v>
      </c>
    </row>
    <row r="27" ht="22.5" customHeight="1">
      <c r="A27" s="111" t="s">
        <v>33</v>
      </c>
      <c r="B27" s="112">
        <v>46059.0</v>
      </c>
      <c r="C27" s="111">
        <v>217.5</v>
      </c>
      <c r="D27" s="111" t="s">
        <v>116</v>
      </c>
      <c r="E27" s="34">
        <v>20.6</v>
      </c>
      <c r="F27" s="34">
        <v>20.68</v>
      </c>
      <c r="G27" s="34">
        <v>20.75</v>
      </c>
      <c r="H27" s="113">
        <v>0.506</v>
      </c>
      <c r="I27" s="34">
        <v>0.7927</v>
      </c>
      <c r="J27" s="34">
        <v>0.0</v>
      </c>
      <c r="K27" s="34">
        <v>10.0</v>
      </c>
      <c r="L27" s="113">
        <v>0.0716</v>
      </c>
    </row>
    <row r="28" ht="22.5" customHeight="1">
      <c r="A28" s="111" t="s">
        <v>33</v>
      </c>
      <c r="B28" s="112">
        <v>46059.0</v>
      </c>
      <c r="C28" s="111">
        <v>220.0</v>
      </c>
      <c r="D28" s="111" t="s">
        <v>116</v>
      </c>
      <c r="E28" s="34">
        <v>18.7</v>
      </c>
      <c r="F28" s="34">
        <v>18.78</v>
      </c>
      <c r="G28" s="34">
        <v>18.85</v>
      </c>
      <c r="H28" s="113">
        <v>0.5049</v>
      </c>
      <c r="I28" s="34">
        <v>0.7598</v>
      </c>
      <c r="J28" s="34">
        <v>61.0</v>
      </c>
      <c r="K28" s="34">
        <v>268.0</v>
      </c>
      <c r="L28" s="113">
        <v>0.061</v>
      </c>
    </row>
    <row r="29" ht="22.5" customHeight="1">
      <c r="A29" s="111" t="s">
        <v>33</v>
      </c>
      <c r="B29" s="112">
        <v>46059.0</v>
      </c>
      <c r="C29" s="111">
        <v>222.5</v>
      </c>
      <c r="D29" s="111" t="s">
        <v>116</v>
      </c>
      <c r="E29" s="34">
        <v>16.85</v>
      </c>
      <c r="F29" s="34">
        <v>16.93</v>
      </c>
      <c r="G29" s="34">
        <v>17.0</v>
      </c>
      <c r="H29" s="113">
        <v>0.49810000000000004</v>
      </c>
      <c r="I29" s="34">
        <v>0.7264</v>
      </c>
      <c r="J29" s="34">
        <v>5.0</v>
      </c>
      <c r="K29" s="34">
        <v>45.0</v>
      </c>
      <c r="L29" s="113">
        <v>0.050300000000000004</v>
      </c>
    </row>
    <row r="30" ht="22.5" customHeight="1">
      <c r="A30" s="111" t="s">
        <v>33</v>
      </c>
      <c r="B30" s="112">
        <v>46059.0</v>
      </c>
      <c r="C30" s="111">
        <v>225.0</v>
      </c>
      <c r="D30" s="111" t="s">
        <v>116</v>
      </c>
      <c r="E30" s="34">
        <v>15.1</v>
      </c>
      <c r="F30" s="34">
        <v>15.18</v>
      </c>
      <c r="G30" s="34">
        <v>15.25</v>
      </c>
      <c r="H30" s="113">
        <v>0.4953</v>
      </c>
      <c r="I30" s="34">
        <v>0.6892</v>
      </c>
      <c r="J30" s="34">
        <v>228.0</v>
      </c>
      <c r="K30" s="34">
        <v>1341.0</v>
      </c>
      <c r="L30" s="113">
        <v>0.039599999999999996</v>
      </c>
    </row>
    <row r="31" ht="22.5" customHeight="1">
      <c r="A31" s="111" t="s">
        <v>33</v>
      </c>
      <c r="B31" s="112">
        <v>46059.0</v>
      </c>
      <c r="C31" s="111">
        <v>227.5</v>
      </c>
      <c r="D31" s="111" t="s">
        <v>116</v>
      </c>
      <c r="E31" s="34">
        <v>13.45</v>
      </c>
      <c r="F31" s="34">
        <v>13.52</v>
      </c>
      <c r="G31" s="34">
        <v>13.6</v>
      </c>
      <c r="H31" s="113">
        <v>0.48840000000000006</v>
      </c>
      <c r="I31" s="34">
        <v>0.6508</v>
      </c>
      <c r="J31" s="34">
        <v>232.0</v>
      </c>
      <c r="K31" s="34">
        <v>132.0</v>
      </c>
      <c r="L31" s="113">
        <v>0.028900000000000002</v>
      </c>
    </row>
    <row r="32" ht="22.5" customHeight="1">
      <c r="A32" s="111" t="s">
        <v>33</v>
      </c>
      <c r="B32" s="112">
        <v>46059.0</v>
      </c>
      <c r="C32" s="111">
        <v>230.0</v>
      </c>
      <c r="D32" s="111" t="s">
        <v>116</v>
      </c>
      <c r="E32" s="34">
        <v>11.9</v>
      </c>
      <c r="F32" s="34">
        <v>11.98</v>
      </c>
      <c r="G32" s="34">
        <v>12.05</v>
      </c>
      <c r="H32" s="113">
        <v>0.48829999999999996</v>
      </c>
      <c r="I32" s="34">
        <v>0.6091</v>
      </c>
      <c r="J32" s="34">
        <v>336.0</v>
      </c>
      <c r="K32" s="34">
        <v>3968.0</v>
      </c>
      <c r="L32" s="113">
        <v>0.0183</v>
      </c>
    </row>
    <row r="33" ht="22.5" customHeight="1">
      <c r="A33" s="111" t="s">
        <v>33</v>
      </c>
      <c r="B33" s="112">
        <v>46059.0</v>
      </c>
      <c r="C33" s="111">
        <v>232.5</v>
      </c>
      <c r="D33" s="111" t="s">
        <v>116</v>
      </c>
      <c r="E33" s="34">
        <v>10.45</v>
      </c>
      <c r="F33" s="34">
        <v>10.52</v>
      </c>
      <c r="G33" s="34">
        <v>10.6</v>
      </c>
      <c r="H33" s="113">
        <v>0.484</v>
      </c>
      <c r="I33" s="34">
        <v>0.5669</v>
      </c>
      <c r="J33" s="34">
        <v>499.0</v>
      </c>
      <c r="K33" s="34">
        <v>570.0</v>
      </c>
      <c r="L33" s="113">
        <v>0.0076</v>
      </c>
    </row>
    <row r="34" ht="22.5" customHeight="1">
      <c r="A34" s="111" t="s">
        <v>33</v>
      </c>
      <c r="B34" s="112">
        <v>46059.0</v>
      </c>
      <c r="C34" s="111">
        <v>235.0</v>
      </c>
      <c r="D34" s="111" t="s">
        <v>116</v>
      </c>
      <c r="E34" s="34">
        <v>9.15</v>
      </c>
      <c r="F34" s="34">
        <v>9.2</v>
      </c>
      <c r="G34" s="34">
        <v>9.25</v>
      </c>
      <c r="H34" s="113">
        <v>0.47840000000000005</v>
      </c>
      <c r="I34" s="34">
        <v>0.5235</v>
      </c>
      <c r="J34" s="34">
        <v>1279.0</v>
      </c>
      <c r="K34" s="34">
        <v>2820.0</v>
      </c>
      <c r="L34" s="113">
        <v>-0.0031</v>
      </c>
    </row>
    <row r="35" ht="22.5" customHeight="1">
      <c r="A35" s="111" t="s">
        <v>33</v>
      </c>
      <c r="B35" s="112">
        <v>46059.0</v>
      </c>
      <c r="C35" s="111">
        <v>237.5</v>
      </c>
      <c r="D35" s="111" t="s">
        <v>116</v>
      </c>
      <c r="E35" s="34">
        <v>7.9</v>
      </c>
      <c r="F35" s="34">
        <v>7.98</v>
      </c>
      <c r="G35" s="34">
        <v>8.05</v>
      </c>
      <c r="H35" s="113">
        <v>0.4788</v>
      </c>
      <c r="I35" s="34">
        <v>0.4801</v>
      </c>
      <c r="J35" s="34">
        <v>342.0</v>
      </c>
      <c r="K35" s="34">
        <v>380.0</v>
      </c>
      <c r="L35" s="113">
        <v>-0.0137</v>
      </c>
    </row>
    <row r="36" ht="22.5" customHeight="1">
      <c r="A36" s="111" t="s">
        <v>33</v>
      </c>
      <c r="B36" s="112">
        <v>46059.0</v>
      </c>
      <c r="C36" s="111">
        <v>240.0</v>
      </c>
      <c r="D36" s="111" t="s">
        <v>116</v>
      </c>
      <c r="E36" s="34">
        <v>6.8</v>
      </c>
      <c r="F36" s="34">
        <v>6.85</v>
      </c>
      <c r="G36" s="34">
        <v>6.9</v>
      </c>
      <c r="H36" s="113">
        <v>0.4707</v>
      </c>
      <c r="I36" s="34">
        <v>0.4355</v>
      </c>
      <c r="J36" s="34">
        <v>1435.0</v>
      </c>
      <c r="K36" s="34">
        <v>4376.0</v>
      </c>
      <c r="L36" s="113">
        <v>-0.024399999999999998</v>
      </c>
    </row>
    <row r="37" ht="22.5" customHeight="1">
      <c r="A37" s="111" t="s">
        <v>33</v>
      </c>
      <c r="B37" s="112">
        <v>46059.0</v>
      </c>
      <c r="C37" s="111">
        <v>242.5</v>
      </c>
      <c r="D37" s="111" t="s">
        <v>116</v>
      </c>
      <c r="E37" s="34">
        <v>5.8</v>
      </c>
      <c r="F37" s="34">
        <v>5.88</v>
      </c>
      <c r="G37" s="34">
        <v>5.95</v>
      </c>
      <c r="H37" s="113">
        <v>0.46759999999999996</v>
      </c>
      <c r="I37" s="34">
        <v>0.3923</v>
      </c>
      <c r="J37" s="34">
        <v>87.0</v>
      </c>
      <c r="K37" s="34">
        <v>444.0</v>
      </c>
      <c r="L37" s="113">
        <v>-0.0351</v>
      </c>
    </row>
    <row r="38" ht="22.5" customHeight="1">
      <c r="A38" s="111" t="s">
        <v>33</v>
      </c>
      <c r="B38" s="112">
        <v>46059.0</v>
      </c>
      <c r="C38" s="111">
        <v>245.0</v>
      </c>
      <c r="D38" s="111" t="s">
        <v>116</v>
      </c>
      <c r="E38" s="34">
        <v>4.9</v>
      </c>
      <c r="F38" s="34">
        <v>4.95</v>
      </c>
      <c r="G38" s="34">
        <v>5.0</v>
      </c>
      <c r="H38" s="113">
        <v>0.467</v>
      </c>
      <c r="I38" s="34">
        <v>0.3512</v>
      </c>
      <c r="J38" s="34">
        <v>462.0</v>
      </c>
      <c r="K38" s="34">
        <v>2923.0</v>
      </c>
      <c r="L38" s="113">
        <v>-0.0458</v>
      </c>
    </row>
    <row r="39" ht="22.5" customHeight="1">
      <c r="A39" s="111" t="s">
        <v>33</v>
      </c>
      <c r="B39" s="112">
        <v>46059.0</v>
      </c>
      <c r="C39" s="111">
        <v>247.5</v>
      </c>
      <c r="D39" s="111" t="s">
        <v>116</v>
      </c>
      <c r="E39" s="34">
        <v>4.1</v>
      </c>
      <c r="F39" s="34">
        <v>4.18</v>
      </c>
      <c r="G39" s="34">
        <v>4.25</v>
      </c>
      <c r="H39" s="113">
        <v>0.4637</v>
      </c>
      <c r="I39" s="34">
        <v>0.3108</v>
      </c>
      <c r="J39" s="34">
        <v>191.0</v>
      </c>
      <c r="K39" s="34">
        <v>403.0</v>
      </c>
      <c r="L39" s="113">
        <v>-0.0564</v>
      </c>
    </row>
    <row r="40" ht="22.5" customHeight="1">
      <c r="A40" s="111" t="s">
        <v>33</v>
      </c>
      <c r="B40" s="112">
        <v>46059.0</v>
      </c>
      <c r="C40" s="111">
        <v>250.0</v>
      </c>
      <c r="D40" s="111" t="s">
        <v>116</v>
      </c>
      <c r="E40" s="34">
        <v>3.45</v>
      </c>
      <c r="F40" s="34">
        <v>3.5</v>
      </c>
      <c r="G40" s="34">
        <v>3.55</v>
      </c>
      <c r="H40" s="113">
        <v>0.4606</v>
      </c>
      <c r="I40" s="34">
        <v>0.2725</v>
      </c>
      <c r="J40" s="34">
        <v>2450.0</v>
      </c>
      <c r="K40" s="34">
        <v>14106.0</v>
      </c>
      <c r="L40" s="113">
        <v>-0.06709999999999999</v>
      </c>
    </row>
    <row r="41" ht="22.5" customHeight="1">
      <c r="A41" s="111" t="s">
        <v>33</v>
      </c>
      <c r="B41" s="112">
        <v>46059.0</v>
      </c>
      <c r="C41" s="111">
        <v>252.5</v>
      </c>
      <c r="D41" s="111" t="s">
        <v>116</v>
      </c>
      <c r="E41" s="34">
        <v>2.86</v>
      </c>
      <c r="F41" s="34">
        <v>2.9</v>
      </c>
      <c r="G41" s="34">
        <v>2.94</v>
      </c>
      <c r="H41" s="113">
        <v>0.4582</v>
      </c>
      <c r="I41" s="34">
        <v>0.237</v>
      </c>
      <c r="J41" s="34">
        <v>42.0</v>
      </c>
      <c r="K41" s="34">
        <v>204.0</v>
      </c>
      <c r="L41" s="113">
        <v>-0.07780000000000001</v>
      </c>
    </row>
    <row r="42" ht="22.5" customHeight="1">
      <c r="A42" s="111" t="s">
        <v>33</v>
      </c>
      <c r="B42" s="112">
        <v>46059.0</v>
      </c>
      <c r="C42" s="111">
        <v>255.0</v>
      </c>
      <c r="D42" s="111" t="s">
        <v>116</v>
      </c>
      <c r="E42" s="34">
        <v>2.36</v>
      </c>
      <c r="F42" s="34">
        <v>2.39</v>
      </c>
      <c r="G42" s="34">
        <v>2.41</v>
      </c>
      <c r="H42" s="113">
        <v>0.4571</v>
      </c>
      <c r="I42" s="34">
        <v>0.2049</v>
      </c>
      <c r="J42" s="34">
        <v>1356.0</v>
      </c>
      <c r="K42" s="34">
        <v>3934.0</v>
      </c>
      <c r="L42" s="113">
        <v>-0.08839999999999999</v>
      </c>
    </row>
    <row r="43" ht="22.5" customHeight="1">
      <c r="A43" s="111" t="s">
        <v>33</v>
      </c>
      <c r="B43" s="112">
        <v>46059.0</v>
      </c>
      <c r="C43" s="111">
        <v>257.5</v>
      </c>
      <c r="D43" s="111" t="s">
        <v>116</v>
      </c>
      <c r="E43" s="34">
        <v>1.93</v>
      </c>
      <c r="F43" s="34">
        <v>1.96</v>
      </c>
      <c r="G43" s="34">
        <v>1.99</v>
      </c>
      <c r="H43" s="113">
        <v>0.4534</v>
      </c>
      <c r="I43" s="34">
        <v>0.1742</v>
      </c>
      <c r="J43" s="34">
        <v>59.0</v>
      </c>
      <c r="K43" s="34">
        <v>168.0</v>
      </c>
      <c r="L43" s="113">
        <v>-0.09910000000000001</v>
      </c>
    </row>
    <row r="44" ht="22.5" customHeight="1">
      <c r="A44" s="111" t="s">
        <v>33</v>
      </c>
      <c r="B44" s="112">
        <v>46059.0</v>
      </c>
      <c r="C44" s="111">
        <v>260.0</v>
      </c>
      <c r="D44" s="111" t="s">
        <v>116</v>
      </c>
      <c r="E44" s="34">
        <v>1.59</v>
      </c>
      <c r="F44" s="34">
        <v>1.61</v>
      </c>
      <c r="G44" s="34">
        <v>1.62</v>
      </c>
      <c r="H44" s="113">
        <v>0.4551</v>
      </c>
      <c r="I44" s="34">
        <v>0.1495</v>
      </c>
      <c r="J44" s="34">
        <v>2988.0</v>
      </c>
      <c r="K44" s="34">
        <v>7657.0</v>
      </c>
      <c r="L44" s="113">
        <v>-0.10980000000000001</v>
      </c>
    </row>
    <row r="45" ht="22.5" customHeight="1">
      <c r="A45" s="111" t="s">
        <v>33</v>
      </c>
      <c r="B45" s="112">
        <v>46059.0</v>
      </c>
      <c r="C45" s="111">
        <v>262.5</v>
      </c>
      <c r="D45" s="111" t="s">
        <v>116</v>
      </c>
      <c r="E45" s="34">
        <v>1.28</v>
      </c>
      <c r="F45" s="34">
        <v>1.3</v>
      </c>
      <c r="G45" s="34">
        <v>1.32</v>
      </c>
      <c r="H45" s="113">
        <v>0.4537</v>
      </c>
      <c r="I45" s="34">
        <v>0.1258</v>
      </c>
      <c r="J45" s="34">
        <v>57.0</v>
      </c>
      <c r="K45" s="34">
        <v>94.0</v>
      </c>
      <c r="L45" s="113">
        <v>-0.12050000000000001</v>
      </c>
    </row>
    <row r="46" ht="22.5" customHeight="1">
      <c r="A46" s="111" t="s">
        <v>33</v>
      </c>
      <c r="B46" s="112">
        <v>46059.0</v>
      </c>
      <c r="C46" s="111">
        <v>265.0</v>
      </c>
      <c r="D46" s="111" t="s">
        <v>116</v>
      </c>
      <c r="E46" s="34">
        <v>1.05</v>
      </c>
      <c r="F46" s="34">
        <v>1.06</v>
      </c>
      <c r="G46" s="34">
        <v>1.07</v>
      </c>
      <c r="H46" s="113">
        <v>0.45549999999999996</v>
      </c>
      <c r="I46" s="34">
        <v>0.1068</v>
      </c>
      <c r="J46" s="34">
        <v>356.0</v>
      </c>
      <c r="K46" s="34">
        <v>2232.0</v>
      </c>
      <c r="L46" s="113">
        <v>-0.1311</v>
      </c>
    </row>
    <row r="47" ht="22.5" customHeight="1">
      <c r="A47" s="111" t="s">
        <v>33</v>
      </c>
      <c r="B47" s="112">
        <v>46059.0</v>
      </c>
      <c r="C47" s="111">
        <v>267.5</v>
      </c>
      <c r="D47" s="111" t="s">
        <v>116</v>
      </c>
      <c r="E47" s="34">
        <v>0.84</v>
      </c>
      <c r="F47" s="34">
        <v>0.86</v>
      </c>
      <c r="G47" s="34">
        <v>0.88</v>
      </c>
      <c r="H47" s="113">
        <v>0.4525</v>
      </c>
      <c r="I47" s="34">
        <v>0.0877</v>
      </c>
      <c r="J47" s="34">
        <v>9.0</v>
      </c>
      <c r="K47" s="34">
        <v>0.0</v>
      </c>
      <c r="L47" s="113">
        <v>-0.1418</v>
      </c>
    </row>
    <row r="48" ht="22.5" customHeight="1">
      <c r="A48" s="111" t="s">
        <v>33</v>
      </c>
      <c r="B48" s="112">
        <v>46059.0</v>
      </c>
      <c r="C48" s="111">
        <v>270.0</v>
      </c>
      <c r="D48" s="111" t="s">
        <v>116</v>
      </c>
      <c r="E48" s="34">
        <v>0.68</v>
      </c>
      <c r="F48" s="34">
        <v>0.7</v>
      </c>
      <c r="G48" s="34">
        <v>0.71</v>
      </c>
      <c r="H48" s="113">
        <v>0.45659999999999995</v>
      </c>
      <c r="I48" s="34">
        <v>0.0746</v>
      </c>
      <c r="J48" s="34">
        <v>130.0</v>
      </c>
      <c r="K48" s="34">
        <v>9530.0</v>
      </c>
      <c r="L48" s="113">
        <v>-0.1525</v>
      </c>
    </row>
    <row r="49" ht="22.5" customHeight="1">
      <c r="A49" s="111" t="s">
        <v>33</v>
      </c>
      <c r="B49" s="112">
        <v>46059.0</v>
      </c>
      <c r="C49" s="111">
        <v>272.5</v>
      </c>
      <c r="D49" s="111" t="s">
        <v>116</v>
      </c>
      <c r="E49" s="34">
        <v>0.55</v>
      </c>
      <c r="F49" s="34">
        <v>0.57</v>
      </c>
      <c r="G49" s="34">
        <v>0.58</v>
      </c>
      <c r="H49" s="113">
        <v>0.45770000000000005</v>
      </c>
      <c r="I49" s="34">
        <v>0.062</v>
      </c>
      <c r="J49" s="34">
        <v>71.0</v>
      </c>
      <c r="K49" s="34">
        <v>0.0</v>
      </c>
      <c r="L49" s="113">
        <v>-0.1631</v>
      </c>
    </row>
    <row r="50" ht="22.5" customHeight="1">
      <c r="A50" s="111" t="s">
        <v>33</v>
      </c>
      <c r="B50" s="112">
        <v>46059.0</v>
      </c>
      <c r="C50" s="111">
        <v>275.0</v>
      </c>
      <c r="D50" s="111" t="s">
        <v>116</v>
      </c>
      <c r="E50" s="34">
        <v>0.45</v>
      </c>
      <c r="F50" s="34">
        <v>0.46</v>
      </c>
      <c r="G50" s="34">
        <v>0.47</v>
      </c>
      <c r="H50" s="113">
        <v>0.45990000000000003</v>
      </c>
      <c r="I50" s="34">
        <v>0.0517</v>
      </c>
      <c r="J50" s="34">
        <v>415.0</v>
      </c>
      <c r="K50" s="34">
        <v>1697.0</v>
      </c>
      <c r="L50" s="113">
        <v>-0.17379999999999998</v>
      </c>
    </row>
    <row r="51" ht="22.5" customHeight="1">
      <c r="A51" s="111" t="s">
        <v>33</v>
      </c>
      <c r="B51" s="112">
        <v>46059.0</v>
      </c>
      <c r="C51" s="111">
        <v>277.5</v>
      </c>
      <c r="D51" s="111" t="s">
        <v>116</v>
      </c>
      <c r="E51" s="34">
        <v>0.35</v>
      </c>
      <c r="F51" s="34">
        <v>0.38</v>
      </c>
      <c r="G51" s="34">
        <v>0.41</v>
      </c>
      <c r="H51" s="113">
        <v>0.4636</v>
      </c>
      <c r="I51" s="34">
        <v>0.0435</v>
      </c>
      <c r="J51" s="34">
        <v>2.0</v>
      </c>
      <c r="K51" s="34">
        <v>0.0</v>
      </c>
      <c r="L51" s="113">
        <v>-0.1845</v>
      </c>
    </row>
    <row r="52" ht="22.5" customHeight="1">
      <c r="A52" s="111" t="s">
        <v>33</v>
      </c>
      <c r="B52" s="112">
        <v>46059.0</v>
      </c>
      <c r="C52" s="111">
        <v>280.0</v>
      </c>
      <c r="D52" s="111" t="s">
        <v>116</v>
      </c>
      <c r="E52" s="34">
        <v>0.29</v>
      </c>
      <c r="F52" s="34">
        <v>0.32</v>
      </c>
      <c r="G52" s="34">
        <v>0.34</v>
      </c>
      <c r="H52" s="113">
        <v>0.46880000000000005</v>
      </c>
      <c r="I52" s="34">
        <v>0.0371</v>
      </c>
      <c r="J52" s="34">
        <v>346.0</v>
      </c>
      <c r="K52" s="34">
        <v>16653.0</v>
      </c>
      <c r="L52" s="113">
        <v>-0.19519999999999998</v>
      </c>
    </row>
    <row r="53" ht="22.5" customHeight="1">
      <c r="A53" s="111" t="s">
        <v>33</v>
      </c>
      <c r="B53" s="112">
        <v>46059.0</v>
      </c>
      <c r="C53" s="111">
        <v>285.0</v>
      </c>
      <c r="D53" s="111" t="s">
        <v>116</v>
      </c>
      <c r="E53" s="34">
        <v>0.19</v>
      </c>
      <c r="F53" s="34">
        <v>0.22</v>
      </c>
      <c r="G53" s="34">
        <v>0.24</v>
      </c>
      <c r="H53" s="113">
        <v>0.4694</v>
      </c>
      <c r="I53" s="34">
        <v>0.0245</v>
      </c>
      <c r="J53" s="34">
        <v>33.0</v>
      </c>
      <c r="K53" s="34">
        <v>374.0</v>
      </c>
      <c r="L53" s="113">
        <v>-0.2165</v>
      </c>
    </row>
    <row r="54" ht="22.5" customHeight="1">
      <c r="A54" s="111" t="s">
        <v>33</v>
      </c>
      <c r="B54" s="112">
        <v>46059.0</v>
      </c>
      <c r="C54" s="111">
        <v>290.0</v>
      </c>
      <c r="D54" s="111" t="s">
        <v>116</v>
      </c>
      <c r="E54" s="34">
        <v>0.13</v>
      </c>
      <c r="F54" s="34">
        <v>0.15</v>
      </c>
      <c r="G54" s="34">
        <v>0.17</v>
      </c>
      <c r="H54" s="113">
        <v>0.48350000000000004</v>
      </c>
      <c r="I54" s="34">
        <v>0.0185</v>
      </c>
      <c r="J54" s="34">
        <v>0.0</v>
      </c>
      <c r="K54" s="34">
        <v>371.0</v>
      </c>
      <c r="L54" s="113">
        <v>-0.2378</v>
      </c>
    </row>
    <row r="55" ht="22.5" customHeight="1">
      <c r="A55" s="111" t="s">
        <v>33</v>
      </c>
      <c r="B55" s="112">
        <v>46059.0</v>
      </c>
      <c r="C55" s="111">
        <v>295.0</v>
      </c>
      <c r="D55" s="111" t="s">
        <v>116</v>
      </c>
      <c r="E55" s="34">
        <v>0.09</v>
      </c>
      <c r="F55" s="34">
        <v>0.11</v>
      </c>
      <c r="G55" s="34">
        <v>0.13</v>
      </c>
      <c r="H55" s="113">
        <v>0.495</v>
      </c>
      <c r="I55" s="34">
        <v>0.0137</v>
      </c>
      <c r="J55" s="34">
        <v>31.0</v>
      </c>
      <c r="K55" s="34">
        <v>130.0</v>
      </c>
      <c r="L55" s="113">
        <v>-0.25920000000000004</v>
      </c>
    </row>
    <row r="56" ht="22.5" customHeight="1">
      <c r="A56" s="111" t="s">
        <v>33</v>
      </c>
      <c r="B56" s="112">
        <v>46059.0</v>
      </c>
      <c r="C56" s="111">
        <v>300.0</v>
      </c>
      <c r="D56" s="111" t="s">
        <v>116</v>
      </c>
      <c r="E56" s="34">
        <v>0.06</v>
      </c>
      <c r="F56" s="34">
        <v>0.08</v>
      </c>
      <c r="G56" s="34">
        <v>0.1</v>
      </c>
      <c r="H56" s="113">
        <v>0.5053</v>
      </c>
      <c r="I56" s="34">
        <v>0.0101</v>
      </c>
      <c r="J56" s="34">
        <v>9.0</v>
      </c>
      <c r="K56" s="34">
        <v>2021.0</v>
      </c>
      <c r="L56" s="113">
        <v>-0.2805</v>
      </c>
    </row>
    <row r="57" ht="22.5" customHeight="1">
      <c r="A57" s="111" t="s">
        <v>33</v>
      </c>
      <c r="B57" s="112">
        <v>46059.0</v>
      </c>
      <c r="C57" s="111">
        <v>305.0</v>
      </c>
      <c r="D57" s="111" t="s">
        <v>116</v>
      </c>
      <c r="E57" s="34">
        <v>0.03</v>
      </c>
      <c r="F57" s="34">
        <v>0.06</v>
      </c>
      <c r="G57" s="34">
        <v>0.09</v>
      </c>
      <c r="H57" s="113">
        <v>0.5168</v>
      </c>
      <c r="I57" s="34">
        <v>0.0076</v>
      </c>
      <c r="J57" s="34">
        <v>0.0</v>
      </c>
      <c r="K57" s="34">
        <v>98.0</v>
      </c>
      <c r="L57" s="113">
        <v>-0.3019</v>
      </c>
    </row>
    <row r="58" ht="22.5" customHeight="1">
      <c r="A58" s="111" t="s">
        <v>33</v>
      </c>
      <c r="B58" s="112">
        <v>46059.0</v>
      </c>
      <c r="C58" s="111">
        <v>310.0</v>
      </c>
      <c r="D58" s="111" t="s">
        <v>116</v>
      </c>
      <c r="E58" s="34">
        <v>0.02</v>
      </c>
      <c r="F58" s="34">
        <v>0.05</v>
      </c>
      <c r="G58" s="34">
        <v>0.07</v>
      </c>
      <c r="H58" s="113">
        <v>0.5448</v>
      </c>
      <c r="I58" s="34">
        <v>0.0073</v>
      </c>
      <c r="J58" s="34">
        <v>51.0</v>
      </c>
      <c r="K58" s="34">
        <v>160.0</v>
      </c>
      <c r="L58" s="113">
        <v>-0.3232</v>
      </c>
    </row>
    <row r="59" ht="22.5" customHeight="1">
      <c r="A59" s="111" t="s">
        <v>33</v>
      </c>
      <c r="B59" s="112">
        <v>46059.0</v>
      </c>
      <c r="C59" s="111">
        <v>315.0</v>
      </c>
      <c r="D59" s="111" t="s">
        <v>116</v>
      </c>
      <c r="E59" s="34">
        <v>0.01</v>
      </c>
      <c r="F59" s="34">
        <v>0.03</v>
      </c>
      <c r="G59" s="34">
        <v>0.06</v>
      </c>
      <c r="H59" s="113">
        <v>0.5397</v>
      </c>
      <c r="I59" s="34">
        <v>0.0045</v>
      </c>
      <c r="J59" s="34">
        <v>0.0</v>
      </c>
      <c r="K59" s="34">
        <v>27.0</v>
      </c>
      <c r="L59" s="113">
        <v>-0.34450000000000003</v>
      </c>
    </row>
    <row r="60" ht="22.5" customHeight="1">
      <c r="A60" s="111" t="s">
        <v>33</v>
      </c>
      <c r="B60" s="112">
        <v>46059.0</v>
      </c>
      <c r="C60" s="111">
        <v>320.0</v>
      </c>
      <c r="D60" s="111" t="s">
        <v>116</v>
      </c>
      <c r="E60" s="34">
        <v>0.01</v>
      </c>
      <c r="F60" s="34">
        <v>0.02</v>
      </c>
      <c r="G60" s="34">
        <v>0.03</v>
      </c>
      <c r="H60" s="113">
        <v>0.5027</v>
      </c>
      <c r="I60" s="34">
        <v>0.0015</v>
      </c>
      <c r="J60" s="34">
        <v>5.0</v>
      </c>
      <c r="K60" s="34">
        <v>514.0</v>
      </c>
      <c r="L60" s="113">
        <v>-0.36590000000000006</v>
      </c>
    </row>
    <row r="61" ht="22.5" customHeight="1">
      <c r="A61" s="111" t="s">
        <v>33</v>
      </c>
      <c r="B61" s="112">
        <v>46059.0</v>
      </c>
      <c r="C61" s="111">
        <v>325.0</v>
      </c>
      <c r="D61" s="111" t="s">
        <v>116</v>
      </c>
      <c r="E61" s="34">
        <v>0.0</v>
      </c>
      <c r="F61" s="34">
        <v>0.03</v>
      </c>
      <c r="G61" s="34">
        <v>0.05</v>
      </c>
      <c r="H61" s="113">
        <v>0.6128</v>
      </c>
      <c r="I61" s="34">
        <v>0.0056</v>
      </c>
      <c r="J61" s="34">
        <v>0.0</v>
      </c>
      <c r="K61" s="34">
        <v>4062.0</v>
      </c>
      <c r="L61" s="113">
        <v>-0.3872</v>
      </c>
    </row>
    <row r="62" ht="22.5" customHeight="1">
      <c r="A62" s="111" t="s">
        <v>33</v>
      </c>
      <c r="B62" s="112">
        <v>46059.0</v>
      </c>
      <c r="C62" s="111">
        <v>330.0</v>
      </c>
      <c r="D62" s="111" t="s">
        <v>116</v>
      </c>
      <c r="E62" s="34">
        <v>0.0</v>
      </c>
      <c r="F62" s="34">
        <v>0.03</v>
      </c>
      <c r="G62" s="34">
        <v>0.05</v>
      </c>
      <c r="H62" s="113">
        <v>0.6381</v>
      </c>
      <c r="I62" s="34">
        <v>0.0054</v>
      </c>
      <c r="J62" s="34">
        <v>0.0</v>
      </c>
      <c r="K62" s="34">
        <v>32.0</v>
      </c>
      <c r="L62" s="113">
        <v>-0.4086</v>
      </c>
    </row>
    <row r="63" ht="22.5" customHeight="1">
      <c r="A63" s="111" t="s">
        <v>33</v>
      </c>
      <c r="B63" s="112">
        <v>46059.0</v>
      </c>
      <c r="C63" s="111">
        <v>335.0</v>
      </c>
      <c r="D63" s="111" t="s">
        <v>116</v>
      </c>
      <c r="E63" s="34">
        <v>0.0</v>
      </c>
      <c r="F63" s="34">
        <v>0.06</v>
      </c>
      <c r="G63" s="34">
        <v>0.12</v>
      </c>
      <c r="H63" s="113">
        <v>0.7325</v>
      </c>
      <c r="I63" s="34">
        <v>0.0106</v>
      </c>
      <c r="J63" s="34">
        <v>0.0</v>
      </c>
      <c r="K63" s="34">
        <v>1.0</v>
      </c>
      <c r="L63" s="113">
        <v>-0.4299</v>
      </c>
    </row>
    <row r="64" ht="22.5" customHeight="1">
      <c r="A64" s="111" t="s">
        <v>33</v>
      </c>
      <c r="B64" s="112">
        <v>46059.0</v>
      </c>
      <c r="C64" s="111">
        <v>340.0</v>
      </c>
      <c r="D64" s="111" t="s">
        <v>116</v>
      </c>
      <c r="E64" s="34">
        <v>0.0</v>
      </c>
      <c r="F64" s="34">
        <v>0.14</v>
      </c>
      <c r="G64" s="34">
        <v>0.28</v>
      </c>
      <c r="H64" s="113">
        <v>0.8486</v>
      </c>
      <c r="I64" s="34">
        <v>0.02</v>
      </c>
      <c r="J64" s="34">
        <v>0.0</v>
      </c>
      <c r="K64" s="34">
        <v>35.0</v>
      </c>
      <c r="L64" s="113">
        <v>-0.45130000000000003</v>
      </c>
    </row>
    <row r="65" ht="22.5" customHeight="1">
      <c r="A65" s="111" t="s">
        <v>33</v>
      </c>
      <c r="B65" s="112">
        <v>46059.0</v>
      </c>
      <c r="C65" s="111">
        <v>345.0</v>
      </c>
      <c r="D65" s="111" t="s">
        <v>116</v>
      </c>
      <c r="E65" s="34">
        <v>0.0</v>
      </c>
      <c r="F65" s="34">
        <v>0.14</v>
      </c>
      <c r="G65" s="34">
        <v>0.27</v>
      </c>
      <c r="H65" s="113">
        <v>0.872</v>
      </c>
      <c r="I65" s="34">
        <v>0.0189</v>
      </c>
      <c r="J65" s="34">
        <v>0.0</v>
      </c>
      <c r="K65" s="34">
        <v>1154.0</v>
      </c>
      <c r="L65" s="113">
        <v>-0.47259999999999996</v>
      </c>
    </row>
    <row r="66" ht="22.5" customHeight="1">
      <c r="A66" s="111" t="s">
        <v>33</v>
      </c>
      <c r="B66" s="112">
        <v>46059.0</v>
      </c>
      <c r="C66" s="111">
        <v>125.0</v>
      </c>
      <c r="D66" s="111" t="s">
        <v>117</v>
      </c>
      <c r="E66" s="34">
        <v>0.0</v>
      </c>
      <c r="F66" s="34">
        <v>0.01</v>
      </c>
      <c r="G66" s="34">
        <v>0.01</v>
      </c>
      <c r="H66" s="113">
        <v>1.0116</v>
      </c>
      <c r="I66" s="34">
        <v>-7.0E-4</v>
      </c>
      <c r="J66" s="34">
        <v>0.0</v>
      </c>
      <c r="K66" s="34">
        <v>45.0</v>
      </c>
      <c r="L66" s="113">
        <v>-0.46649999999999997</v>
      </c>
    </row>
    <row r="67" ht="22.5" customHeight="1">
      <c r="A67" s="111" t="s">
        <v>33</v>
      </c>
      <c r="B67" s="112">
        <v>46059.0</v>
      </c>
      <c r="C67" s="111">
        <v>130.0</v>
      </c>
      <c r="D67" s="111" t="s">
        <v>117</v>
      </c>
      <c r="E67" s="34">
        <v>0.01</v>
      </c>
      <c r="F67" s="34">
        <v>0.03</v>
      </c>
      <c r="G67" s="34">
        <v>0.04</v>
      </c>
      <c r="H67" s="113">
        <v>1.033</v>
      </c>
      <c r="I67" s="34">
        <v>-0.0017</v>
      </c>
      <c r="J67" s="34">
        <v>7.0</v>
      </c>
      <c r="K67" s="34">
        <v>9.0</v>
      </c>
      <c r="L67" s="113">
        <v>-0.4451</v>
      </c>
    </row>
    <row r="68" ht="22.5" customHeight="1">
      <c r="A68" s="111" t="s">
        <v>33</v>
      </c>
      <c r="B68" s="112">
        <v>46059.0</v>
      </c>
      <c r="C68" s="111">
        <v>135.0</v>
      </c>
      <c r="D68" s="111" t="s">
        <v>117</v>
      </c>
      <c r="E68" s="34">
        <v>0.0</v>
      </c>
      <c r="F68" s="34">
        <v>0.02</v>
      </c>
      <c r="G68" s="34">
        <v>0.04</v>
      </c>
      <c r="H68" s="113">
        <v>1.0177</v>
      </c>
      <c r="I68" s="34">
        <v>-0.0026</v>
      </c>
      <c r="J68" s="34">
        <v>0.0</v>
      </c>
      <c r="K68" s="34">
        <v>16.0</v>
      </c>
      <c r="L68" s="113">
        <v>-0.4238</v>
      </c>
    </row>
    <row r="69" ht="22.5" customHeight="1">
      <c r="A69" s="111" t="s">
        <v>33</v>
      </c>
      <c r="B69" s="112">
        <v>46059.0</v>
      </c>
      <c r="C69" s="111">
        <v>140.0</v>
      </c>
      <c r="D69" s="111" t="s">
        <v>117</v>
      </c>
      <c r="E69" s="34">
        <v>0.01</v>
      </c>
      <c r="F69" s="34">
        <v>0.03</v>
      </c>
      <c r="G69" s="34">
        <v>0.06</v>
      </c>
      <c r="H69" s="113">
        <v>0.9429000000000001</v>
      </c>
      <c r="I69" s="34">
        <v>-0.0025</v>
      </c>
      <c r="J69" s="34">
        <v>0.0</v>
      </c>
      <c r="K69" s="34">
        <v>14.0</v>
      </c>
      <c r="L69" s="113">
        <v>-0.40240000000000004</v>
      </c>
    </row>
    <row r="70" ht="22.5" customHeight="1">
      <c r="A70" s="111" t="s">
        <v>33</v>
      </c>
      <c r="B70" s="112">
        <v>46059.0</v>
      </c>
      <c r="C70" s="111">
        <v>145.0</v>
      </c>
      <c r="D70" s="111" t="s">
        <v>117</v>
      </c>
      <c r="E70" s="34">
        <v>0.01</v>
      </c>
      <c r="F70" s="34">
        <v>0.04</v>
      </c>
      <c r="G70" s="34">
        <v>0.07</v>
      </c>
      <c r="H70" s="113">
        <v>0.8959999999999999</v>
      </c>
      <c r="I70" s="34">
        <v>-0.0029</v>
      </c>
      <c r="J70" s="34">
        <v>0.0</v>
      </c>
      <c r="K70" s="34">
        <v>109.0</v>
      </c>
      <c r="L70" s="113">
        <v>-0.3811</v>
      </c>
    </row>
    <row r="71" ht="22.5" customHeight="1">
      <c r="A71" s="111" t="s">
        <v>33</v>
      </c>
      <c r="B71" s="112">
        <v>46059.0</v>
      </c>
      <c r="C71" s="111">
        <v>150.0</v>
      </c>
      <c r="D71" s="111" t="s">
        <v>117</v>
      </c>
      <c r="E71" s="34">
        <v>0.03</v>
      </c>
      <c r="F71" s="34">
        <v>0.06</v>
      </c>
      <c r="G71" s="34">
        <v>0.08</v>
      </c>
      <c r="H71" s="113">
        <v>0.8673000000000001</v>
      </c>
      <c r="I71" s="34">
        <v>-0.0041</v>
      </c>
      <c r="J71" s="34">
        <v>0.0</v>
      </c>
      <c r="K71" s="34">
        <v>2203.0</v>
      </c>
      <c r="L71" s="113">
        <v>-0.35969999999999996</v>
      </c>
    </row>
    <row r="72" ht="22.5" customHeight="1">
      <c r="A72" s="111" t="s">
        <v>33</v>
      </c>
      <c r="B72" s="112">
        <v>46059.0</v>
      </c>
      <c r="C72" s="111">
        <v>155.0</v>
      </c>
      <c r="D72" s="111" t="s">
        <v>117</v>
      </c>
      <c r="E72" s="34">
        <v>0.03</v>
      </c>
      <c r="F72" s="34">
        <v>0.06</v>
      </c>
      <c r="G72" s="34">
        <v>0.09</v>
      </c>
      <c r="H72" s="113">
        <v>0.8173</v>
      </c>
      <c r="I72" s="34">
        <v>-0.0047</v>
      </c>
      <c r="J72" s="34">
        <v>0.0</v>
      </c>
      <c r="K72" s="34">
        <v>52.0</v>
      </c>
      <c r="L72" s="113">
        <v>-0.33840000000000003</v>
      </c>
    </row>
    <row r="73" ht="22.5" customHeight="1">
      <c r="A73" s="111" t="s">
        <v>33</v>
      </c>
      <c r="B73" s="112">
        <v>46059.0</v>
      </c>
      <c r="C73" s="111">
        <v>160.0</v>
      </c>
      <c r="D73" s="111" t="s">
        <v>117</v>
      </c>
      <c r="E73" s="34">
        <v>0.05</v>
      </c>
      <c r="F73" s="34">
        <v>0.08</v>
      </c>
      <c r="G73" s="34">
        <v>0.1</v>
      </c>
      <c r="H73" s="113">
        <v>0.7743000000000001</v>
      </c>
      <c r="I73" s="34">
        <v>-0.0057</v>
      </c>
      <c r="J73" s="34">
        <v>3.0</v>
      </c>
      <c r="K73" s="34">
        <v>43.0</v>
      </c>
      <c r="L73" s="113">
        <v>-0.3171</v>
      </c>
    </row>
    <row r="74" ht="22.5" customHeight="1">
      <c r="A74" s="111" t="s">
        <v>33</v>
      </c>
      <c r="B74" s="112">
        <v>46059.0</v>
      </c>
      <c r="C74" s="111">
        <v>165.0</v>
      </c>
      <c r="D74" s="111" t="s">
        <v>117</v>
      </c>
      <c r="E74" s="34">
        <v>0.07</v>
      </c>
      <c r="F74" s="34">
        <v>0.1</v>
      </c>
      <c r="G74" s="34">
        <v>0.12</v>
      </c>
      <c r="H74" s="113">
        <v>0.7681999999999999</v>
      </c>
      <c r="I74" s="34">
        <v>-0.0093</v>
      </c>
      <c r="J74" s="34">
        <v>5.0</v>
      </c>
      <c r="K74" s="34">
        <v>215.0</v>
      </c>
      <c r="L74" s="113">
        <v>-0.2957</v>
      </c>
    </row>
    <row r="75" ht="22.5" customHeight="1">
      <c r="A75" s="111" t="s">
        <v>33</v>
      </c>
      <c r="B75" s="112">
        <v>46059.0</v>
      </c>
      <c r="C75" s="111">
        <v>170.0</v>
      </c>
      <c r="D75" s="111" t="s">
        <v>117</v>
      </c>
      <c r="E75" s="34">
        <v>0.09</v>
      </c>
      <c r="F75" s="34">
        <v>0.12</v>
      </c>
      <c r="G75" s="34">
        <v>0.15</v>
      </c>
      <c r="H75" s="113">
        <v>0.7322</v>
      </c>
      <c r="I75" s="34">
        <v>-0.0119</v>
      </c>
      <c r="J75" s="34">
        <v>5.0</v>
      </c>
      <c r="K75" s="34">
        <v>3260.0</v>
      </c>
      <c r="L75" s="113">
        <v>-0.27440000000000003</v>
      </c>
    </row>
    <row r="76" ht="22.5" customHeight="1">
      <c r="A76" s="111" t="s">
        <v>33</v>
      </c>
      <c r="B76" s="112">
        <v>46059.0</v>
      </c>
      <c r="C76" s="111">
        <v>175.0</v>
      </c>
      <c r="D76" s="111" t="s">
        <v>117</v>
      </c>
      <c r="E76" s="34">
        <v>0.13</v>
      </c>
      <c r="F76" s="34">
        <v>0.16</v>
      </c>
      <c r="G76" s="34">
        <v>0.18</v>
      </c>
      <c r="H76" s="113">
        <v>0.6743000000000001</v>
      </c>
      <c r="I76" s="34">
        <v>-0.0128</v>
      </c>
      <c r="J76" s="34">
        <v>5.0</v>
      </c>
      <c r="K76" s="34">
        <v>549.0</v>
      </c>
      <c r="L76" s="113">
        <v>-0.253</v>
      </c>
    </row>
    <row r="77" ht="22.5" customHeight="1">
      <c r="A77" s="111" t="s">
        <v>33</v>
      </c>
      <c r="B77" s="112">
        <v>46059.0</v>
      </c>
      <c r="C77" s="111">
        <v>180.0</v>
      </c>
      <c r="D77" s="111" t="s">
        <v>117</v>
      </c>
      <c r="E77" s="34">
        <v>0.17</v>
      </c>
      <c r="F77" s="34">
        <v>0.2</v>
      </c>
      <c r="G77" s="34">
        <v>0.22</v>
      </c>
      <c r="H77" s="113">
        <v>0.6419</v>
      </c>
      <c r="I77" s="34">
        <v>-0.017</v>
      </c>
      <c r="J77" s="34">
        <v>0.0</v>
      </c>
      <c r="K77" s="34">
        <v>139.0</v>
      </c>
      <c r="L77" s="113">
        <v>-0.23170000000000002</v>
      </c>
    </row>
    <row r="78" ht="22.5" customHeight="1">
      <c r="A78" s="111" t="s">
        <v>33</v>
      </c>
      <c r="B78" s="112">
        <v>46059.0</v>
      </c>
      <c r="C78" s="111">
        <v>185.0</v>
      </c>
      <c r="D78" s="111" t="s">
        <v>117</v>
      </c>
      <c r="E78" s="34">
        <v>0.24</v>
      </c>
      <c r="F78" s="34">
        <v>0.27</v>
      </c>
      <c r="G78" s="34">
        <v>0.29</v>
      </c>
      <c r="H78" s="113">
        <v>0.6119</v>
      </c>
      <c r="I78" s="34">
        <v>-0.0229</v>
      </c>
      <c r="J78" s="34">
        <v>30.0</v>
      </c>
      <c r="K78" s="34">
        <v>392.0</v>
      </c>
      <c r="L78" s="113">
        <v>-0.21030000000000001</v>
      </c>
    </row>
    <row r="79" ht="22.5" customHeight="1">
      <c r="A79" s="111" t="s">
        <v>33</v>
      </c>
      <c r="B79" s="112">
        <v>46059.0</v>
      </c>
      <c r="C79" s="111">
        <v>187.5</v>
      </c>
      <c r="D79" s="111" t="s">
        <v>117</v>
      </c>
      <c r="E79" s="34">
        <v>0.28</v>
      </c>
      <c r="F79" s="34">
        <v>0.3</v>
      </c>
      <c r="G79" s="34">
        <v>0.32</v>
      </c>
      <c r="H79" s="113">
        <v>0.5969</v>
      </c>
      <c r="I79" s="34">
        <v>-0.0265</v>
      </c>
      <c r="J79" s="34">
        <v>15.0</v>
      </c>
      <c r="K79" s="34">
        <v>0.0</v>
      </c>
      <c r="L79" s="113">
        <v>-0.1997</v>
      </c>
    </row>
    <row r="80" ht="22.5" customHeight="1">
      <c r="A80" s="111" t="s">
        <v>33</v>
      </c>
      <c r="B80" s="112">
        <v>46059.0</v>
      </c>
      <c r="C80" s="111">
        <v>190.0</v>
      </c>
      <c r="D80" s="111" t="s">
        <v>117</v>
      </c>
      <c r="E80" s="34">
        <v>0.32</v>
      </c>
      <c r="F80" s="34">
        <v>0.35</v>
      </c>
      <c r="G80" s="34">
        <v>0.37</v>
      </c>
      <c r="H80" s="113">
        <v>0.5814</v>
      </c>
      <c r="I80" s="34">
        <v>-0.0307</v>
      </c>
      <c r="J80" s="34">
        <v>26.0</v>
      </c>
      <c r="K80" s="34">
        <v>3092.0</v>
      </c>
      <c r="L80" s="113">
        <v>-0.18899999999999997</v>
      </c>
    </row>
    <row r="81" ht="22.5" customHeight="1">
      <c r="A81" s="111" t="s">
        <v>33</v>
      </c>
      <c r="B81" s="112">
        <v>46059.0</v>
      </c>
      <c r="C81" s="111">
        <v>192.5</v>
      </c>
      <c r="D81" s="111" t="s">
        <v>117</v>
      </c>
      <c r="E81" s="34">
        <v>0.39</v>
      </c>
      <c r="F81" s="34">
        <v>0.41</v>
      </c>
      <c r="G81" s="34">
        <v>0.43</v>
      </c>
      <c r="H81" s="113">
        <v>0.5693</v>
      </c>
      <c r="I81" s="34">
        <v>-0.0364</v>
      </c>
      <c r="J81" s="34">
        <v>0.0</v>
      </c>
      <c r="K81" s="34">
        <v>0.0</v>
      </c>
      <c r="L81" s="113">
        <v>-0.1783</v>
      </c>
    </row>
    <row r="82" ht="22.5" customHeight="1">
      <c r="A82" s="111" t="s">
        <v>33</v>
      </c>
      <c r="B82" s="112">
        <v>46059.0</v>
      </c>
      <c r="C82" s="111">
        <v>195.0</v>
      </c>
      <c r="D82" s="111" t="s">
        <v>117</v>
      </c>
      <c r="E82" s="34">
        <v>0.47</v>
      </c>
      <c r="F82" s="34">
        <v>0.48</v>
      </c>
      <c r="G82" s="34">
        <v>0.49</v>
      </c>
      <c r="H82" s="113">
        <v>0.5557</v>
      </c>
      <c r="I82" s="34">
        <v>-0.0427</v>
      </c>
      <c r="J82" s="34">
        <v>232.0</v>
      </c>
      <c r="K82" s="34">
        <v>703.0</v>
      </c>
      <c r="L82" s="113">
        <v>-0.1677</v>
      </c>
    </row>
    <row r="83" ht="22.5" customHeight="1">
      <c r="A83" s="111" t="s">
        <v>33</v>
      </c>
      <c r="B83" s="112">
        <v>46059.0</v>
      </c>
      <c r="C83" s="111">
        <v>197.5</v>
      </c>
      <c r="D83" s="111" t="s">
        <v>117</v>
      </c>
      <c r="E83" s="34">
        <v>0.55</v>
      </c>
      <c r="F83" s="34">
        <v>0.58</v>
      </c>
      <c r="G83" s="34">
        <v>0.6</v>
      </c>
      <c r="H83" s="113">
        <v>0.5447</v>
      </c>
      <c r="I83" s="34">
        <v>-0.0507</v>
      </c>
      <c r="J83" s="34">
        <v>2.0</v>
      </c>
      <c r="K83" s="34">
        <v>0.0</v>
      </c>
      <c r="L83" s="113">
        <v>-0.157</v>
      </c>
    </row>
    <row r="84" ht="22.5" customHeight="1">
      <c r="A84" s="111" t="s">
        <v>33</v>
      </c>
      <c r="B84" s="112">
        <v>46059.0</v>
      </c>
      <c r="C84" s="111">
        <v>200.0</v>
      </c>
      <c r="D84" s="111" t="s">
        <v>117</v>
      </c>
      <c r="E84" s="34">
        <v>0.67</v>
      </c>
      <c r="F84" s="34">
        <v>0.68</v>
      </c>
      <c r="G84" s="34">
        <v>0.69</v>
      </c>
      <c r="H84" s="113">
        <v>0.5323</v>
      </c>
      <c r="I84" s="34">
        <v>-0.0598</v>
      </c>
      <c r="J84" s="34">
        <v>115.0</v>
      </c>
      <c r="K84" s="34">
        <v>7713.0</v>
      </c>
      <c r="L84" s="113">
        <v>-0.1463</v>
      </c>
    </row>
    <row r="85" ht="22.5" customHeight="1">
      <c r="A85" s="111" t="s">
        <v>33</v>
      </c>
      <c r="B85" s="112">
        <v>46059.0</v>
      </c>
      <c r="C85" s="111">
        <v>202.5</v>
      </c>
      <c r="D85" s="111" t="s">
        <v>117</v>
      </c>
      <c r="E85" s="34">
        <v>0.81</v>
      </c>
      <c r="F85" s="34">
        <v>0.84</v>
      </c>
      <c r="G85" s="34">
        <v>0.86</v>
      </c>
      <c r="H85" s="113">
        <v>0.527</v>
      </c>
      <c r="I85" s="34">
        <v>-0.0728</v>
      </c>
      <c r="J85" s="34">
        <v>6.0</v>
      </c>
      <c r="K85" s="34">
        <v>0.0</v>
      </c>
      <c r="L85" s="113">
        <v>-0.1356</v>
      </c>
    </row>
    <row r="86" ht="22.5" customHeight="1">
      <c r="A86" s="111" t="s">
        <v>33</v>
      </c>
      <c r="B86" s="112">
        <v>46059.0</v>
      </c>
      <c r="C86" s="111">
        <v>205.0</v>
      </c>
      <c r="D86" s="111" t="s">
        <v>117</v>
      </c>
      <c r="E86" s="34">
        <v>0.99</v>
      </c>
      <c r="F86" s="34">
        <v>1.01</v>
      </c>
      <c r="G86" s="34">
        <v>1.02</v>
      </c>
      <c r="H86" s="113">
        <v>0.5157</v>
      </c>
      <c r="I86" s="34">
        <v>-0.0858</v>
      </c>
      <c r="J86" s="34">
        <v>140.0</v>
      </c>
      <c r="K86" s="34">
        <v>2586.0</v>
      </c>
      <c r="L86" s="113">
        <v>-0.125</v>
      </c>
    </row>
    <row r="87" ht="22.5" customHeight="1">
      <c r="A87" s="111" t="s">
        <v>33</v>
      </c>
      <c r="B87" s="112">
        <v>46059.0</v>
      </c>
      <c r="C87" s="111">
        <v>207.5</v>
      </c>
      <c r="D87" s="111" t="s">
        <v>117</v>
      </c>
      <c r="E87" s="34">
        <v>1.2</v>
      </c>
      <c r="F87" s="34">
        <v>1.23</v>
      </c>
      <c r="G87" s="34">
        <v>1.27</v>
      </c>
      <c r="H87" s="113">
        <v>0.5086999999999999</v>
      </c>
      <c r="I87" s="34">
        <v>-0.1026</v>
      </c>
      <c r="J87" s="34">
        <v>6.0</v>
      </c>
      <c r="K87" s="34">
        <v>0.0</v>
      </c>
      <c r="L87" s="113">
        <v>-0.1143</v>
      </c>
    </row>
    <row r="88" ht="22.5" customHeight="1">
      <c r="A88" s="111" t="s">
        <v>33</v>
      </c>
      <c r="B88" s="112">
        <v>46059.0</v>
      </c>
      <c r="C88" s="111">
        <v>210.0</v>
      </c>
      <c r="D88" s="111" t="s">
        <v>117</v>
      </c>
      <c r="E88" s="34">
        <v>1.48</v>
      </c>
      <c r="F88" s="34">
        <v>1.5</v>
      </c>
      <c r="G88" s="34">
        <v>1.51</v>
      </c>
      <c r="H88" s="113">
        <v>0.5014</v>
      </c>
      <c r="I88" s="34">
        <v>-0.1218</v>
      </c>
      <c r="J88" s="34">
        <v>104.0</v>
      </c>
      <c r="K88" s="34">
        <v>2429.0</v>
      </c>
      <c r="L88" s="113">
        <v>-0.1036</v>
      </c>
    </row>
    <row r="89" ht="22.5" customHeight="1">
      <c r="A89" s="111" t="s">
        <v>33</v>
      </c>
      <c r="B89" s="112">
        <v>46059.0</v>
      </c>
      <c r="C89" s="111">
        <v>212.5</v>
      </c>
      <c r="D89" s="111" t="s">
        <v>117</v>
      </c>
      <c r="E89" s="34">
        <v>1.8</v>
      </c>
      <c r="F89" s="34">
        <v>1.84</v>
      </c>
      <c r="G89" s="34">
        <v>1.88</v>
      </c>
      <c r="H89" s="113">
        <v>0.4965</v>
      </c>
      <c r="I89" s="34">
        <v>-0.1448</v>
      </c>
      <c r="J89" s="34">
        <v>8.0</v>
      </c>
      <c r="K89" s="34">
        <v>0.0</v>
      </c>
      <c r="L89" s="113">
        <v>-0.09300000000000001</v>
      </c>
    </row>
    <row r="90" ht="22.5" customHeight="1">
      <c r="A90" s="111" t="s">
        <v>33</v>
      </c>
      <c r="B90" s="112">
        <v>46059.0</v>
      </c>
      <c r="C90" s="111">
        <v>215.0</v>
      </c>
      <c r="D90" s="111" t="s">
        <v>117</v>
      </c>
      <c r="E90" s="34">
        <v>2.21</v>
      </c>
      <c r="F90" s="34">
        <v>2.23</v>
      </c>
      <c r="G90" s="34">
        <v>2.25</v>
      </c>
      <c r="H90" s="113">
        <v>0.4916</v>
      </c>
      <c r="I90" s="34">
        <v>-0.1708</v>
      </c>
      <c r="J90" s="34">
        <v>323.0</v>
      </c>
      <c r="K90" s="34">
        <v>3396.0</v>
      </c>
      <c r="L90" s="113">
        <v>-0.0823</v>
      </c>
    </row>
    <row r="91" ht="22.5" customHeight="1">
      <c r="A91" s="111" t="s">
        <v>33</v>
      </c>
      <c r="B91" s="112">
        <v>46059.0</v>
      </c>
      <c r="C91" s="111">
        <v>217.5</v>
      </c>
      <c r="D91" s="111" t="s">
        <v>117</v>
      </c>
      <c r="E91" s="34">
        <v>2.67</v>
      </c>
      <c r="F91" s="34">
        <v>2.71</v>
      </c>
      <c r="G91" s="34">
        <v>2.75</v>
      </c>
      <c r="H91" s="113">
        <v>0.48829999999999996</v>
      </c>
      <c r="I91" s="34">
        <v>-0.2005</v>
      </c>
      <c r="J91" s="34">
        <v>20.0</v>
      </c>
      <c r="K91" s="34">
        <v>318.0</v>
      </c>
      <c r="L91" s="113">
        <v>-0.0716</v>
      </c>
    </row>
    <row r="92" ht="22.5" customHeight="1">
      <c r="A92" s="111" t="s">
        <v>33</v>
      </c>
      <c r="B92" s="112">
        <v>46059.0</v>
      </c>
      <c r="C92" s="111">
        <v>220.0</v>
      </c>
      <c r="D92" s="111" t="s">
        <v>117</v>
      </c>
      <c r="E92" s="34">
        <v>3.25</v>
      </c>
      <c r="F92" s="34">
        <v>3.28</v>
      </c>
      <c r="G92" s="34">
        <v>3.3</v>
      </c>
      <c r="H92" s="113">
        <v>0.4844</v>
      </c>
      <c r="I92" s="34">
        <v>-0.2329</v>
      </c>
      <c r="J92" s="34">
        <v>169.0</v>
      </c>
      <c r="K92" s="34">
        <v>3155.0</v>
      </c>
      <c r="L92" s="113">
        <v>-0.061</v>
      </c>
    </row>
    <row r="93" ht="22.5" customHeight="1">
      <c r="A93" s="111" t="s">
        <v>33</v>
      </c>
      <c r="B93" s="112">
        <v>46059.0</v>
      </c>
      <c r="C93" s="111">
        <v>222.5</v>
      </c>
      <c r="D93" s="111" t="s">
        <v>117</v>
      </c>
      <c r="E93" s="34">
        <v>3.85</v>
      </c>
      <c r="F93" s="34">
        <v>3.93</v>
      </c>
      <c r="G93" s="34">
        <v>4.0</v>
      </c>
      <c r="H93" s="113">
        <v>0.48450000000000004</v>
      </c>
      <c r="I93" s="34">
        <v>-0.2696</v>
      </c>
      <c r="J93" s="34">
        <v>179.0</v>
      </c>
      <c r="K93" s="34">
        <v>271.0</v>
      </c>
      <c r="L93" s="113">
        <v>-0.050300000000000004</v>
      </c>
    </row>
    <row r="94" ht="22.5" customHeight="1">
      <c r="A94" s="111" t="s">
        <v>33</v>
      </c>
      <c r="B94" s="112">
        <v>46059.0</v>
      </c>
      <c r="C94" s="111">
        <v>225.0</v>
      </c>
      <c r="D94" s="111" t="s">
        <v>117</v>
      </c>
      <c r="E94" s="34">
        <v>4.65</v>
      </c>
      <c r="F94" s="34">
        <v>4.7</v>
      </c>
      <c r="G94" s="34">
        <v>4.75</v>
      </c>
      <c r="H94" s="113">
        <v>0.4781</v>
      </c>
      <c r="I94" s="34">
        <v>-0.3066</v>
      </c>
      <c r="J94" s="34">
        <v>323.0</v>
      </c>
      <c r="K94" s="34">
        <v>2678.0</v>
      </c>
      <c r="L94" s="113">
        <v>-0.039599999999999996</v>
      </c>
    </row>
    <row r="95" ht="22.5" customHeight="1">
      <c r="A95" s="111" t="s">
        <v>33</v>
      </c>
      <c r="B95" s="112">
        <v>46059.0</v>
      </c>
      <c r="C95" s="111">
        <v>227.5</v>
      </c>
      <c r="D95" s="111" t="s">
        <v>117</v>
      </c>
      <c r="E95" s="34">
        <v>5.45</v>
      </c>
      <c r="F95" s="34">
        <v>5.53</v>
      </c>
      <c r="G95" s="34">
        <v>5.6</v>
      </c>
      <c r="H95" s="113">
        <v>0.4727</v>
      </c>
      <c r="I95" s="34">
        <v>-0.3466</v>
      </c>
      <c r="J95" s="34">
        <v>25.0</v>
      </c>
      <c r="K95" s="34">
        <v>696.0</v>
      </c>
      <c r="L95" s="113">
        <v>-0.028900000000000002</v>
      </c>
    </row>
    <row r="96" ht="22.5" customHeight="1">
      <c r="A96" s="111" t="s">
        <v>33</v>
      </c>
      <c r="B96" s="112">
        <v>46059.0</v>
      </c>
      <c r="C96" s="111">
        <v>230.0</v>
      </c>
      <c r="D96" s="111" t="s">
        <v>117</v>
      </c>
      <c r="E96" s="34">
        <v>6.4</v>
      </c>
      <c r="F96" s="34">
        <v>6.48</v>
      </c>
      <c r="G96" s="34">
        <v>6.55</v>
      </c>
      <c r="H96" s="113">
        <v>0.46990000000000004</v>
      </c>
      <c r="I96" s="34">
        <v>-0.3892</v>
      </c>
      <c r="J96" s="34">
        <v>165.0</v>
      </c>
      <c r="K96" s="34">
        <v>11729.0</v>
      </c>
      <c r="L96" s="113">
        <v>-0.0183</v>
      </c>
    </row>
    <row r="97" ht="22.5" customHeight="1">
      <c r="A97" s="111" t="s">
        <v>33</v>
      </c>
      <c r="B97" s="112">
        <v>46059.0</v>
      </c>
      <c r="C97" s="111">
        <v>232.5</v>
      </c>
      <c r="D97" s="111" t="s">
        <v>117</v>
      </c>
      <c r="E97" s="34">
        <v>7.45</v>
      </c>
      <c r="F97" s="34">
        <v>7.53</v>
      </c>
      <c r="G97" s="34">
        <v>7.6</v>
      </c>
      <c r="H97" s="113">
        <v>0.46509999999999996</v>
      </c>
      <c r="I97" s="34">
        <v>-0.4332</v>
      </c>
      <c r="J97" s="34">
        <v>100.0</v>
      </c>
      <c r="K97" s="34">
        <v>156.0</v>
      </c>
      <c r="L97" s="113">
        <v>-0.0076</v>
      </c>
    </row>
    <row r="98" ht="22.5" customHeight="1">
      <c r="A98" s="111" t="s">
        <v>33</v>
      </c>
      <c r="B98" s="112">
        <v>46059.0</v>
      </c>
      <c r="C98" s="111">
        <v>235.0</v>
      </c>
      <c r="D98" s="111" t="s">
        <v>117</v>
      </c>
      <c r="E98" s="34">
        <v>8.65</v>
      </c>
      <c r="F98" s="34">
        <v>8.7</v>
      </c>
      <c r="G98" s="34">
        <v>8.75</v>
      </c>
      <c r="H98" s="113">
        <v>0.46240000000000003</v>
      </c>
      <c r="I98" s="34">
        <v>-0.4784</v>
      </c>
      <c r="J98" s="34">
        <v>295.0</v>
      </c>
      <c r="K98" s="34">
        <v>3180.0</v>
      </c>
      <c r="L98" s="113">
        <v>0.0031</v>
      </c>
    </row>
    <row r="99" ht="22.5" customHeight="1">
      <c r="A99" s="111" t="s">
        <v>33</v>
      </c>
      <c r="B99" s="112">
        <v>46059.0</v>
      </c>
      <c r="C99" s="111">
        <v>237.5</v>
      </c>
      <c r="D99" s="111" t="s">
        <v>117</v>
      </c>
      <c r="E99" s="34">
        <v>9.9</v>
      </c>
      <c r="F99" s="34">
        <v>9.98</v>
      </c>
      <c r="G99" s="34">
        <v>10.05</v>
      </c>
      <c r="H99" s="113">
        <v>0.4598</v>
      </c>
      <c r="I99" s="34">
        <v>-0.5239</v>
      </c>
      <c r="J99" s="34">
        <v>79.0</v>
      </c>
      <c r="K99" s="34">
        <v>36.0</v>
      </c>
      <c r="L99" s="113">
        <v>0.0137</v>
      </c>
    </row>
    <row r="100" ht="22.5" customHeight="1">
      <c r="A100" s="111" t="s">
        <v>33</v>
      </c>
      <c r="B100" s="112">
        <v>46059.0</v>
      </c>
      <c r="C100" s="111">
        <v>240.0</v>
      </c>
      <c r="D100" s="111" t="s">
        <v>117</v>
      </c>
      <c r="E100" s="34">
        <v>11.3</v>
      </c>
      <c r="F100" s="34">
        <v>11.38</v>
      </c>
      <c r="G100" s="34">
        <v>11.45</v>
      </c>
      <c r="H100" s="113">
        <v>0.45549999999999996</v>
      </c>
      <c r="I100" s="34">
        <v>-0.5697</v>
      </c>
      <c r="J100" s="34">
        <v>58.0</v>
      </c>
      <c r="K100" s="34">
        <v>2011.0</v>
      </c>
      <c r="L100" s="113">
        <v>0.024399999999999998</v>
      </c>
    </row>
    <row r="101" ht="22.5" customHeight="1">
      <c r="A101" s="111" t="s">
        <v>33</v>
      </c>
      <c r="B101" s="112">
        <v>46059.0</v>
      </c>
      <c r="C101" s="111">
        <v>242.5</v>
      </c>
      <c r="D101" s="111" t="s">
        <v>117</v>
      </c>
      <c r="E101" s="34">
        <v>12.8</v>
      </c>
      <c r="F101" s="34">
        <v>12.88</v>
      </c>
      <c r="G101" s="34">
        <v>12.95</v>
      </c>
      <c r="H101" s="113">
        <v>0.4532</v>
      </c>
      <c r="I101" s="34">
        <v>-0.6143</v>
      </c>
      <c r="J101" s="34">
        <v>14.0</v>
      </c>
      <c r="K101" s="34">
        <v>26.0</v>
      </c>
      <c r="L101" s="113">
        <v>0.0351</v>
      </c>
    </row>
    <row r="102" ht="22.5" customHeight="1">
      <c r="A102" s="111" t="s">
        <v>33</v>
      </c>
      <c r="B102" s="112">
        <v>46059.0</v>
      </c>
      <c r="C102" s="111">
        <v>245.0</v>
      </c>
      <c r="D102" s="111" t="s">
        <v>117</v>
      </c>
      <c r="E102" s="34">
        <v>14.4</v>
      </c>
      <c r="F102" s="34">
        <v>14.48</v>
      </c>
      <c r="G102" s="34">
        <v>14.55</v>
      </c>
      <c r="H102" s="113">
        <v>0.44770000000000004</v>
      </c>
      <c r="I102" s="34">
        <v>-0.6588</v>
      </c>
      <c r="J102" s="34">
        <v>255.0</v>
      </c>
      <c r="K102" s="34">
        <v>1651.0</v>
      </c>
      <c r="L102" s="113">
        <v>0.0458</v>
      </c>
    </row>
    <row r="103" ht="22.5" customHeight="1">
      <c r="A103" s="111" t="s">
        <v>33</v>
      </c>
      <c r="B103" s="112">
        <v>46059.0</v>
      </c>
      <c r="C103" s="111">
        <v>247.5</v>
      </c>
      <c r="D103" s="111" t="s">
        <v>117</v>
      </c>
      <c r="E103" s="34">
        <v>16.1</v>
      </c>
      <c r="F103" s="34">
        <v>16.18</v>
      </c>
      <c r="G103" s="34">
        <v>16.25</v>
      </c>
      <c r="H103" s="113">
        <v>0.4447</v>
      </c>
      <c r="I103" s="34">
        <v>-0.7008</v>
      </c>
      <c r="J103" s="34">
        <v>19.0</v>
      </c>
      <c r="K103" s="34">
        <v>14.0</v>
      </c>
      <c r="L103" s="113">
        <v>0.0564</v>
      </c>
    </row>
    <row r="104" ht="22.5" customHeight="1">
      <c r="A104" s="111" t="s">
        <v>33</v>
      </c>
      <c r="B104" s="112">
        <v>46059.0</v>
      </c>
      <c r="C104" s="111">
        <v>250.0</v>
      </c>
      <c r="D104" s="111" t="s">
        <v>117</v>
      </c>
      <c r="E104" s="34">
        <v>17.9</v>
      </c>
      <c r="F104" s="34">
        <v>18.0</v>
      </c>
      <c r="G104" s="34">
        <v>18.1</v>
      </c>
      <c r="H104" s="113">
        <v>0.4416</v>
      </c>
      <c r="I104" s="34">
        <v>-0.7405</v>
      </c>
      <c r="J104" s="34">
        <v>53.0</v>
      </c>
      <c r="K104" s="34">
        <v>675.0</v>
      </c>
      <c r="L104" s="113">
        <v>0.06709999999999999</v>
      </c>
    </row>
    <row r="105" ht="22.5" customHeight="1">
      <c r="A105" s="111" t="s">
        <v>33</v>
      </c>
      <c r="B105" s="112">
        <v>46059.0</v>
      </c>
      <c r="C105" s="111">
        <v>252.5</v>
      </c>
      <c r="D105" s="111" t="s">
        <v>117</v>
      </c>
      <c r="E105" s="34">
        <v>19.8</v>
      </c>
      <c r="F105" s="34">
        <v>19.9</v>
      </c>
      <c r="G105" s="34">
        <v>20.0</v>
      </c>
      <c r="H105" s="113">
        <v>0.43729999999999997</v>
      </c>
      <c r="I105" s="34">
        <v>-0.7784</v>
      </c>
      <c r="J105" s="34">
        <v>36.0</v>
      </c>
      <c r="K105" s="34">
        <v>13.0</v>
      </c>
      <c r="L105" s="113">
        <v>0.07780000000000001</v>
      </c>
    </row>
    <row r="106" ht="22.5" customHeight="1">
      <c r="A106" s="111" t="s">
        <v>33</v>
      </c>
      <c r="B106" s="112">
        <v>46059.0</v>
      </c>
      <c r="C106" s="111">
        <v>255.0</v>
      </c>
      <c r="D106" s="111" t="s">
        <v>117</v>
      </c>
      <c r="E106" s="34">
        <v>21.75</v>
      </c>
      <c r="F106" s="34">
        <v>21.88</v>
      </c>
      <c r="G106" s="34">
        <v>22.0</v>
      </c>
      <c r="H106" s="113">
        <v>0.4415</v>
      </c>
      <c r="I106" s="34">
        <v>-0.8083</v>
      </c>
      <c r="J106" s="34">
        <v>37.0</v>
      </c>
      <c r="K106" s="34">
        <v>250.0</v>
      </c>
      <c r="L106" s="113">
        <v>0.08839999999999999</v>
      </c>
    </row>
    <row r="107" ht="22.5" customHeight="1">
      <c r="A107" s="111" t="s">
        <v>33</v>
      </c>
      <c r="B107" s="112">
        <v>46059.0</v>
      </c>
      <c r="C107" s="111">
        <v>257.5</v>
      </c>
      <c r="D107" s="111" t="s">
        <v>117</v>
      </c>
      <c r="E107" s="34">
        <v>23.65</v>
      </c>
      <c r="F107" s="34">
        <v>24.03</v>
      </c>
      <c r="G107" s="34">
        <v>24.4</v>
      </c>
      <c r="H107" s="113">
        <v>0.4341</v>
      </c>
      <c r="I107" s="34">
        <v>-0.8419</v>
      </c>
      <c r="J107" s="34">
        <v>0.0</v>
      </c>
      <c r="K107" s="34">
        <v>2.0</v>
      </c>
      <c r="L107" s="113">
        <v>0.09910000000000001</v>
      </c>
    </row>
    <row r="108" ht="22.5" customHeight="1">
      <c r="A108" s="111" t="s">
        <v>33</v>
      </c>
      <c r="B108" s="112">
        <v>46059.0</v>
      </c>
      <c r="C108" s="111">
        <v>260.0</v>
      </c>
      <c r="D108" s="111" t="s">
        <v>117</v>
      </c>
      <c r="E108" s="34">
        <v>25.5</v>
      </c>
      <c r="F108" s="34">
        <v>26.0</v>
      </c>
      <c r="G108" s="34">
        <v>26.5</v>
      </c>
      <c r="H108" s="113">
        <v>0.41259999999999997</v>
      </c>
      <c r="I108" s="34">
        <v>-0.8821</v>
      </c>
      <c r="J108" s="34">
        <v>18.0</v>
      </c>
      <c r="K108" s="34">
        <v>367.0</v>
      </c>
      <c r="L108" s="113">
        <v>0.10980000000000001</v>
      </c>
    </row>
    <row r="109" ht="22.5" customHeight="1">
      <c r="A109" s="111" t="s">
        <v>33</v>
      </c>
      <c r="B109" s="112">
        <v>46059.0</v>
      </c>
      <c r="C109" s="111">
        <v>262.5</v>
      </c>
      <c r="D109" s="111" t="s">
        <v>117</v>
      </c>
      <c r="E109" s="34">
        <v>27.25</v>
      </c>
      <c r="F109" s="34">
        <v>28.03</v>
      </c>
      <c r="G109" s="34">
        <v>28.8</v>
      </c>
      <c r="H109" s="113">
        <v>0.41659999999999997</v>
      </c>
      <c r="I109" s="34">
        <v>-0.9014</v>
      </c>
      <c r="J109" s="34">
        <v>2.0</v>
      </c>
      <c r="K109" s="34">
        <v>0.0</v>
      </c>
      <c r="L109" s="113">
        <v>0.12050000000000001</v>
      </c>
    </row>
    <row r="110" ht="22.5" customHeight="1">
      <c r="A110" s="111" t="s">
        <v>33</v>
      </c>
      <c r="B110" s="112">
        <v>46059.0</v>
      </c>
      <c r="C110" s="111">
        <v>265.0</v>
      </c>
      <c r="D110" s="111" t="s">
        <v>117</v>
      </c>
      <c r="E110" s="34">
        <v>30.3</v>
      </c>
      <c r="F110" s="34">
        <v>30.65</v>
      </c>
      <c r="G110" s="34">
        <v>31.0</v>
      </c>
      <c r="H110" s="113">
        <v>0.4225</v>
      </c>
      <c r="I110" s="34">
        <v>-0.9184</v>
      </c>
      <c r="J110" s="34">
        <v>0.0</v>
      </c>
      <c r="K110" s="34">
        <v>69.0</v>
      </c>
      <c r="L110" s="113">
        <v>0.1311</v>
      </c>
    </row>
    <row r="111" ht="22.5" customHeight="1">
      <c r="A111" s="111" t="s">
        <v>33</v>
      </c>
      <c r="B111" s="112">
        <v>46059.0</v>
      </c>
      <c r="C111" s="111">
        <v>267.5</v>
      </c>
      <c r="D111" s="111" t="s">
        <v>117</v>
      </c>
      <c r="E111" s="34">
        <v>32.6</v>
      </c>
      <c r="F111" s="34">
        <v>33.0</v>
      </c>
      <c r="G111" s="34">
        <v>33.4</v>
      </c>
      <c r="H111" s="113">
        <v>0.4236</v>
      </c>
      <c r="I111" s="34">
        <v>-0.9347</v>
      </c>
      <c r="J111" s="34">
        <v>0.0</v>
      </c>
      <c r="K111" s="34">
        <v>0.0</v>
      </c>
      <c r="L111" s="113">
        <v>0.1418</v>
      </c>
    </row>
    <row r="112" ht="22.5" customHeight="1">
      <c r="A112" s="111" t="s">
        <v>33</v>
      </c>
      <c r="B112" s="112">
        <v>46059.0</v>
      </c>
      <c r="C112" s="111">
        <v>270.0</v>
      </c>
      <c r="D112" s="111" t="s">
        <v>117</v>
      </c>
      <c r="E112" s="34">
        <v>34.95</v>
      </c>
      <c r="F112" s="34">
        <v>35.33</v>
      </c>
      <c r="G112" s="34">
        <v>35.7</v>
      </c>
      <c r="H112" s="113">
        <v>0.4125</v>
      </c>
      <c r="I112" s="34">
        <v>-0.9545</v>
      </c>
      <c r="J112" s="34">
        <v>0.0</v>
      </c>
      <c r="K112" s="34">
        <v>82.0</v>
      </c>
      <c r="L112" s="113">
        <v>0.1525</v>
      </c>
    </row>
    <row r="113" ht="22.5" customHeight="1">
      <c r="A113" s="111" t="s">
        <v>33</v>
      </c>
      <c r="B113" s="112">
        <v>46059.0</v>
      </c>
      <c r="C113" s="111">
        <v>272.5</v>
      </c>
      <c r="D113" s="111" t="s">
        <v>117</v>
      </c>
      <c r="E113" s="34">
        <v>36.5</v>
      </c>
      <c r="F113" s="34">
        <v>38.03</v>
      </c>
      <c r="G113" s="34">
        <v>39.55</v>
      </c>
      <c r="H113" s="113">
        <v>0.4739</v>
      </c>
      <c r="I113" s="34">
        <v>-0.9381</v>
      </c>
      <c r="J113" s="34">
        <v>0.0</v>
      </c>
      <c r="K113" s="34">
        <v>0.0</v>
      </c>
      <c r="L113" s="113">
        <v>0.1631</v>
      </c>
    </row>
    <row r="114" ht="22.5" customHeight="1">
      <c r="A114" s="111" t="s">
        <v>33</v>
      </c>
      <c r="B114" s="112">
        <v>46059.0</v>
      </c>
      <c r="C114" s="111">
        <v>275.0</v>
      </c>
      <c r="D114" s="111" t="s">
        <v>117</v>
      </c>
      <c r="E114" s="34">
        <v>38.9</v>
      </c>
      <c r="F114" s="34">
        <v>40.45</v>
      </c>
      <c r="G114" s="34">
        <v>42.0</v>
      </c>
      <c r="H114" s="113">
        <v>0.48219999999999996</v>
      </c>
      <c r="I114" s="34">
        <v>-0.9467</v>
      </c>
      <c r="J114" s="34">
        <v>0.0</v>
      </c>
      <c r="K114" s="34">
        <v>22.0</v>
      </c>
      <c r="L114" s="113">
        <v>0.17379999999999998</v>
      </c>
    </row>
    <row r="115" ht="22.5" customHeight="1">
      <c r="A115" s="111" t="s">
        <v>33</v>
      </c>
      <c r="B115" s="112">
        <v>46059.0</v>
      </c>
      <c r="C115" s="111">
        <v>277.5</v>
      </c>
      <c r="D115" s="111" t="s">
        <v>117</v>
      </c>
      <c r="E115" s="34">
        <v>41.3</v>
      </c>
      <c r="F115" s="34">
        <v>42.88</v>
      </c>
      <c r="G115" s="34">
        <v>44.45</v>
      </c>
      <c r="H115" s="113">
        <v>0.4878</v>
      </c>
      <c r="I115" s="34">
        <v>-0.955</v>
      </c>
      <c r="J115" s="34">
        <v>0.0</v>
      </c>
      <c r="K115" s="34">
        <v>0.0</v>
      </c>
      <c r="L115" s="113">
        <v>0.1845</v>
      </c>
    </row>
    <row r="116" ht="22.5" customHeight="1">
      <c r="A116" s="111" t="s">
        <v>33</v>
      </c>
      <c r="B116" s="112">
        <v>46059.0</v>
      </c>
      <c r="C116" s="111">
        <v>280.0</v>
      </c>
      <c r="D116" s="111" t="s">
        <v>117</v>
      </c>
      <c r="E116" s="34">
        <v>44.15</v>
      </c>
      <c r="F116" s="34">
        <v>45.53</v>
      </c>
      <c r="G116" s="34">
        <v>46.9</v>
      </c>
      <c r="H116" s="113">
        <v>0.5399</v>
      </c>
      <c r="I116" s="34">
        <v>-0.9443</v>
      </c>
      <c r="J116" s="34">
        <v>0.0</v>
      </c>
      <c r="K116" s="34">
        <v>29.0</v>
      </c>
      <c r="L116" s="113">
        <v>0.19519999999999998</v>
      </c>
    </row>
    <row r="117" ht="22.5" customHeight="1">
      <c r="A117" s="111" t="s">
        <v>33</v>
      </c>
      <c r="B117" s="112">
        <v>46059.0</v>
      </c>
      <c r="C117" s="111">
        <v>285.0</v>
      </c>
      <c r="D117" s="111" t="s">
        <v>117</v>
      </c>
      <c r="E117" s="34">
        <v>48.7</v>
      </c>
      <c r="F117" s="34">
        <v>50.3</v>
      </c>
      <c r="G117" s="34">
        <v>51.9</v>
      </c>
      <c r="H117" s="113">
        <v>0.5295000000000001</v>
      </c>
      <c r="I117" s="34">
        <v>-0.9656</v>
      </c>
      <c r="J117" s="34">
        <v>0.0</v>
      </c>
      <c r="K117" s="34">
        <v>0.0</v>
      </c>
      <c r="L117" s="113">
        <v>0.2165</v>
      </c>
    </row>
    <row r="118" ht="22.5" customHeight="1">
      <c r="A118" s="111" t="s">
        <v>33</v>
      </c>
      <c r="B118" s="112">
        <v>46059.0</v>
      </c>
      <c r="C118" s="111">
        <v>290.0</v>
      </c>
      <c r="D118" s="111" t="s">
        <v>117</v>
      </c>
      <c r="E118" s="34">
        <v>53.85</v>
      </c>
      <c r="F118" s="34">
        <v>55.38</v>
      </c>
      <c r="G118" s="34">
        <v>56.9</v>
      </c>
      <c r="H118" s="113">
        <v>0.5886</v>
      </c>
      <c r="I118" s="34">
        <v>-0.9613</v>
      </c>
      <c r="J118" s="34">
        <v>0.0</v>
      </c>
      <c r="K118" s="34">
        <v>0.0</v>
      </c>
      <c r="L118" s="113">
        <v>0.2378</v>
      </c>
    </row>
    <row r="119" ht="22.5" customHeight="1">
      <c r="A119" s="111" t="s">
        <v>33</v>
      </c>
      <c r="B119" s="112">
        <v>46059.0</v>
      </c>
      <c r="C119" s="111">
        <v>295.0</v>
      </c>
      <c r="D119" s="111" t="s">
        <v>117</v>
      </c>
      <c r="E119" s="34">
        <v>58.95</v>
      </c>
      <c r="F119" s="34">
        <v>60.43</v>
      </c>
      <c r="G119" s="34">
        <v>61.9</v>
      </c>
      <c r="H119" s="113">
        <v>0.6396999999999999</v>
      </c>
      <c r="I119" s="34">
        <v>-0.96</v>
      </c>
      <c r="J119" s="34">
        <v>0.0</v>
      </c>
      <c r="K119" s="34">
        <v>0.0</v>
      </c>
      <c r="L119" s="113">
        <v>0.25920000000000004</v>
      </c>
    </row>
    <row r="120" ht="22.5" customHeight="1">
      <c r="A120" s="111" t="s">
        <v>33</v>
      </c>
      <c r="B120" s="112">
        <v>46059.0</v>
      </c>
      <c r="C120" s="111">
        <v>300.0</v>
      </c>
      <c r="D120" s="111" t="s">
        <v>117</v>
      </c>
      <c r="E120" s="34">
        <v>63.35</v>
      </c>
      <c r="F120" s="34">
        <v>65.13</v>
      </c>
      <c r="G120" s="34">
        <v>66.9</v>
      </c>
      <c r="H120" s="113">
        <v>0.552</v>
      </c>
      <c r="I120" s="34">
        <v>-0.9934</v>
      </c>
      <c r="J120" s="34">
        <v>0.0</v>
      </c>
      <c r="K120" s="34">
        <v>0.0</v>
      </c>
      <c r="L120" s="113">
        <v>0.2805</v>
      </c>
    </row>
    <row r="121" ht="22.5" customHeight="1">
      <c r="A121" s="111" t="s">
        <v>33</v>
      </c>
      <c r="B121" s="112">
        <v>46059.0</v>
      </c>
      <c r="C121" s="111">
        <v>305.0</v>
      </c>
      <c r="D121" s="111" t="s">
        <v>117</v>
      </c>
      <c r="E121" s="34">
        <v>68.35</v>
      </c>
      <c r="F121" s="34">
        <v>70.13</v>
      </c>
      <c r="G121" s="34">
        <v>71.9</v>
      </c>
      <c r="H121" s="113">
        <v>0.5839</v>
      </c>
      <c r="I121" s="34">
        <v>-0.9936</v>
      </c>
      <c r="J121" s="34">
        <v>0.0</v>
      </c>
      <c r="K121" s="34">
        <v>0.0</v>
      </c>
      <c r="L121" s="113">
        <v>0.3019</v>
      </c>
    </row>
    <row r="122" ht="22.5" customHeight="1">
      <c r="A122" s="111" t="s">
        <v>33</v>
      </c>
      <c r="B122" s="112">
        <v>46059.0</v>
      </c>
      <c r="C122" s="111">
        <v>310.0</v>
      </c>
      <c r="D122" s="111" t="s">
        <v>117</v>
      </c>
      <c r="E122" s="34">
        <v>73.65</v>
      </c>
      <c r="F122" s="34">
        <v>75.28</v>
      </c>
      <c r="G122" s="34">
        <v>76.9</v>
      </c>
      <c r="H122" s="113">
        <v>0.7025</v>
      </c>
      <c r="I122" s="34">
        <v>-0.9755</v>
      </c>
      <c r="J122" s="34">
        <v>0.0</v>
      </c>
      <c r="K122" s="34">
        <v>0.0</v>
      </c>
      <c r="L122" s="113">
        <v>0.3232</v>
      </c>
    </row>
    <row r="123" ht="22.5" customHeight="1">
      <c r="A123" s="111" t="s">
        <v>33</v>
      </c>
      <c r="B123" s="112">
        <v>46059.0</v>
      </c>
      <c r="C123" s="111">
        <v>315.0</v>
      </c>
      <c r="D123" s="111" t="s">
        <v>117</v>
      </c>
      <c r="E123" s="34">
        <v>78.45</v>
      </c>
      <c r="F123" s="34">
        <v>80.18</v>
      </c>
      <c r="G123" s="34">
        <v>81.9</v>
      </c>
      <c r="H123" s="113">
        <v>0.6883</v>
      </c>
      <c r="I123" s="34">
        <v>-0.9863</v>
      </c>
      <c r="J123" s="34">
        <v>0.0</v>
      </c>
      <c r="K123" s="34">
        <v>0.0</v>
      </c>
      <c r="L123" s="113">
        <v>0.34450000000000003</v>
      </c>
    </row>
    <row r="124" ht="22.5" customHeight="1">
      <c r="A124" s="111" t="s">
        <v>33</v>
      </c>
      <c r="B124" s="112">
        <v>46059.0</v>
      </c>
      <c r="C124" s="111">
        <v>320.0</v>
      </c>
      <c r="D124" s="111" t="s">
        <v>117</v>
      </c>
      <c r="E124" s="34">
        <v>83.85</v>
      </c>
      <c r="F124" s="34">
        <v>85.38</v>
      </c>
      <c r="G124" s="34">
        <v>86.9</v>
      </c>
      <c r="H124" s="113">
        <v>0.8038</v>
      </c>
      <c r="I124" s="34">
        <v>-0.9701</v>
      </c>
      <c r="J124" s="34">
        <v>0.0</v>
      </c>
      <c r="K124" s="34">
        <v>0.0</v>
      </c>
      <c r="L124" s="113">
        <v>0.36590000000000006</v>
      </c>
    </row>
    <row r="125" ht="22.5" customHeight="1">
      <c r="A125" s="111" t="s">
        <v>33</v>
      </c>
      <c r="B125" s="112">
        <v>46059.0</v>
      </c>
      <c r="C125" s="111">
        <v>325.0</v>
      </c>
      <c r="D125" s="111" t="s">
        <v>117</v>
      </c>
      <c r="E125" s="34">
        <v>88.35</v>
      </c>
      <c r="F125" s="34">
        <v>90.13</v>
      </c>
      <c r="G125" s="34">
        <v>91.9</v>
      </c>
      <c r="H125" s="113">
        <v>0.7048000000000001</v>
      </c>
      <c r="I125" s="34">
        <v>-0.9944</v>
      </c>
      <c r="J125" s="34">
        <v>0.0</v>
      </c>
      <c r="K125" s="34">
        <v>0.0</v>
      </c>
      <c r="L125" s="113">
        <v>0.3872</v>
      </c>
    </row>
    <row r="126" ht="22.5" customHeight="1">
      <c r="A126" s="111" t="s">
        <v>33</v>
      </c>
      <c r="B126" s="112">
        <v>46059.0</v>
      </c>
      <c r="C126" s="111">
        <v>330.0</v>
      </c>
      <c r="D126" s="111" t="s">
        <v>117</v>
      </c>
      <c r="E126" s="34">
        <v>93.15</v>
      </c>
      <c r="F126" s="34">
        <v>95.03</v>
      </c>
      <c r="G126" s="34">
        <v>96.9</v>
      </c>
      <c r="H126" s="113">
        <v>0.0</v>
      </c>
      <c r="I126" s="34">
        <v>0.0</v>
      </c>
      <c r="J126" s="34">
        <v>0.0</v>
      </c>
      <c r="K126" s="34">
        <v>0.0</v>
      </c>
      <c r="L126" s="113">
        <v>0.4086</v>
      </c>
    </row>
    <row r="127" ht="22.5" customHeight="1">
      <c r="A127" s="111" t="s">
        <v>33</v>
      </c>
      <c r="B127" s="112">
        <v>46059.0</v>
      </c>
      <c r="C127" s="111">
        <v>335.0</v>
      </c>
      <c r="D127" s="111" t="s">
        <v>117</v>
      </c>
      <c r="E127" s="34">
        <v>98.15</v>
      </c>
      <c r="F127" s="34">
        <v>100.03</v>
      </c>
      <c r="G127" s="34">
        <v>101.9</v>
      </c>
      <c r="H127" s="113">
        <v>0.0</v>
      </c>
      <c r="I127" s="34">
        <v>0.0</v>
      </c>
      <c r="J127" s="34">
        <v>0.0</v>
      </c>
      <c r="K127" s="34">
        <v>0.0</v>
      </c>
      <c r="L127" s="113">
        <v>0.4299</v>
      </c>
    </row>
    <row r="128" ht="22.5" customHeight="1">
      <c r="A128" s="111" t="s">
        <v>33</v>
      </c>
      <c r="B128" s="112">
        <v>46059.0</v>
      </c>
      <c r="C128" s="111">
        <v>340.0</v>
      </c>
      <c r="D128" s="111" t="s">
        <v>117</v>
      </c>
      <c r="E128" s="34">
        <v>103.15</v>
      </c>
      <c r="F128" s="34">
        <v>105.03</v>
      </c>
      <c r="G128" s="34">
        <v>106.9</v>
      </c>
      <c r="H128" s="113">
        <v>0.0</v>
      </c>
      <c r="I128" s="34">
        <v>0.0</v>
      </c>
      <c r="J128" s="34">
        <v>0.0</v>
      </c>
      <c r="K128" s="34">
        <v>0.0</v>
      </c>
      <c r="L128" s="113">
        <v>0.45130000000000003</v>
      </c>
    </row>
    <row r="129" ht="22.5" customHeight="1">
      <c r="A129" s="111" t="s">
        <v>33</v>
      </c>
      <c r="B129" s="112">
        <v>46059.0</v>
      </c>
      <c r="C129" s="111">
        <v>345.0</v>
      </c>
      <c r="D129" s="111" t="s">
        <v>117</v>
      </c>
      <c r="E129" s="34">
        <v>108.15</v>
      </c>
      <c r="F129" s="34">
        <v>110.03</v>
      </c>
      <c r="G129" s="34">
        <v>111.9</v>
      </c>
      <c r="H129" s="113">
        <v>0.0</v>
      </c>
      <c r="I129" s="34">
        <v>0.0</v>
      </c>
      <c r="J129" s="34">
        <v>0.0</v>
      </c>
      <c r="K129" s="34">
        <v>0.0</v>
      </c>
      <c r="L129" s="113">
        <v>0.47259999999999996</v>
      </c>
    </row>
    <row r="130" ht="22.5" customHeight="1">
      <c r="A130" s="111" t="s">
        <v>28</v>
      </c>
      <c r="B130" s="112">
        <v>46059.0</v>
      </c>
      <c r="C130" s="111">
        <v>80.0</v>
      </c>
      <c r="D130" s="111" t="s">
        <v>116</v>
      </c>
      <c r="E130" s="34">
        <v>359.3</v>
      </c>
      <c r="F130" s="34">
        <v>360.68</v>
      </c>
      <c r="G130" s="34">
        <v>362.05</v>
      </c>
      <c r="H130" s="113">
        <v>0.0</v>
      </c>
      <c r="I130" s="34">
        <v>0.0</v>
      </c>
      <c r="J130" s="34">
        <v>0.0</v>
      </c>
      <c r="K130" s="34">
        <v>0.0</v>
      </c>
      <c r="L130" s="113">
        <v>0.8175</v>
      </c>
    </row>
    <row r="131" ht="22.5" customHeight="1">
      <c r="A131" s="111" t="s">
        <v>28</v>
      </c>
      <c r="B131" s="112">
        <v>46059.0</v>
      </c>
      <c r="C131" s="111">
        <v>90.0</v>
      </c>
      <c r="D131" s="111" t="s">
        <v>116</v>
      </c>
      <c r="E131" s="34">
        <v>349.3</v>
      </c>
      <c r="F131" s="34">
        <v>350.68</v>
      </c>
      <c r="G131" s="34">
        <v>352.05</v>
      </c>
      <c r="H131" s="113">
        <v>0.0</v>
      </c>
      <c r="I131" s="34">
        <v>0.0</v>
      </c>
      <c r="J131" s="34">
        <v>0.0</v>
      </c>
      <c r="K131" s="34">
        <v>0.0</v>
      </c>
      <c r="L131" s="113">
        <v>0.7947</v>
      </c>
    </row>
    <row r="132" ht="22.5" customHeight="1">
      <c r="A132" s="111" t="s">
        <v>28</v>
      </c>
      <c r="B132" s="112">
        <v>46059.0</v>
      </c>
      <c r="C132" s="111">
        <v>100.0</v>
      </c>
      <c r="D132" s="111" t="s">
        <v>116</v>
      </c>
      <c r="E132" s="34">
        <v>339.35</v>
      </c>
      <c r="F132" s="34">
        <v>340.68</v>
      </c>
      <c r="G132" s="34">
        <v>342.0</v>
      </c>
      <c r="H132" s="113">
        <v>0.0</v>
      </c>
      <c r="I132" s="34">
        <v>0.0</v>
      </c>
      <c r="J132" s="34">
        <v>0.0</v>
      </c>
      <c r="K132" s="34">
        <v>0.0</v>
      </c>
      <c r="L132" s="113">
        <v>0.7718</v>
      </c>
    </row>
    <row r="133" ht="22.5" customHeight="1">
      <c r="A133" s="111" t="s">
        <v>28</v>
      </c>
      <c r="B133" s="112">
        <v>46059.0</v>
      </c>
      <c r="C133" s="111">
        <v>110.0</v>
      </c>
      <c r="D133" s="111" t="s">
        <v>116</v>
      </c>
      <c r="E133" s="34">
        <v>329.35</v>
      </c>
      <c r="F133" s="34">
        <v>330.78</v>
      </c>
      <c r="G133" s="34">
        <v>332.2</v>
      </c>
      <c r="H133" s="113">
        <v>2.5198</v>
      </c>
      <c r="I133" s="34">
        <v>0.9997</v>
      </c>
      <c r="J133" s="34">
        <v>0.0</v>
      </c>
      <c r="K133" s="34">
        <v>0.0</v>
      </c>
      <c r="L133" s="113">
        <v>0.7490000000000001</v>
      </c>
    </row>
    <row r="134" ht="22.5" customHeight="1">
      <c r="A134" s="111" t="s">
        <v>28</v>
      </c>
      <c r="B134" s="112">
        <v>46059.0</v>
      </c>
      <c r="C134" s="111">
        <v>120.0</v>
      </c>
      <c r="D134" s="111" t="s">
        <v>116</v>
      </c>
      <c r="E134" s="34">
        <v>319.35</v>
      </c>
      <c r="F134" s="34">
        <v>320.73</v>
      </c>
      <c r="G134" s="34">
        <v>322.1</v>
      </c>
      <c r="H134" s="113">
        <v>0.0</v>
      </c>
      <c r="I134" s="34">
        <v>0.0</v>
      </c>
      <c r="J134" s="34">
        <v>0.0</v>
      </c>
      <c r="K134" s="34">
        <v>0.0</v>
      </c>
      <c r="L134" s="113">
        <v>0.7262000000000001</v>
      </c>
    </row>
    <row r="135" ht="22.5" customHeight="1">
      <c r="A135" s="111" t="s">
        <v>28</v>
      </c>
      <c r="B135" s="112">
        <v>46059.0</v>
      </c>
      <c r="C135" s="111">
        <v>130.0</v>
      </c>
      <c r="D135" s="111" t="s">
        <v>116</v>
      </c>
      <c r="E135" s="34">
        <v>309.35</v>
      </c>
      <c r="F135" s="34">
        <v>310.73</v>
      </c>
      <c r="G135" s="34">
        <v>312.1</v>
      </c>
      <c r="H135" s="113">
        <v>0.0</v>
      </c>
      <c r="I135" s="34">
        <v>0.0</v>
      </c>
      <c r="J135" s="34">
        <v>0.0</v>
      </c>
      <c r="K135" s="34">
        <v>0.0</v>
      </c>
      <c r="L135" s="113">
        <v>0.7034</v>
      </c>
    </row>
    <row r="136" ht="22.5" customHeight="1">
      <c r="A136" s="111" t="s">
        <v>28</v>
      </c>
      <c r="B136" s="112">
        <v>46059.0</v>
      </c>
      <c r="C136" s="111">
        <v>140.0</v>
      </c>
      <c r="D136" s="111" t="s">
        <v>116</v>
      </c>
      <c r="E136" s="34">
        <v>299.4</v>
      </c>
      <c r="F136" s="34">
        <v>300.75</v>
      </c>
      <c r="G136" s="34">
        <v>302.1</v>
      </c>
      <c r="H136" s="113">
        <v>0.0</v>
      </c>
      <c r="I136" s="34">
        <v>0.0</v>
      </c>
      <c r="J136" s="34">
        <v>0.0</v>
      </c>
      <c r="K136" s="34">
        <v>0.0</v>
      </c>
      <c r="L136" s="113">
        <v>0.6806</v>
      </c>
    </row>
    <row r="137" ht="22.5" customHeight="1">
      <c r="A137" s="111" t="s">
        <v>28</v>
      </c>
      <c r="B137" s="112">
        <v>46059.0</v>
      </c>
      <c r="C137" s="111">
        <v>150.0</v>
      </c>
      <c r="D137" s="111" t="s">
        <v>116</v>
      </c>
      <c r="E137" s="34">
        <v>289.45</v>
      </c>
      <c r="F137" s="34">
        <v>290.78</v>
      </c>
      <c r="G137" s="34">
        <v>292.1</v>
      </c>
      <c r="H137" s="113">
        <v>0.0</v>
      </c>
      <c r="I137" s="34">
        <v>0.0</v>
      </c>
      <c r="J137" s="34">
        <v>0.0</v>
      </c>
      <c r="K137" s="34">
        <v>4.0</v>
      </c>
      <c r="L137" s="113">
        <v>0.6578</v>
      </c>
    </row>
    <row r="138" ht="22.5" customHeight="1">
      <c r="A138" s="111" t="s">
        <v>28</v>
      </c>
      <c r="B138" s="112">
        <v>46059.0</v>
      </c>
      <c r="C138" s="111">
        <v>160.0</v>
      </c>
      <c r="D138" s="111" t="s">
        <v>116</v>
      </c>
      <c r="E138" s="34">
        <v>279.4</v>
      </c>
      <c r="F138" s="34">
        <v>280.78</v>
      </c>
      <c r="G138" s="34">
        <v>282.15</v>
      </c>
      <c r="H138" s="113">
        <v>0.0</v>
      </c>
      <c r="I138" s="34">
        <v>0.0</v>
      </c>
      <c r="J138" s="34">
        <v>0.0</v>
      </c>
      <c r="K138" s="34">
        <v>0.0</v>
      </c>
      <c r="L138" s="113">
        <v>0.635</v>
      </c>
    </row>
    <row r="139" ht="22.5" customHeight="1">
      <c r="A139" s="111" t="s">
        <v>28</v>
      </c>
      <c r="B139" s="112">
        <v>46059.0</v>
      </c>
      <c r="C139" s="111">
        <v>170.0</v>
      </c>
      <c r="D139" s="111" t="s">
        <v>116</v>
      </c>
      <c r="E139" s="34">
        <v>269.4</v>
      </c>
      <c r="F139" s="34">
        <v>270.78</v>
      </c>
      <c r="G139" s="34">
        <v>272.15</v>
      </c>
      <c r="H139" s="113">
        <v>0.0</v>
      </c>
      <c r="I139" s="34">
        <v>0.0</v>
      </c>
      <c r="J139" s="34">
        <v>0.0</v>
      </c>
      <c r="K139" s="34">
        <v>5.0</v>
      </c>
      <c r="L139" s="113">
        <v>0.6121</v>
      </c>
    </row>
    <row r="140" ht="22.5" customHeight="1">
      <c r="A140" s="111" t="s">
        <v>28</v>
      </c>
      <c r="B140" s="112">
        <v>46059.0</v>
      </c>
      <c r="C140" s="111">
        <v>180.0</v>
      </c>
      <c r="D140" s="111" t="s">
        <v>116</v>
      </c>
      <c r="E140" s="34">
        <v>260.1</v>
      </c>
      <c r="F140" s="34">
        <v>260.83</v>
      </c>
      <c r="G140" s="34">
        <v>261.55</v>
      </c>
      <c r="H140" s="113">
        <v>0.0</v>
      </c>
      <c r="I140" s="34">
        <v>0.0</v>
      </c>
      <c r="J140" s="34">
        <v>0.0</v>
      </c>
      <c r="K140" s="34">
        <v>353.0</v>
      </c>
      <c r="L140" s="113">
        <v>0.5893</v>
      </c>
    </row>
    <row r="141" ht="22.5" customHeight="1">
      <c r="A141" s="111" t="s">
        <v>28</v>
      </c>
      <c r="B141" s="112">
        <v>46059.0</v>
      </c>
      <c r="C141" s="111">
        <v>190.0</v>
      </c>
      <c r="D141" s="111" t="s">
        <v>116</v>
      </c>
      <c r="E141" s="34">
        <v>249.45</v>
      </c>
      <c r="F141" s="34">
        <v>250.83</v>
      </c>
      <c r="G141" s="34">
        <v>252.2</v>
      </c>
      <c r="H141" s="113">
        <v>0.0</v>
      </c>
      <c r="I141" s="34">
        <v>0.0</v>
      </c>
      <c r="J141" s="34">
        <v>0.0</v>
      </c>
      <c r="K141" s="34">
        <v>1.0</v>
      </c>
      <c r="L141" s="113">
        <v>0.5665</v>
      </c>
    </row>
    <row r="142" ht="22.5" customHeight="1">
      <c r="A142" s="111" t="s">
        <v>28</v>
      </c>
      <c r="B142" s="112">
        <v>46059.0</v>
      </c>
      <c r="C142" s="111">
        <v>200.0</v>
      </c>
      <c r="D142" s="111" t="s">
        <v>116</v>
      </c>
      <c r="E142" s="34">
        <v>239.5</v>
      </c>
      <c r="F142" s="34">
        <v>240.75</v>
      </c>
      <c r="G142" s="34">
        <v>242.0</v>
      </c>
      <c r="H142" s="113">
        <v>0.0</v>
      </c>
      <c r="I142" s="34">
        <v>0.0</v>
      </c>
      <c r="J142" s="34">
        <v>0.0</v>
      </c>
      <c r="K142" s="34">
        <v>14.0</v>
      </c>
      <c r="L142" s="113">
        <v>0.5437</v>
      </c>
    </row>
    <row r="143" ht="22.5" customHeight="1">
      <c r="A143" s="111" t="s">
        <v>28</v>
      </c>
      <c r="B143" s="112">
        <v>46059.0</v>
      </c>
      <c r="C143" s="111">
        <v>210.0</v>
      </c>
      <c r="D143" s="111" t="s">
        <v>116</v>
      </c>
      <c r="E143" s="34">
        <v>229.5</v>
      </c>
      <c r="F143" s="34">
        <v>230.88</v>
      </c>
      <c r="G143" s="34">
        <v>232.25</v>
      </c>
      <c r="H143" s="113">
        <v>1.3054</v>
      </c>
      <c r="I143" s="34">
        <v>0.9996</v>
      </c>
      <c r="J143" s="34">
        <v>0.0</v>
      </c>
      <c r="K143" s="34">
        <v>27.0</v>
      </c>
      <c r="L143" s="113">
        <v>0.5209</v>
      </c>
    </row>
    <row r="144" ht="22.5" customHeight="1">
      <c r="A144" s="111" t="s">
        <v>28</v>
      </c>
      <c r="B144" s="112">
        <v>46059.0</v>
      </c>
      <c r="C144" s="111">
        <v>220.0</v>
      </c>
      <c r="D144" s="111" t="s">
        <v>116</v>
      </c>
      <c r="E144" s="34">
        <v>219.5</v>
      </c>
      <c r="F144" s="34">
        <v>220.78</v>
      </c>
      <c r="G144" s="34">
        <v>222.05</v>
      </c>
      <c r="H144" s="113">
        <v>0.0</v>
      </c>
      <c r="I144" s="34">
        <v>0.0</v>
      </c>
      <c r="J144" s="34">
        <v>0.0</v>
      </c>
      <c r="K144" s="34">
        <v>1.0</v>
      </c>
      <c r="L144" s="113">
        <v>0.49810000000000004</v>
      </c>
    </row>
    <row r="145" ht="22.5" customHeight="1">
      <c r="A145" s="111" t="s">
        <v>28</v>
      </c>
      <c r="B145" s="112">
        <v>46059.0</v>
      </c>
      <c r="C145" s="111">
        <v>230.0</v>
      </c>
      <c r="D145" s="111" t="s">
        <v>116</v>
      </c>
      <c r="E145" s="34">
        <v>209.55</v>
      </c>
      <c r="F145" s="34">
        <v>210.9</v>
      </c>
      <c r="G145" s="34">
        <v>212.25</v>
      </c>
      <c r="H145" s="113">
        <v>1.1775</v>
      </c>
      <c r="I145" s="34">
        <v>0.9995</v>
      </c>
      <c r="J145" s="34">
        <v>0.0</v>
      </c>
      <c r="K145" s="34">
        <v>149.0</v>
      </c>
      <c r="L145" s="113">
        <v>0.4752</v>
      </c>
    </row>
    <row r="146" ht="22.5" customHeight="1">
      <c r="A146" s="111" t="s">
        <v>28</v>
      </c>
      <c r="B146" s="112">
        <v>46059.0</v>
      </c>
      <c r="C146" s="111">
        <v>240.0</v>
      </c>
      <c r="D146" s="111" t="s">
        <v>116</v>
      </c>
      <c r="E146" s="34">
        <v>199.55</v>
      </c>
      <c r="F146" s="34">
        <v>200.93</v>
      </c>
      <c r="G146" s="34">
        <v>202.3</v>
      </c>
      <c r="H146" s="113">
        <v>1.1747</v>
      </c>
      <c r="I146" s="34">
        <v>0.999</v>
      </c>
      <c r="J146" s="34">
        <v>0.0</v>
      </c>
      <c r="K146" s="34">
        <v>6.0</v>
      </c>
      <c r="L146" s="113">
        <v>0.4524</v>
      </c>
    </row>
    <row r="147" ht="22.5" customHeight="1">
      <c r="A147" s="111" t="s">
        <v>28</v>
      </c>
      <c r="B147" s="112">
        <v>46059.0</v>
      </c>
      <c r="C147" s="111">
        <v>250.0</v>
      </c>
      <c r="D147" s="111" t="s">
        <v>116</v>
      </c>
      <c r="E147" s="34">
        <v>189.65</v>
      </c>
      <c r="F147" s="34">
        <v>190.95</v>
      </c>
      <c r="G147" s="34">
        <v>192.25</v>
      </c>
      <c r="H147" s="113">
        <v>1.1433</v>
      </c>
      <c r="I147" s="34">
        <v>0.9985</v>
      </c>
      <c r="J147" s="34">
        <v>0.0</v>
      </c>
      <c r="K147" s="34">
        <v>25.0</v>
      </c>
      <c r="L147" s="113">
        <v>0.4296</v>
      </c>
    </row>
    <row r="148" ht="22.5" customHeight="1">
      <c r="A148" s="111" t="s">
        <v>28</v>
      </c>
      <c r="B148" s="112">
        <v>46059.0</v>
      </c>
      <c r="C148" s="111">
        <v>255.0</v>
      </c>
      <c r="D148" s="111" t="s">
        <v>116</v>
      </c>
      <c r="E148" s="34">
        <v>184.6</v>
      </c>
      <c r="F148" s="34">
        <v>185.95</v>
      </c>
      <c r="G148" s="34">
        <v>187.3</v>
      </c>
      <c r="H148" s="113">
        <v>1.0914</v>
      </c>
      <c r="I148" s="34">
        <v>0.9986</v>
      </c>
      <c r="J148" s="34">
        <v>0.0</v>
      </c>
      <c r="K148" s="34">
        <v>79.0</v>
      </c>
      <c r="L148" s="113">
        <v>0.4182</v>
      </c>
    </row>
    <row r="149" ht="22.5" customHeight="1">
      <c r="A149" s="111" t="s">
        <v>28</v>
      </c>
      <c r="B149" s="112">
        <v>46059.0</v>
      </c>
      <c r="C149" s="111">
        <v>260.0</v>
      </c>
      <c r="D149" s="111" t="s">
        <v>116</v>
      </c>
      <c r="E149" s="34">
        <v>179.65</v>
      </c>
      <c r="F149" s="34">
        <v>181.0</v>
      </c>
      <c r="G149" s="34">
        <v>182.35</v>
      </c>
      <c r="H149" s="113">
        <v>1.1429</v>
      </c>
      <c r="I149" s="34">
        <v>0.9971</v>
      </c>
      <c r="J149" s="34">
        <v>0.0</v>
      </c>
      <c r="K149" s="34">
        <v>1.0</v>
      </c>
      <c r="L149" s="113">
        <v>0.4068</v>
      </c>
    </row>
    <row r="150" ht="22.5" customHeight="1">
      <c r="A150" s="111" t="s">
        <v>28</v>
      </c>
      <c r="B150" s="112">
        <v>46059.0</v>
      </c>
      <c r="C150" s="111">
        <v>265.0</v>
      </c>
      <c r="D150" s="111" t="s">
        <v>116</v>
      </c>
      <c r="E150" s="34">
        <v>174.65</v>
      </c>
      <c r="F150" s="34">
        <v>176.0</v>
      </c>
      <c r="G150" s="34">
        <v>177.35</v>
      </c>
      <c r="H150" s="113">
        <v>1.0966</v>
      </c>
      <c r="I150" s="34">
        <v>0.9972</v>
      </c>
      <c r="J150" s="34">
        <v>0.0</v>
      </c>
      <c r="K150" s="34">
        <v>35.0</v>
      </c>
      <c r="L150" s="113">
        <v>0.3954</v>
      </c>
    </row>
    <row r="151" ht="22.5" customHeight="1">
      <c r="A151" s="111" t="s">
        <v>28</v>
      </c>
      <c r="B151" s="112">
        <v>46059.0</v>
      </c>
      <c r="C151" s="111">
        <v>270.0</v>
      </c>
      <c r="D151" s="111" t="s">
        <v>116</v>
      </c>
      <c r="E151" s="34">
        <v>169.65</v>
      </c>
      <c r="F151" s="34">
        <v>171.03</v>
      </c>
      <c r="G151" s="34">
        <v>172.4</v>
      </c>
      <c r="H151" s="113">
        <v>1.0859</v>
      </c>
      <c r="I151" s="34">
        <v>0.9965</v>
      </c>
      <c r="J151" s="34">
        <v>0.0</v>
      </c>
      <c r="K151" s="34">
        <v>91.0</v>
      </c>
      <c r="L151" s="113">
        <v>0.384</v>
      </c>
    </row>
    <row r="152" ht="22.5" customHeight="1">
      <c r="A152" s="111" t="s">
        <v>28</v>
      </c>
      <c r="B152" s="112">
        <v>46059.0</v>
      </c>
      <c r="C152" s="111">
        <v>275.0</v>
      </c>
      <c r="D152" s="111" t="s">
        <v>116</v>
      </c>
      <c r="E152" s="34">
        <v>164.75</v>
      </c>
      <c r="F152" s="34">
        <v>166.05</v>
      </c>
      <c r="G152" s="34">
        <v>167.35</v>
      </c>
      <c r="H152" s="113">
        <v>1.0705</v>
      </c>
      <c r="I152" s="34">
        <v>0.9958</v>
      </c>
      <c r="J152" s="34">
        <v>0.0</v>
      </c>
      <c r="K152" s="34">
        <v>9.0</v>
      </c>
      <c r="L152" s="113">
        <v>0.3726</v>
      </c>
    </row>
    <row r="153" ht="22.5" customHeight="1">
      <c r="A153" s="111" t="s">
        <v>28</v>
      </c>
      <c r="B153" s="112">
        <v>46059.0</v>
      </c>
      <c r="C153" s="111">
        <v>280.0</v>
      </c>
      <c r="D153" s="111" t="s">
        <v>116</v>
      </c>
      <c r="E153" s="34">
        <v>160.15</v>
      </c>
      <c r="F153" s="34">
        <v>160.78</v>
      </c>
      <c r="G153" s="34">
        <v>161.4</v>
      </c>
      <c r="H153" s="113">
        <v>0.0</v>
      </c>
      <c r="I153" s="34">
        <v>0.0</v>
      </c>
      <c r="J153" s="34">
        <v>32.0</v>
      </c>
      <c r="K153" s="34">
        <v>110.0</v>
      </c>
      <c r="L153" s="113">
        <v>0.36119999999999997</v>
      </c>
    </row>
    <row r="154" ht="22.5" customHeight="1">
      <c r="A154" s="111" t="s">
        <v>28</v>
      </c>
      <c r="B154" s="112">
        <v>46059.0</v>
      </c>
      <c r="C154" s="111">
        <v>285.0</v>
      </c>
      <c r="D154" s="111" t="s">
        <v>116</v>
      </c>
      <c r="E154" s="34">
        <v>154.75</v>
      </c>
      <c r="F154" s="34">
        <v>155.9</v>
      </c>
      <c r="G154" s="34">
        <v>157.05</v>
      </c>
      <c r="H154" s="113">
        <v>0.0</v>
      </c>
      <c r="I154" s="34">
        <v>0.0</v>
      </c>
      <c r="J154" s="34">
        <v>0.0</v>
      </c>
      <c r="K154" s="34">
        <v>3.0</v>
      </c>
      <c r="L154" s="113">
        <v>0.34979999999999994</v>
      </c>
    </row>
    <row r="155" ht="22.5" customHeight="1">
      <c r="A155" s="111" t="s">
        <v>28</v>
      </c>
      <c r="B155" s="112">
        <v>46059.0</v>
      </c>
      <c r="C155" s="111">
        <v>290.0</v>
      </c>
      <c r="D155" s="111" t="s">
        <v>116</v>
      </c>
      <c r="E155" s="34">
        <v>149.75</v>
      </c>
      <c r="F155" s="34">
        <v>151.1</v>
      </c>
      <c r="G155" s="34">
        <v>152.45</v>
      </c>
      <c r="H155" s="113">
        <v>0.9894</v>
      </c>
      <c r="I155" s="34">
        <v>0.9943</v>
      </c>
      <c r="J155" s="34">
        <v>1.0</v>
      </c>
      <c r="K155" s="34">
        <v>16.0</v>
      </c>
      <c r="L155" s="113">
        <v>0.33840000000000003</v>
      </c>
    </row>
    <row r="156" ht="22.5" customHeight="1">
      <c r="A156" s="111" t="s">
        <v>28</v>
      </c>
      <c r="B156" s="112">
        <v>46059.0</v>
      </c>
      <c r="C156" s="111">
        <v>295.0</v>
      </c>
      <c r="D156" s="111" t="s">
        <v>116</v>
      </c>
      <c r="E156" s="34">
        <v>144.8</v>
      </c>
      <c r="F156" s="34">
        <v>146.13</v>
      </c>
      <c r="G156" s="34">
        <v>147.45</v>
      </c>
      <c r="H156" s="113">
        <v>0.8911</v>
      </c>
      <c r="I156" s="34">
        <v>0.9963</v>
      </c>
      <c r="J156" s="34">
        <v>1.0</v>
      </c>
      <c r="K156" s="34">
        <v>15.0</v>
      </c>
      <c r="L156" s="113">
        <v>0.32689999999999997</v>
      </c>
    </row>
    <row r="157" ht="22.5" customHeight="1">
      <c r="A157" s="111" t="s">
        <v>28</v>
      </c>
      <c r="B157" s="112">
        <v>46059.0</v>
      </c>
      <c r="C157" s="111">
        <v>300.0</v>
      </c>
      <c r="D157" s="111" t="s">
        <v>116</v>
      </c>
      <c r="E157" s="34">
        <v>139.85</v>
      </c>
      <c r="F157" s="34">
        <v>141.05</v>
      </c>
      <c r="G157" s="34">
        <v>142.25</v>
      </c>
      <c r="H157" s="113">
        <v>0.8621</v>
      </c>
      <c r="I157" s="34">
        <v>0.996</v>
      </c>
      <c r="J157" s="34">
        <v>1.0</v>
      </c>
      <c r="K157" s="34">
        <v>187.0</v>
      </c>
      <c r="L157" s="113">
        <v>0.3155</v>
      </c>
    </row>
    <row r="158" ht="22.5" customHeight="1">
      <c r="A158" s="111" t="s">
        <v>28</v>
      </c>
      <c r="B158" s="112">
        <v>46059.0</v>
      </c>
      <c r="C158" s="111">
        <v>305.0</v>
      </c>
      <c r="D158" s="111" t="s">
        <v>116</v>
      </c>
      <c r="E158" s="34">
        <v>134.85</v>
      </c>
      <c r="F158" s="34">
        <v>136.1</v>
      </c>
      <c r="G158" s="34">
        <v>137.35</v>
      </c>
      <c r="H158" s="113">
        <v>0.8687</v>
      </c>
      <c r="I158" s="34">
        <v>0.9942</v>
      </c>
      <c r="J158" s="34">
        <v>0.0</v>
      </c>
      <c r="K158" s="34">
        <v>2.0</v>
      </c>
      <c r="L158" s="113">
        <v>0.3041</v>
      </c>
    </row>
    <row r="159" ht="22.5" customHeight="1">
      <c r="A159" s="111" t="s">
        <v>28</v>
      </c>
      <c r="B159" s="112">
        <v>46059.0</v>
      </c>
      <c r="C159" s="111">
        <v>310.0</v>
      </c>
      <c r="D159" s="111" t="s">
        <v>116</v>
      </c>
      <c r="E159" s="34">
        <v>129.9</v>
      </c>
      <c r="F159" s="34">
        <v>131.23</v>
      </c>
      <c r="G159" s="34">
        <v>132.55</v>
      </c>
      <c r="H159" s="113">
        <v>0.9055</v>
      </c>
      <c r="I159" s="34">
        <v>0.9899</v>
      </c>
      <c r="J159" s="34">
        <v>0.0</v>
      </c>
      <c r="K159" s="34">
        <v>2.0</v>
      </c>
      <c r="L159" s="113">
        <v>0.2927</v>
      </c>
    </row>
    <row r="160" ht="22.5" customHeight="1">
      <c r="A160" s="111" t="s">
        <v>28</v>
      </c>
      <c r="B160" s="112">
        <v>46059.0</v>
      </c>
      <c r="C160" s="111">
        <v>315.0</v>
      </c>
      <c r="D160" s="111" t="s">
        <v>116</v>
      </c>
      <c r="E160" s="34">
        <v>124.95</v>
      </c>
      <c r="F160" s="34">
        <v>126.13</v>
      </c>
      <c r="G160" s="34">
        <v>127.3</v>
      </c>
      <c r="H160" s="113">
        <v>0.8098000000000001</v>
      </c>
      <c r="I160" s="34">
        <v>0.9932</v>
      </c>
      <c r="J160" s="34">
        <v>0.0</v>
      </c>
      <c r="K160" s="34">
        <v>5.0</v>
      </c>
      <c r="L160" s="113">
        <v>0.2813</v>
      </c>
    </row>
    <row r="161" ht="22.5" customHeight="1">
      <c r="A161" s="111" t="s">
        <v>28</v>
      </c>
      <c r="B161" s="112">
        <v>46059.0</v>
      </c>
      <c r="C161" s="111">
        <v>320.0</v>
      </c>
      <c r="D161" s="111" t="s">
        <v>116</v>
      </c>
      <c r="E161" s="34">
        <v>120.0</v>
      </c>
      <c r="F161" s="34">
        <v>121.25</v>
      </c>
      <c r="G161" s="34">
        <v>122.5</v>
      </c>
      <c r="H161" s="113">
        <v>0.8390000000000001</v>
      </c>
      <c r="I161" s="34">
        <v>0.9886</v>
      </c>
      <c r="J161" s="34">
        <v>0.0</v>
      </c>
      <c r="K161" s="34">
        <v>12.0</v>
      </c>
      <c r="L161" s="113">
        <v>0.2699</v>
      </c>
    </row>
    <row r="162" ht="22.5" customHeight="1">
      <c r="A162" s="111" t="s">
        <v>28</v>
      </c>
      <c r="B162" s="112">
        <v>46059.0</v>
      </c>
      <c r="C162" s="111">
        <v>325.0</v>
      </c>
      <c r="D162" s="111" t="s">
        <v>116</v>
      </c>
      <c r="E162" s="34">
        <v>115.05</v>
      </c>
      <c r="F162" s="34">
        <v>115.98</v>
      </c>
      <c r="G162" s="34">
        <v>116.9</v>
      </c>
      <c r="H162" s="113">
        <v>0.0</v>
      </c>
      <c r="I162" s="34">
        <v>0.0</v>
      </c>
      <c r="J162" s="34">
        <v>1.0</v>
      </c>
      <c r="K162" s="34">
        <v>34.0</v>
      </c>
      <c r="L162" s="113">
        <v>0.2585</v>
      </c>
    </row>
    <row r="163" ht="22.5" customHeight="1">
      <c r="A163" s="111" t="s">
        <v>28</v>
      </c>
      <c r="B163" s="112">
        <v>46059.0</v>
      </c>
      <c r="C163" s="111">
        <v>330.0</v>
      </c>
      <c r="D163" s="111" t="s">
        <v>116</v>
      </c>
      <c r="E163" s="34">
        <v>110.1</v>
      </c>
      <c r="F163" s="34">
        <v>111.05</v>
      </c>
      <c r="G163" s="34">
        <v>112.0</v>
      </c>
      <c r="H163" s="113">
        <v>0.9469</v>
      </c>
      <c r="I163" s="34">
        <v>0.9677</v>
      </c>
      <c r="J163" s="34">
        <v>15.0</v>
      </c>
      <c r="K163" s="34">
        <v>69.0</v>
      </c>
      <c r="L163" s="113">
        <v>0.24710000000000001</v>
      </c>
    </row>
    <row r="164" ht="22.5" customHeight="1">
      <c r="A164" s="111" t="s">
        <v>28</v>
      </c>
      <c r="B164" s="112">
        <v>46059.0</v>
      </c>
      <c r="C164" s="111">
        <v>335.0</v>
      </c>
      <c r="D164" s="111" t="s">
        <v>116</v>
      </c>
      <c r="E164" s="34">
        <v>105.15</v>
      </c>
      <c r="F164" s="34">
        <v>106.25</v>
      </c>
      <c r="G164" s="34">
        <v>107.35</v>
      </c>
      <c r="H164" s="113">
        <v>0.7259</v>
      </c>
      <c r="I164" s="34">
        <v>0.9877</v>
      </c>
      <c r="J164" s="34">
        <v>0.0</v>
      </c>
      <c r="K164" s="34">
        <v>128.0</v>
      </c>
      <c r="L164" s="113">
        <v>0.2357</v>
      </c>
    </row>
    <row r="165" ht="22.5" customHeight="1">
      <c r="A165" s="111" t="s">
        <v>28</v>
      </c>
      <c r="B165" s="112">
        <v>46059.0</v>
      </c>
      <c r="C165" s="111">
        <v>340.0</v>
      </c>
      <c r="D165" s="111" t="s">
        <v>116</v>
      </c>
      <c r="E165" s="34">
        <v>100.25</v>
      </c>
      <c r="F165" s="34">
        <v>101.15</v>
      </c>
      <c r="G165" s="34">
        <v>102.05</v>
      </c>
      <c r="H165" s="113">
        <v>0.642</v>
      </c>
      <c r="I165" s="34">
        <v>0.9916</v>
      </c>
      <c r="J165" s="34">
        <v>0.0</v>
      </c>
      <c r="K165" s="34">
        <v>23.0</v>
      </c>
      <c r="L165" s="113">
        <v>0.2243</v>
      </c>
    </row>
    <row r="166" ht="22.5" customHeight="1">
      <c r="A166" s="111" t="s">
        <v>28</v>
      </c>
      <c r="B166" s="112">
        <v>46059.0</v>
      </c>
      <c r="C166" s="111">
        <v>342.5</v>
      </c>
      <c r="D166" s="111" t="s">
        <v>116</v>
      </c>
      <c r="E166" s="34">
        <v>97.8</v>
      </c>
      <c r="F166" s="34">
        <v>98.78</v>
      </c>
      <c r="G166" s="34">
        <v>99.75</v>
      </c>
      <c r="H166" s="113">
        <v>0.6806</v>
      </c>
      <c r="I166" s="34">
        <v>0.9861</v>
      </c>
      <c r="J166" s="34">
        <v>0.0</v>
      </c>
      <c r="K166" s="34">
        <v>7.0</v>
      </c>
      <c r="L166" s="113">
        <v>0.2186</v>
      </c>
    </row>
    <row r="167" ht="22.5" customHeight="1">
      <c r="A167" s="111" t="s">
        <v>28</v>
      </c>
      <c r="B167" s="112">
        <v>46059.0</v>
      </c>
      <c r="C167" s="111">
        <v>345.0</v>
      </c>
      <c r="D167" s="111" t="s">
        <v>116</v>
      </c>
      <c r="E167" s="34">
        <v>95.5</v>
      </c>
      <c r="F167" s="34">
        <v>96.58</v>
      </c>
      <c r="G167" s="34">
        <v>97.65</v>
      </c>
      <c r="H167" s="113">
        <v>0.7236</v>
      </c>
      <c r="I167" s="34">
        <v>0.9783</v>
      </c>
      <c r="J167" s="34">
        <v>38.0</v>
      </c>
      <c r="K167" s="34">
        <v>36.0</v>
      </c>
      <c r="L167" s="113">
        <v>0.21289999999999998</v>
      </c>
    </row>
    <row r="168" ht="22.5" customHeight="1">
      <c r="A168" s="111" t="s">
        <v>28</v>
      </c>
      <c r="B168" s="112">
        <v>46059.0</v>
      </c>
      <c r="C168" s="111">
        <v>347.5</v>
      </c>
      <c r="D168" s="111" t="s">
        <v>116</v>
      </c>
      <c r="E168" s="34">
        <v>92.9</v>
      </c>
      <c r="F168" s="34">
        <v>94.08</v>
      </c>
      <c r="G168" s="34">
        <v>95.25</v>
      </c>
      <c r="H168" s="113">
        <v>0.7269</v>
      </c>
      <c r="I168" s="34">
        <v>0.9746</v>
      </c>
      <c r="J168" s="34">
        <v>0.0</v>
      </c>
      <c r="K168" s="34">
        <v>1.0</v>
      </c>
      <c r="L168" s="113">
        <v>0.2072</v>
      </c>
    </row>
    <row r="169" ht="22.5" customHeight="1">
      <c r="A169" s="111" t="s">
        <v>28</v>
      </c>
      <c r="B169" s="112">
        <v>46059.0</v>
      </c>
      <c r="C169" s="111">
        <v>350.0</v>
      </c>
      <c r="D169" s="111" t="s">
        <v>116</v>
      </c>
      <c r="E169" s="34">
        <v>90.55</v>
      </c>
      <c r="F169" s="34">
        <v>91.57</v>
      </c>
      <c r="G169" s="34">
        <v>92.6</v>
      </c>
      <c r="H169" s="113">
        <v>0.6248</v>
      </c>
      <c r="I169" s="34">
        <v>0.9856</v>
      </c>
      <c r="J169" s="34">
        <v>22.0</v>
      </c>
      <c r="K169" s="34">
        <v>61.0</v>
      </c>
      <c r="L169" s="113">
        <v>0.20149999999999998</v>
      </c>
    </row>
    <row r="170" ht="22.5" customHeight="1">
      <c r="A170" s="111" t="s">
        <v>28</v>
      </c>
      <c r="B170" s="112">
        <v>46059.0</v>
      </c>
      <c r="C170" s="111">
        <v>352.5</v>
      </c>
      <c r="D170" s="111" t="s">
        <v>116</v>
      </c>
      <c r="E170" s="34">
        <v>88.05</v>
      </c>
      <c r="F170" s="34">
        <v>88.95</v>
      </c>
      <c r="G170" s="34">
        <v>89.85</v>
      </c>
      <c r="H170" s="113">
        <v>0.6598</v>
      </c>
      <c r="I170" s="34">
        <v>0.9781</v>
      </c>
      <c r="J170" s="34">
        <v>0.0</v>
      </c>
      <c r="K170" s="34">
        <v>2.0</v>
      </c>
      <c r="L170" s="113">
        <v>0.19579999999999997</v>
      </c>
    </row>
    <row r="171" ht="22.5" customHeight="1">
      <c r="A171" s="111" t="s">
        <v>28</v>
      </c>
      <c r="B171" s="112">
        <v>46059.0</v>
      </c>
      <c r="C171" s="111">
        <v>355.0</v>
      </c>
      <c r="D171" s="111" t="s">
        <v>116</v>
      </c>
      <c r="E171" s="34">
        <v>85.65</v>
      </c>
      <c r="F171" s="34">
        <v>86.68</v>
      </c>
      <c r="G171" s="34">
        <v>87.7</v>
      </c>
      <c r="H171" s="113">
        <v>0.6895</v>
      </c>
      <c r="I171" s="34">
        <v>0.9696</v>
      </c>
      <c r="J171" s="34">
        <v>5.0</v>
      </c>
      <c r="K171" s="34">
        <v>17.0</v>
      </c>
      <c r="L171" s="113">
        <v>0.19010000000000002</v>
      </c>
    </row>
    <row r="172" ht="22.5" customHeight="1">
      <c r="A172" s="111" t="s">
        <v>28</v>
      </c>
      <c r="B172" s="112">
        <v>46059.0</v>
      </c>
      <c r="C172" s="111">
        <v>357.5</v>
      </c>
      <c r="D172" s="111" t="s">
        <v>116</v>
      </c>
      <c r="E172" s="34">
        <v>83.25</v>
      </c>
      <c r="F172" s="34">
        <v>83.95</v>
      </c>
      <c r="G172" s="34">
        <v>84.65</v>
      </c>
      <c r="H172" s="113">
        <v>0.6229</v>
      </c>
      <c r="I172" s="34">
        <v>0.9771</v>
      </c>
      <c r="J172" s="34">
        <v>0.0</v>
      </c>
      <c r="K172" s="34">
        <v>0.0</v>
      </c>
      <c r="L172" s="113">
        <v>0.1843</v>
      </c>
    </row>
    <row r="173" ht="22.5" customHeight="1">
      <c r="A173" s="111" t="s">
        <v>28</v>
      </c>
      <c r="B173" s="112">
        <v>46059.0</v>
      </c>
      <c r="C173" s="111">
        <v>360.0</v>
      </c>
      <c r="D173" s="111" t="s">
        <v>116</v>
      </c>
      <c r="E173" s="34">
        <v>80.85</v>
      </c>
      <c r="F173" s="34">
        <v>81.82</v>
      </c>
      <c r="G173" s="34">
        <v>82.8</v>
      </c>
      <c r="H173" s="113">
        <v>0.6776000000000001</v>
      </c>
      <c r="I173" s="34">
        <v>0.963</v>
      </c>
      <c r="J173" s="34">
        <v>2.0</v>
      </c>
      <c r="K173" s="34">
        <v>53.0</v>
      </c>
      <c r="L173" s="113">
        <v>0.17859999999999998</v>
      </c>
    </row>
    <row r="174" ht="22.5" customHeight="1">
      <c r="A174" s="111" t="s">
        <v>28</v>
      </c>
      <c r="B174" s="112">
        <v>46059.0</v>
      </c>
      <c r="C174" s="111">
        <v>362.5</v>
      </c>
      <c r="D174" s="111" t="s">
        <v>116</v>
      </c>
      <c r="E174" s="34">
        <v>78.45</v>
      </c>
      <c r="F174" s="34">
        <v>79.38</v>
      </c>
      <c r="G174" s="34">
        <v>80.3</v>
      </c>
      <c r="H174" s="113">
        <v>0.665</v>
      </c>
      <c r="I174" s="34">
        <v>0.9606</v>
      </c>
      <c r="J174" s="34">
        <v>0.0</v>
      </c>
      <c r="K174" s="34">
        <v>3.0</v>
      </c>
      <c r="L174" s="113">
        <v>0.1729</v>
      </c>
    </row>
    <row r="175" ht="22.5" customHeight="1">
      <c r="A175" s="111" t="s">
        <v>28</v>
      </c>
      <c r="B175" s="112">
        <v>46059.0</v>
      </c>
      <c r="C175" s="111">
        <v>365.0</v>
      </c>
      <c r="D175" s="111" t="s">
        <v>116</v>
      </c>
      <c r="E175" s="34">
        <v>76.1</v>
      </c>
      <c r="F175" s="34">
        <v>76.8</v>
      </c>
      <c r="G175" s="34">
        <v>77.5</v>
      </c>
      <c r="H175" s="113">
        <v>0.6338</v>
      </c>
      <c r="I175" s="34">
        <v>0.9622</v>
      </c>
      <c r="J175" s="34">
        <v>2.0</v>
      </c>
      <c r="K175" s="34">
        <v>10.0</v>
      </c>
      <c r="L175" s="113">
        <v>0.1672</v>
      </c>
    </row>
    <row r="176" ht="22.5" customHeight="1">
      <c r="A176" s="111" t="s">
        <v>28</v>
      </c>
      <c r="B176" s="112">
        <v>46059.0</v>
      </c>
      <c r="C176" s="111">
        <v>367.5</v>
      </c>
      <c r="D176" s="111" t="s">
        <v>116</v>
      </c>
      <c r="E176" s="34">
        <v>73.75</v>
      </c>
      <c r="F176" s="34">
        <v>74.53</v>
      </c>
      <c r="G176" s="34">
        <v>75.3</v>
      </c>
      <c r="H176" s="113">
        <v>0.6469</v>
      </c>
      <c r="I176" s="34">
        <v>0.9537</v>
      </c>
      <c r="J176" s="34">
        <v>0.0</v>
      </c>
      <c r="K176" s="34">
        <v>1.0</v>
      </c>
      <c r="L176" s="113">
        <v>0.16149999999999998</v>
      </c>
    </row>
    <row r="177" ht="22.5" customHeight="1">
      <c r="A177" s="111" t="s">
        <v>28</v>
      </c>
      <c r="B177" s="112">
        <v>46059.0</v>
      </c>
      <c r="C177" s="111">
        <v>370.0</v>
      </c>
      <c r="D177" s="111" t="s">
        <v>116</v>
      </c>
      <c r="E177" s="34">
        <v>71.4</v>
      </c>
      <c r="F177" s="34">
        <v>72.15</v>
      </c>
      <c r="G177" s="34">
        <v>72.9</v>
      </c>
      <c r="H177" s="113">
        <v>0.643</v>
      </c>
      <c r="I177" s="34">
        <v>0.9485</v>
      </c>
      <c r="J177" s="34">
        <v>0.0</v>
      </c>
      <c r="K177" s="34">
        <v>95.0</v>
      </c>
      <c r="L177" s="113">
        <v>0.1558</v>
      </c>
    </row>
    <row r="178" ht="22.5" customHeight="1">
      <c r="A178" s="111" t="s">
        <v>28</v>
      </c>
      <c r="B178" s="112">
        <v>46059.0</v>
      </c>
      <c r="C178" s="111">
        <v>372.5</v>
      </c>
      <c r="D178" s="111" t="s">
        <v>116</v>
      </c>
      <c r="E178" s="34">
        <v>69.05</v>
      </c>
      <c r="F178" s="34">
        <v>69.63</v>
      </c>
      <c r="G178" s="34">
        <v>70.2</v>
      </c>
      <c r="H178" s="113">
        <v>0.6197</v>
      </c>
      <c r="I178" s="34">
        <v>0.948</v>
      </c>
      <c r="J178" s="34">
        <v>0.0</v>
      </c>
      <c r="K178" s="34">
        <v>2.0</v>
      </c>
      <c r="L178" s="113">
        <v>0.1501</v>
      </c>
    </row>
    <row r="179" ht="22.5" customHeight="1">
      <c r="A179" s="111" t="s">
        <v>28</v>
      </c>
      <c r="B179" s="112">
        <v>46059.0</v>
      </c>
      <c r="C179" s="111">
        <v>375.0</v>
      </c>
      <c r="D179" s="111" t="s">
        <v>116</v>
      </c>
      <c r="E179" s="34">
        <v>66.7</v>
      </c>
      <c r="F179" s="34">
        <v>67.38</v>
      </c>
      <c r="G179" s="34">
        <v>68.05</v>
      </c>
      <c r="H179" s="113">
        <v>0.628</v>
      </c>
      <c r="I179" s="34">
        <v>0.9387</v>
      </c>
      <c r="J179" s="34">
        <v>0.0</v>
      </c>
      <c r="K179" s="34">
        <v>210.0</v>
      </c>
      <c r="L179" s="113">
        <v>0.1444</v>
      </c>
    </row>
    <row r="180" ht="22.5" customHeight="1">
      <c r="A180" s="111" t="s">
        <v>28</v>
      </c>
      <c r="B180" s="112">
        <v>46059.0</v>
      </c>
      <c r="C180" s="111">
        <v>377.5</v>
      </c>
      <c r="D180" s="111" t="s">
        <v>116</v>
      </c>
      <c r="E180" s="34">
        <v>64.3</v>
      </c>
      <c r="F180" s="34">
        <v>65.0</v>
      </c>
      <c r="G180" s="34">
        <v>65.7</v>
      </c>
      <c r="H180" s="113">
        <v>0.6203</v>
      </c>
      <c r="I180" s="34">
        <v>0.9332</v>
      </c>
      <c r="J180" s="34">
        <v>0.0</v>
      </c>
      <c r="K180" s="34">
        <v>0.0</v>
      </c>
      <c r="L180" s="113">
        <v>0.1387</v>
      </c>
    </row>
    <row r="181" ht="22.5" customHeight="1">
      <c r="A181" s="111" t="s">
        <v>28</v>
      </c>
      <c r="B181" s="112">
        <v>46059.0</v>
      </c>
      <c r="C181" s="111">
        <v>380.0</v>
      </c>
      <c r="D181" s="111" t="s">
        <v>116</v>
      </c>
      <c r="E181" s="34">
        <v>61.95</v>
      </c>
      <c r="F181" s="34">
        <v>62.65</v>
      </c>
      <c r="G181" s="34">
        <v>63.35</v>
      </c>
      <c r="H181" s="113">
        <v>0.6138</v>
      </c>
      <c r="I181" s="34">
        <v>0.9269</v>
      </c>
      <c r="J181" s="34">
        <v>5.0</v>
      </c>
      <c r="K181" s="34">
        <v>56.0</v>
      </c>
      <c r="L181" s="113">
        <v>0.133</v>
      </c>
    </row>
    <row r="182" ht="22.5" customHeight="1">
      <c r="A182" s="111" t="s">
        <v>28</v>
      </c>
      <c r="B182" s="112">
        <v>46059.0</v>
      </c>
      <c r="C182" s="111">
        <v>382.5</v>
      </c>
      <c r="D182" s="111" t="s">
        <v>116</v>
      </c>
      <c r="E182" s="34">
        <v>59.6</v>
      </c>
      <c r="F182" s="34">
        <v>60.3</v>
      </c>
      <c r="G182" s="34">
        <v>61.0</v>
      </c>
      <c r="H182" s="113">
        <v>0.6062</v>
      </c>
      <c r="I182" s="34">
        <v>0.9204</v>
      </c>
      <c r="J182" s="34">
        <v>0.0</v>
      </c>
      <c r="K182" s="34">
        <v>0.0</v>
      </c>
      <c r="L182" s="113">
        <v>0.1273</v>
      </c>
    </row>
    <row r="183" ht="22.5" customHeight="1">
      <c r="A183" s="111" t="s">
        <v>28</v>
      </c>
      <c r="B183" s="112">
        <v>46059.0</v>
      </c>
      <c r="C183" s="111">
        <v>385.0</v>
      </c>
      <c r="D183" s="111" t="s">
        <v>116</v>
      </c>
      <c r="E183" s="34">
        <v>57.3</v>
      </c>
      <c r="F183" s="34">
        <v>58.0</v>
      </c>
      <c r="G183" s="34">
        <v>58.7</v>
      </c>
      <c r="H183" s="113">
        <v>0.6015</v>
      </c>
      <c r="I183" s="34">
        <v>0.9124</v>
      </c>
      <c r="J183" s="34">
        <v>6.0</v>
      </c>
      <c r="K183" s="34">
        <v>43.0</v>
      </c>
      <c r="L183" s="113">
        <v>0.1216</v>
      </c>
    </row>
    <row r="184" ht="22.5" customHeight="1">
      <c r="A184" s="111" t="s">
        <v>28</v>
      </c>
      <c r="B184" s="112">
        <v>46059.0</v>
      </c>
      <c r="C184" s="111">
        <v>387.5</v>
      </c>
      <c r="D184" s="111" t="s">
        <v>116</v>
      </c>
      <c r="E184" s="34">
        <v>55.0</v>
      </c>
      <c r="F184" s="34">
        <v>55.7</v>
      </c>
      <c r="G184" s="34">
        <v>56.4</v>
      </c>
      <c r="H184" s="113">
        <v>0.5954</v>
      </c>
      <c r="I184" s="34">
        <v>0.9042</v>
      </c>
      <c r="J184" s="34">
        <v>1.0</v>
      </c>
      <c r="K184" s="34">
        <v>2.0</v>
      </c>
      <c r="L184" s="113">
        <v>0.1159</v>
      </c>
    </row>
    <row r="185" ht="22.5" customHeight="1">
      <c r="A185" s="111" t="s">
        <v>28</v>
      </c>
      <c r="B185" s="112">
        <v>46059.0</v>
      </c>
      <c r="C185" s="111">
        <v>390.0</v>
      </c>
      <c r="D185" s="111" t="s">
        <v>116</v>
      </c>
      <c r="E185" s="34">
        <v>52.95</v>
      </c>
      <c r="F185" s="34">
        <v>53.55</v>
      </c>
      <c r="G185" s="34">
        <v>54.15</v>
      </c>
      <c r="H185" s="113">
        <v>0.5986</v>
      </c>
      <c r="I185" s="34">
        <v>0.892</v>
      </c>
      <c r="J185" s="34">
        <v>11.0</v>
      </c>
      <c r="K185" s="34">
        <v>157.0</v>
      </c>
      <c r="L185" s="113">
        <v>0.11019999999999999</v>
      </c>
    </row>
    <row r="186" ht="22.5" customHeight="1">
      <c r="A186" s="111" t="s">
        <v>28</v>
      </c>
      <c r="B186" s="112">
        <v>46059.0</v>
      </c>
      <c r="C186" s="111">
        <v>392.5</v>
      </c>
      <c r="D186" s="111" t="s">
        <v>116</v>
      </c>
      <c r="E186" s="34">
        <v>50.6</v>
      </c>
      <c r="F186" s="34">
        <v>51.2</v>
      </c>
      <c r="G186" s="34">
        <v>51.8</v>
      </c>
      <c r="H186" s="113">
        <v>0.5509000000000001</v>
      </c>
      <c r="I186" s="34">
        <v>0.8978</v>
      </c>
      <c r="J186" s="34">
        <v>9.0</v>
      </c>
      <c r="K186" s="34">
        <v>0.0</v>
      </c>
      <c r="L186" s="113">
        <v>0.1045</v>
      </c>
    </row>
    <row r="187" ht="22.5" customHeight="1">
      <c r="A187" s="111" t="s">
        <v>28</v>
      </c>
      <c r="B187" s="112">
        <v>46059.0</v>
      </c>
      <c r="C187" s="111">
        <v>395.0</v>
      </c>
      <c r="D187" s="111" t="s">
        <v>116</v>
      </c>
      <c r="E187" s="34">
        <v>48.75</v>
      </c>
      <c r="F187" s="34">
        <v>48.93</v>
      </c>
      <c r="G187" s="34">
        <v>49.1</v>
      </c>
      <c r="H187" s="113">
        <v>0.5774</v>
      </c>
      <c r="I187" s="34">
        <v>0.8753</v>
      </c>
      <c r="J187" s="34">
        <v>6.0</v>
      </c>
      <c r="K187" s="34">
        <v>328.0</v>
      </c>
      <c r="L187" s="113">
        <v>0.09880000000000001</v>
      </c>
    </row>
    <row r="188" ht="22.5" customHeight="1">
      <c r="A188" s="111" t="s">
        <v>28</v>
      </c>
      <c r="B188" s="112">
        <v>46059.0</v>
      </c>
      <c r="C188" s="111">
        <v>397.5</v>
      </c>
      <c r="D188" s="111" t="s">
        <v>116</v>
      </c>
      <c r="E188" s="34">
        <v>46.15</v>
      </c>
      <c r="F188" s="34">
        <v>46.63</v>
      </c>
      <c r="G188" s="34">
        <v>47.1</v>
      </c>
      <c r="H188" s="113">
        <v>0.5661999999999999</v>
      </c>
      <c r="I188" s="34">
        <v>0.8662</v>
      </c>
      <c r="J188" s="34">
        <v>0.0</v>
      </c>
      <c r="K188" s="34">
        <v>0.0</v>
      </c>
      <c r="L188" s="113">
        <v>0.0931</v>
      </c>
    </row>
    <row r="189" ht="22.5" customHeight="1">
      <c r="A189" s="111" t="s">
        <v>28</v>
      </c>
      <c r="B189" s="112">
        <v>46059.0</v>
      </c>
      <c r="C189" s="111">
        <v>400.0</v>
      </c>
      <c r="D189" s="111" t="s">
        <v>116</v>
      </c>
      <c r="E189" s="34">
        <v>44.55</v>
      </c>
      <c r="F189" s="34">
        <v>44.65</v>
      </c>
      <c r="G189" s="34">
        <v>44.75</v>
      </c>
      <c r="H189" s="113">
        <v>0.5726</v>
      </c>
      <c r="I189" s="34">
        <v>0.8495</v>
      </c>
      <c r="J189" s="34">
        <v>11.0</v>
      </c>
      <c r="K189" s="34">
        <v>556.0</v>
      </c>
      <c r="L189" s="113">
        <v>0.0874</v>
      </c>
    </row>
    <row r="190" ht="22.5" customHeight="1">
      <c r="A190" s="111" t="s">
        <v>28</v>
      </c>
      <c r="B190" s="112">
        <v>46059.0</v>
      </c>
      <c r="C190" s="111">
        <v>402.5</v>
      </c>
      <c r="D190" s="111" t="s">
        <v>116</v>
      </c>
      <c r="E190" s="34">
        <v>42.3</v>
      </c>
      <c r="F190" s="34">
        <v>42.78</v>
      </c>
      <c r="G190" s="34">
        <v>43.25</v>
      </c>
      <c r="H190" s="113">
        <v>0.5811999999999999</v>
      </c>
      <c r="I190" s="34">
        <v>0.8311</v>
      </c>
      <c r="J190" s="34">
        <v>0.0</v>
      </c>
      <c r="K190" s="34">
        <v>13.0</v>
      </c>
      <c r="L190" s="113">
        <v>0.0817</v>
      </c>
    </row>
    <row r="191" ht="22.5" customHeight="1">
      <c r="A191" s="111" t="s">
        <v>28</v>
      </c>
      <c r="B191" s="112">
        <v>46059.0</v>
      </c>
      <c r="C191" s="111">
        <v>405.0</v>
      </c>
      <c r="D191" s="111" t="s">
        <v>116</v>
      </c>
      <c r="E191" s="34">
        <v>40.0</v>
      </c>
      <c r="F191" s="34">
        <v>40.3</v>
      </c>
      <c r="G191" s="34">
        <v>40.6</v>
      </c>
      <c r="H191" s="113">
        <v>0.5569</v>
      </c>
      <c r="I191" s="34">
        <v>0.8244</v>
      </c>
      <c r="J191" s="34">
        <v>10.0</v>
      </c>
      <c r="K191" s="34">
        <v>193.0</v>
      </c>
      <c r="L191" s="113">
        <v>0.076</v>
      </c>
    </row>
    <row r="192" ht="22.5" customHeight="1">
      <c r="A192" s="111" t="s">
        <v>28</v>
      </c>
      <c r="B192" s="112">
        <v>46059.0</v>
      </c>
      <c r="C192" s="111">
        <v>407.5</v>
      </c>
      <c r="D192" s="111" t="s">
        <v>116</v>
      </c>
      <c r="E192" s="34">
        <v>38.4</v>
      </c>
      <c r="F192" s="34">
        <v>38.5</v>
      </c>
      <c r="G192" s="34">
        <v>38.6</v>
      </c>
      <c r="H192" s="113">
        <v>0.565</v>
      </c>
      <c r="I192" s="34">
        <v>0.8044</v>
      </c>
      <c r="J192" s="34">
        <v>11.0</v>
      </c>
      <c r="K192" s="34">
        <v>5.0</v>
      </c>
      <c r="L192" s="113">
        <v>0.0703</v>
      </c>
    </row>
    <row r="193" ht="22.5" customHeight="1">
      <c r="A193" s="111" t="s">
        <v>28</v>
      </c>
      <c r="B193" s="112">
        <v>46059.0</v>
      </c>
      <c r="C193" s="111">
        <v>410.0</v>
      </c>
      <c r="D193" s="111" t="s">
        <v>116</v>
      </c>
      <c r="E193" s="34">
        <v>36.45</v>
      </c>
      <c r="F193" s="34">
        <v>36.53</v>
      </c>
      <c r="G193" s="34">
        <v>36.6</v>
      </c>
      <c r="H193" s="113">
        <v>0.5623</v>
      </c>
      <c r="I193" s="34">
        <v>0.7877</v>
      </c>
      <c r="J193" s="34">
        <v>236.0</v>
      </c>
      <c r="K193" s="34">
        <v>324.0</v>
      </c>
      <c r="L193" s="113">
        <v>0.0646</v>
      </c>
    </row>
    <row r="194" ht="22.5" customHeight="1">
      <c r="A194" s="111" t="s">
        <v>28</v>
      </c>
      <c r="B194" s="112">
        <v>46059.0</v>
      </c>
      <c r="C194" s="111">
        <v>412.5</v>
      </c>
      <c r="D194" s="111" t="s">
        <v>116</v>
      </c>
      <c r="E194" s="34">
        <v>34.5</v>
      </c>
      <c r="F194" s="34">
        <v>34.6</v>
      </c>
      <c r="G194" s="34">
        <v>34.7</v>
      </c>
      <c r="H194" s="113">
        <v>0.5599000000000001</v>
      </c>
      <c r="I194" s="34">
        <v>0.77</v>
      </c>
      <c r="J194" s="34">
        <v>43.0</v>
      </c>
      <c r="K194" s="34">
        <v>111.0</v>
      </c>
      <c r="L194" s="113">
        <v>0.058899999999999994</v>
      </c>
    </row>
    <row r="195" ht="22.5" customHeight="1">
      <c r="A195" s="111" t="s">
        <v>28</v>
      </c>
      <c r="B195" s="112">
        <v>46059.0</v>
      </c>
      <c r="C195" s="111">
        <v>415.0</v>
      </c>
      <c r="D195" s="111" t="s">
        <v>116</v>
      </c>
      <c r="E195" s="34">
        <v>32.65</v>
      </c>
      <c r="F195" s="34">
        <v>32.72</v>
      </c>
      <c r="G195" s="34">
        <v>32.8</v>
      </c>
      <c r="H195" s="113">
        <v>0.5577000000000001</v>
      </c>
      <c r="I195" s="34">
        <v>0.7514</v>
      </c>
      <c r="J195" s="34">
        <v>17.0</v>
      </c>
      <c r="K195" s="34">
        <v>233.0</v>
      </c>
      <c r="L195" s="113">
        <v>0.053200000000000004</v>
      </c>
    </row>
    <row r="196" ht="22.5" customHeight="1">
      <c r="A196" s="111" t="s">
        <v>28</v>
      </c>
      <c r="B196" s="112">
        <v>46059.0</v>
      </c>
      <c r="C196" s="111">
        <v>417.5</v>
      </c>
      <c r="D196" s="111" t="s">
        <v>116</v>
      </c>
      <c r="E196" s="34">
        <v>30.85</v>
      </c>
      <c r="F196" s="34">
        <v>30.93</v>
      </c>
      <c r="G196" s="34">
        <v>31.0</v>
      </c>
      <c r="H196" s="113">
        <v>0.5575</v>
      </c>
      <c r="I196" s="34">
        <v>0.7314</v>
      </c>
      <c r="J196" s="34">
        <v>43.0</v>
      </c>
      <c r="K196" s="34">
        <v>135.0</v>
      </c>
      <c r="L196" s="113">
        <v>0.0475</v>
      </c>
    </row>
    <row r="197" ht="22.5" customHeight="1">
      <c r="A197" s="111" t="s">
        <v>28</v>
      </c>
      <c r="B197" s="112">
        <v>46059.0</v>
      </c>
      <c r="C197" s="111">
        <v>420.0</v>
      </c>
      <c r="D197" s="111" t="s">
        <v>116</v>
      </c>
      <c r="E197" s="34">
        <v>29.1</v>
      </c>
      <c r="F197" s="34">
        <v>29.18</v>
      </c>
      <c r="G197" s="34">
        <v>29.25</v>
      </c>
      <c r="H197" s="113">
        <v>0.5563</v>
      </c>
      <c r="I197" s="34">
        <v>0.711</v>
      </c>
      <c r="J197" s="34">
        <v>135.0</v>
      </c>
      <c r="K197" s="34">
        <v>702.0</v>
      </c>
      <c r="L197" s="113">
        <v>0.0418</v>
      </c>
    </row>
    <row r="198" ht="22.5" customHeight="1">
      <c r="A198" s="111" t="s">
        <v>28</v>
      </c>
      <c r="B198" s="112">
        <v>46059.0</v>
      </c>
      <c r="C198" s="111">
        <v>422.5</v>
      </c>
      <c r="D198" s="111" t="s">
        <v>116</v>
      </c>
      <c r="E198" s="34">
        <v>27.4</v>
      </c>
      <c r="F198" s="34">
        <v>27.48</v>
      </c>
      <c r="G198" s="34">
        <v>27.55</v>
      </c>
      <c r="H198" s="113">
        <v>0.5539999999999999</v>
      </c>
      <c r="I198" s="34">
        <v>0.6903</v>
      </c>
      <c r="J198" s="34">
        <v>67.0</v>
      </c>
      <c r="K198" s="34">
        <v>372.0</v>
      </c>
      <c r="L198" s="113">
        <v>0.036000000000000004</v>
      </c>
    </row>
    <row r="199" ht="22.5" customHeight="1">
      <c r="A199" s="111" t="s">
        <v>28</v>
      </c>
      <c r="B199" s="112">
        <v>46059.0</v>
      </c>
      <c r="C199" s="111">
        <v>425.0</v>
      </c>
      <c r="D199" s="111" t="s">
        <v>116</v>
      </c>
      <c r="E199" s="34">
        <v>25.75</v>
      </c>
      <c r="F199" s="34">
        <v>25.83</v>
      </c>
      <c r="G199" s="34">
        <v>25.9</v>
      </c>
      <c r="H199" s="113">
        <v>0.5525</v>
      </c>
      <c r="I199" s="34">
        <v>0.6686</v>
      </c>
      <c r="J199" s="34">
        <v>535.0</v>
      </c>
      <c r="K199" s="34">
        <v>1207.0</v>
      </c>
      <c r="L199" s="113">
        <v>0.030299999999999997</v>
      </c>
    </row>
    <row r="200" ht="22.5" customHeight="1">
      <c r="A200" s="111" t="s">
        <v>28</v>
      </c>
      <c r="B200" s="112">
        <v>46059.0</v>
      </c>
      <c r="C200" s="111">
        <v>427.5</v>
      </c>
      <c r="D200" s="111" t="s">
        <v>116</v>
      </c>
      <c r="E200" s="34">
        <v>24.15</v>
      </c>
      <c r="F200" s="34">
        <v>24.25</v>
      </c>
      <c r="G200" s="34">
        <v>24.35</v>
      </c>
      <c r="H200" s="113">
        <v>0.5517</v>
      </c>
      <c r="I200" s="34">
        <v>0.6463</v>
      </c>
      <c r="J200" s="34">
        <v>61.0</v>
      </c>
      <c r="K200" s="34">
        <v>359.0</v>
      </c>
      <c r="L200" s="113">
        <v>0.0246</v>
      </c>
    </row>
    <row r="201" ht="22.5" customHeight="1">
      <c r="A201" s="111" t="s">
        <v>28</v>
      </c>
      <c r="B201" s="112">
        <v>46059.0</v>
      </c>
      <c r="C201" s="111">
        <v>430.0</v>
      </c>
      <c r="D201" s="111" t="s">
        <v>116</v>
      </c>
      <c r="E201" s="34">
        <v>22.65</v>
      </c>
      <c r="F201" s="34">
        <v>22.73</v>
      </c>
      <c r="G201" s="34">
        <v>22.8</v>
      </c>
      <c r="H201" s="113">
        <v>0.5515</v>
      </c>
      <c r="I201" s="34">
        <v>0.6235</v>
      </c>
      <c r="J201" s="34">
        <v>901.0</v>
      </c>
      <c r="K201" s="34">
        <v>2023.0</v>
      </c>
      <c r="L201" s="113">
        <v>0.0189</v>
      </c>
    </row>
    <row r="202" ht="22.5" customHeight="1">
      <c r="A202" s="111" t="s">
        <v>28</v>
      </c>
      <c r="B202" s="112">
        <v>46059.0</v>
      </c>
      <c r="C202" s="111">
        <v>432.5</v>
      </c>
      <c r="D202" s="111" t="s">
        <v>116</v>
      </c>
      <c r="E202" s="34">
        <v>21.2</v>
      </c>
      <c r="F202" s="34">
        <v>21.28</v>
      </c>
      <c r="G202" s="34">
        <v>21.35</v>
      </c>
      <c r="H202" s="113">
        <v>0.5493</v>
      </c>
      <c r="I202" s="34">
        <v>0.6005</v>
      </c>
      <c r="J202" s="34">
        <v>152.0</v>
      </c>
      <c r="K202" s="34">
        <v>359.0</v>
      </c>
      <c r="L202" s="113">
        <v>0.0132</v>
      </c>
    </row>
    <row r="203" ht="22.5" customHeight="1">
      <c r="A203" s="111" t="s">
        <v>28</v>
      </c>
      <c r="B203" s="112">
        <v>46059.0</v>
      </c>
      <c r="C203" s="111">
        <v>435.0</v>
      </c>
      <c r="D203" s="111" t="s">
        <v>116</v>
      </c>
      <c r="E203" s="34">
        <v>19.8</v>
      </c>
      <c r="F203" s="34">
        <v>19.88</v>
      </c>
      <c r="G203" s="34">
        <v>19.95</v>
      </c>
      <c r="H203" s="113">
        <v>0.5493</v>
      </c>
      <c r="I203" s="34">
        <v>0.577</v>
      </c>
      <c r="J203" s="34">
        <v>319.0</v>
      </c>
      <c r="K203" s="34">
        <v>1315.0</v>
      </c>
      <c r="L203" s="113">
        <v>0.0075</v>
      </c>
    </row>
    <row r="204" ht="22.5" customHeight="1">
      <c r="A204" s="111" t="s">
        <v>28</v>
      </c>
      <c r="B204" s="112">
        <v>46059.0</v>
      </c>
      <c r="C204" s="111">
        <v>437.5</v>
      </c>
      <c r="D204" s="111" t="s">
        <v>116</v>
      </c>
      <c r="E204" s="34">
        <v>18.5</v>
      </c>
      <c r="F204" s="34">
        <v>18.55</v>
      </c>
      <c r="G204" s="34">
        <v>18.6</v>
      </c>
      <c r="H204" s="113">
        <v>0.5490999999999999</v>
      </c>
      <c r="I204" s="34">
        <v>0.5533</v>
      </c>
      <c r="J204" s="34">
        <v>245.0</v>
      </c>
      <c r="K204" s="34">
        <v>332.0</v>
      </c>
      <c r="L204" s="113">
        <v>0.0018</v>
      </c>
    </row>
    <row r="205" ht="22.5" customHeight="1">
      <c r="A205" s="111" t="s">
        <v>28</v>
      </c>
      <c r="B205" s="112">
        <v>46059.0</v>
      </c>
      <c r="C205" s="111">
        <v>440.0</v>
      </c>
      <c r="D205" s="111" t="s">
        <v>116</v>
      </c>
      <c r="E205" s="34">
        <v>17.2</v>
      </c>
      <c r="F205" s="34">
        <v>17.28</v>
      </c>
      <c r="G205" s="34">
        <v>17.35</v>
      </c>
      <c r="H205" s="113">
        <v>0.5477000000000001</v>
      </c>
      <c r="I205" s="34">
        <v>0.5296</v>
      </c>
      <c r="J205" s="34">
        <v>1098.0</v>
      </c>
      <c r="K205" s="34">
        <v>2264.0</v>
      </c>
      <c r="L205" s="113">
        <v>-0.0039000000000000003</v>
      </c>
    </row>
    <row r="206" ht="22.5" customHeight="1">
      <c r="A206" s="111" t="s">
        <v>28</v>
      </c>
      <c r="B206" s="112">
        <v>46059.0</v>
      </c>
      <c r="C206" s="111">
        <v>442.5</v>
      </c>
      <c r="D206" s="111" t="s">
        <v>116</v>
      </c>
      <c r="E206" s="34">
        <v>16.0</v>
      </c>
      <c r="F206" s="34">
        <v>16.08</v>
      </c>
      <c r="G206" s="34">
        <v>16.15</v>
      </c>
      <c r="H206" s="113">
        <v>0.5484</v>
      </c>
      <c r="I206" s="34">
        <v>0.5059</v>
      </c>
      <c r="J206" s="34">
        <v>308.0</v>
      </c>
      <c r="K206" s="34">
        <v>361.0</v>
      </c>
      <c r="L206" s="113">
        <v>-0.0096</v>
      </c>
    </row>
    <row r="207" ht="22.5" customHeight="1">
      <c r="A207" s="111" t="s">
        <v>28</v>
      </c>
      <c r="B207" s="112">
        <v>46059.0</v>
      </c>
      <c r="C207" s="111">
        <v>445.0</v>
      </c>
      <c r="D207" s="111" t="s">
        <v>116</v>
      </c>
      <c r="E207" s="34">
        <v>14.85</v>
      </c>
      <c r="F207" s="34">
        <v>14.93</v>
      </c>
      <c r="G207" s="34">
        <v>15.0</v>
      </c>
      <c r="H207" s="113">
        <v>0.5463</v>
      </c>
      <c r="I207" s="34">
        <v>0.4821</v>
      </c>
      <c r="J207" s="34">
        <v>466.0</v>
      </c>
      <c r="K207" s="34">
        <v>2203.0</v>
      </c>
      <c r="L207" s="113">
        <v>-0.015300000000000001</v>
      </c>
    </row>
    <row r="208" ht="22.5" customHeight="1">
      <c r="A208" s="111" t="s">
        <v>28</v>
      </c>
      <c r="B208" s="112">
        <v>46059.0</v>
      </c>
      <c r="C208" s="111">
        <v>447.5</v>
      </c>
      <c r="D208" s="111" t="s">
        <v>116</v>
      </c>
      <c r="E208" s="34">
        <v>13.75</v>
      </c>
      <c r="F208" s="34">
        <v>13.83</v>
      </c>
      <c r="G208" s="34">
        <v>13.9</v>
      </c>
      <c r="H208" s="113">
        <v>0.5466</v>
      </c>
      <c r="I208" s="34">
        <v>0.4586</v>
      </c>
      <c r="J208" s="34">
        <v>511.0</v>
      </c>
      <c r="K208" s="34">
        <v>544.0</v>
      </c>
      <c r="L208" s="113">
        <v>-0.021</v>
      </c>
    </row>
    <row r="209" ht="22.5" customHeight="1">
      <c r="A209" s="111" t="s">
        <v>28</v>
      </c>
      <c r="B209" s="112">
        <v>46059.0</v>
      </c>
      <c r="C209" s="111">
        <v>450.0</v>
      </c>
      <c r="D209" s="111" t="s">
        <v>116</v>
      </c>
      <c r="E209" s="34">
        <v>12.75</v>
      </c>
      <c r="F209" s="34">
        <v>12.8</v>
      </c>
      <c r="G209" s="34">
        <v>12.85</v>
      </c>
      <c r="H209" s="113">
        <v>0.5474</v>
      </c>
      <c r="I209" s="34">
        <v>0.4355</v>
      </c>
      <c r="J209" s="34">
        <v>904.0</v>
      </c>
      <c r="K209" s="34">
        <v>3167.0</v>
      </c>
      <c r="L209" s="113">
        <v>-0.026699999999999998</v>
      </c>
    </row>
    <row r="210" ht="22.5" customHeight="1">
      <c r="A210" s="111" t="s">
        <v>28</v>
      </c>
      <c r="B210" s="112">
        <v>46059.0</v>
      </c>
      <c r="C210" s="111">
        <v>452.5</v>
      </c>
      <c r="D210" s="111" t="s">
        <v>116</v>
      </c>
      <c r="E210" s="111">
        <v>11.8</v>
      </c>
      <c r="F210" s="114">
        <v>11.85</v>
      </c>
      <c r="G210" s="34">
        <v>11.9</v>
      </c>
      <c r="H210" s="113">
        <v>0.5479999999999999</v>
      </c>
      <c r="I210" s="34">
        <v>0.4128</v>
      </c>
      <c r="J210" s="34">
        <v>213.0</v>
      </c>
      <c r="K210" s="34">
        <v>483.0</v>
      </c>
      <c r="L210" s="113">
        <v>-0.032400000000000005</v>
      </c>
    </row>
    <row r="211" ht="22.5" customHeight="1">
      <c r="A211" s="111" t="s">
        <v>28</v>
      </c>
      <c r="B211" s="112">
        <v>46059.0</v>
      </c>
      <c r="C211" s="111">
        <v>455.0</v>
      </c>
      <c r="D211" s="111" t="s">
        <v>116</v>
      </c>
      <c r="E211" s="34">
        <v>10.85</v>
      </c>
      <c r="F211" s="34">
        <v>10.9</v>
      </c>
      <c r="G211" s="34">
        <v>10.95</v>
      </c>
      <c r="H211" s="113">
        <v>0.5484</v>
      </c>
      <c r="I211" s="34">
        <v>0.3905</v>
      </c>
      <c r="J211" s="34">
        <v>387.0</v>
      </c>
      <c r="K211" s="34">
        <v>1462.0</v>
      </c>
      <c r="L211" s="113">
        <v>-0.0381</v>
      </c>
    </row>
    <row r="212" ht="22.5" customHeight="1">
      <c r="A212" s="111" t="s">
        <v>28</v>
      </c>
      <c r="B212" s="112">
        <v>46059.0</v>
      </c>
      <c r="C212" s="111">
        <v>457.5</v>
      </c>
      <c r="D212" s="111" t="s">
        <v>116</v>
      </c>
      <c r="E212" s="34">
        <v>10.0</v>
      </c>
      <c r="F212" s="34">
        <v>10.05</v>
      </c>
      <c r="G212" s="34">
        <v>10.1</v>
      </c>
      <c r="H212" s="113">
        <v>0.547</v>
      </c>
      <c r="I212" s="34">
        <v>0.3682</v>
      </c>
      <c r="J212" s="34">
        <v>80.0</v>
      </c>
      <c r="K212" s="34">
        <v>309.0</v>
      </c>
      <c r="L212" s="113">
        <v>-0.0438</v>
      </c>
    </row>
    <row r="213" ht="22.5" customHeight="1">
      <c r="A213" s="111" t="s">
        <v>28</v>
      </c>
      <c r="B213" s="112">
        <v>46059.0</v>
      </c>
      <c r="C213" s="111">
        <v>460.0</v>
      </c>
      <c r="D213" s="111" t="s">
        <v>116</v>
      </c>
      <c r="E213" s="34">
        <v>9.2</v>
      </c>
      <c r="F213" s="34">
        <v>9.25</v>
      </c>
      <c r="G213" s="34">
        <v>9.3</v>
      </c>
      <c r="H213" s="113">
        <v>0.5472</v>
      </c>
      <c r="I213" s="34">
        <v>0.3469</v>
      </c>
      <c r="J213" s="34">
        <v>444.0</v>
      </c>
      <c r="K213" s="34">
        <v>2351.0</v>
      </c>
      <c r="L213" s="113">
        <v>-0.0495</v>
      </c>
    </row>
    <row r="214" ht="22.5" customHeight="1">
      <c r="A214" s="111" t="s">
        <v>28</v>
      </c>
      <c r="B214" s="112">
        <v>46059.0</v>
      </c>
      <c r="C214" s="111">
        <v>462.5</v>
      </c>
      <c r="D214" s="111" t="s">
        <v>116</v>
      </c>
      <c r="E214" s="34">
        <v>8.45</v>
      </c>
      <c r="F214" s="34">
        <v>8.5</v>
      </c>
      <c r="G214" s="34">
        <v>8.55</v>
      </c>
      <c r="H214" s="113">
        <v>0.5474</v>
      </c>
      <c r="I214" s="34">
        <v>0.3261</v>
      </c>
      <c r="J214" s="34">
        <v>167.0</v>
      </c>
      <c r="K214" s="34">
        <v>330.0</v>
      </c>
      <c r="L214" s="113">
        <v>-0.0552</v>
      </c>
    </row>
    <row r="215" ht="22.5" customHeight="1">
      <c r="A215" s="111" t="s">
        <v>28</v>
      </c>
      <c r="B215" s="112">
        <v>46059.0</v>
      </c>
      <c r="C215" s="111">
        <v>465.0</v>
      </c>
      <c r="D215" s="111" t="s">
        <v>116</v>
      </c>
      <c r="E215" s="34">
        <v>7.75</v>
      </c>
      <c r="F215" s="34">
        <v>7.8</v>
      </c>
      <c r="G215" s="34">
        <v>7.85</v>
      </c>
      <c r="H215" s="113">
        <v>0.5487</v>
      </c>
      <c r="I215" s="34">
        <v>0.3065</v>
      </c>
      <c r="J215" s="34">
        <v>270.0</v>
      </c>
      <c r="K215" s="34">
        <v>1590.0</v>
      </c>
      <c r="L215" s="113">
        <v>-0.060899999999999996</v>
      </c>
    </row>
    <row r="216" ht="22.5" customHeight="1">
      <c r="A216" s="111" t="s">
        <v>28</v>
      </c>
      <c r="B216" s="112">
        <v>46059.0</v>
      </c>
      <c r="C216" s="111">
        <v>467.5</v>
      </c>
      <c r="D216" s="111" t="s">
        <v>116</v>
      </c>
      <c r="E216" s="34">
        <v>7.1</v>
      </c>
      <c r="F216" s="34">
        <v>7.15</v>
      </c>
      <c r="G216" s="34">
        <v>7.2</v>
      </c>
      <c r="H216" s="113">
        <v>0.5479999999999999</v>
      </c>
      <c r="I216" s="34">
        <v>0.2867</v>
      </c>
      <c r="J216" s="34">
        <v>37.0</v>
      </c>
      <c r="K216" s="34">
        <v>167.0</v>
      </c>
      <c r="L216" s="113">
        <v>-0.0666</v>
      </c>
    </row>
    <row r="217" ht="22.5" customHeight="1">
      <c r="A217" s="111" t="s">
        <v>28</v>
      </c>
      <c r="B217" s="112">
        <v>46059.0</v>
      </c>
      <c r="C217" s="111">
        <v>470.0</v>
      </c>
      <c r="D217" s="111" t="s">
        <v>116</v>
      </c>
      <c r="E217" s="34">
        <v>6.5</v>
      </c>
      <c r="F217" s="34">
        <v>6.53</v>
      </c>
      <c r="G217" s="34">
        <v>6.55</v>
      </c>
      <c r="H217" s="113">
        <v>0.5474</v>
      </c>
      <c r="I217" s="34">
        <v>0.2677</v>
      </c>
      <c r="J217" s="34">
        <v>623.0</v>
      </c>
      <c r="K217" s="34">
        <v>2666.0</v>
      </c>
      <c r="L217" s="113">
        <v>-0.0723</v>
      </c>
    </row>
    <row r="218" ht="22.5" customHeight="1">
      <c r="A218" s="111" t="s">
        <v>28</v>
      </c>
      <c r="B218" s="112">
        <v>46059.0</v>
      </c>
      <c r="C218" s="111">
        <v>472.5</v>
      </c>
      <c r="D218" s="111" t="s">
        <v>116</v>
      </c>
      <c r="E218" s="34">
        <v>5.9</v>
      </c>
      <c r="F218" s="34">
        <v>5.95</v>
      </c>
      <c r="G218" s="34">
        <v>6.0</v>
      </c>
      <c r="H218" s="113">
        <v>0.5475</v>
      </c>
      <c r="I218" s="34">
        <v>0.2496</v>
      </c>
      <c r="J218" s="34">
        <v>33.0</v>
      </c>
      <c r="K218" s="34">
        <v>170.0</v>
      </c>
      <c r="L218" s="113">
        <v>-0.078</v>
      </c>
    </row>
    <row r="219" ht="22.5" customHeight="1">
      <c r="A219" s="111" t="s">
        <v>28</v>
      </c>
      <c r="B219" s="112">
        <v>46059.0</v>
      </c>
      <c r="C219" s="111">
        <v>475.0</v>
      </c>
      <c r="D219" s="111" t="s">
        <v>116</v>
      </c>
      <c r="E219" s="34">
        <v>5.4</v>
      </c>
      <c r="F219" s="34">
        <v>5.45</v>
      </c>
      <c r="G219" s="34">
        <v>5.5</v>
      </c>
      <c r="H219" s="113">
        <v>0.5466</v>
      </c>
      <c r="I219" s="34">
        <v>0.2319</v>
      </c>
      <c r="J219" s="34">
        <v>806.0</v>
      </c>
      <c r="K219" s="34">
        <v>1257.0</v>
      </c>
      <c r="L219" s="113">
        <v>-0.0837</v>
      </c>
    </row>
    <row r="220" ht="22.5" customHeight="1">
      <c r="A220" s="111" t="s">
        <v>28</v>
      </c>
      <c r="B220" s="112">
        <v>46059.0</v>
      </c>
      <c r="C220" s="111">
        <v>477.5</v>
      </c>
      <c r="D220" s="111" t="s">
        <v>116</v>
      </c>
      <c r="E220" s="34">
        <v>4.9</v>
      </c>
      <c r="F220" s="34">
        <v>4.95</v>
      </c>
      <c r="G220" s="34">
        <v>5.0</v>
      </c>
      <c r="H220" s="113">
        <v>0.5484</v>
      </c>
      <c r="I220" s="34">
        <v>0.2162</v>
      </c>
      <c r="J220" s="34">
        <v>19.0</v>
      </c>
      <c r="K220" s="34">
        <v>164.0</v>
      </c>
      <c r="L220" s="113">
        <v>-0.0894</v>
      </c>
    </row>
    <row r="221" ht="22.5" customHeight="1">
      <c r="A221" s="111" t="s">
        <v>28</v>
      </c>
      <c r="B221" s="112">
        <v>46059.0</v>
      </c>
      <c r="C221" s="111">
        <v>480.0</v>
      </c>
      <c r="D221" s="111" t="s">
        <v>116</v>
      </c>
      <c r="E221" s="34">
        <v>4.45</v>
      </c>
      <c r="F221" s="34">
        <v>4.5</v>
      </c>
      <c r="G221" s="34">
        <v>4.55</v>
      </c>
      <c r="H221" s="113">
        <v>0.5482</v>
      </c>
      <c r="I221" s="34">
        <v>0.2004</v>
      </c>
      <c r="J221" s="34">
        <v>159.0</v>
      </c>
      <c r="K221" s="34">
        <v>2653.0</v>
      </c>
      <c r="L221" s="113">
        <v>-0.0951</v>
      </c>
    </row>
    <row r="222" ht="22.5" customHeight="1">
      <c r="A222" s="111" t="s">
        <v>28</v>
      </c>
      <c r="B222" s="112">
        <v>46059.0</v>
      </c>
      <c r="C222" s="111">
        <v>482.5</v>
      </c>
      <c r="D222" s="111" t="s">
        <v>116</v>
      </c>
      <c r="E222" s="34">
        <v>4.05</v>
      </c>
      <c r="F222" s="34">
        <v>4.1</v>
      </c>
      <c r="G222" s="34">
        <v>4.15</v>
      </c>
      <c r="H222" s="113">
        <v>0.5472</v>
      </c>
      <c r="I222" s="34">
        <v>0.185</v>
      </c>
      <c r="J222" s="34">
        <v>17.0</v>
      </c>
      <c r="K222" s="34">
        <v>60.0</v>
      </c>
      <c r="L222" s="113">
        <v>-0.1008</v>
      </c>
    </row>
    <row r="223" ht="22.5" customHeight="1">
      <c r="A223" s="111" t="s">
        <v>28</v>
      </c>
      <c r="B223" s="112">
        <v>46059.0</v>
      </c>
      <c r="C223" s="111">
        <v>485.0</v>
      </c>
      <c r="D223" s="111" t="s">
        <v>116</v>
      </c>
      <c r="E223" s="34">
        <v>3.7</v>
      </c>
      <c r="F223" s="34">
        <v>3.73</v>
      </c>
      <c r="G223" s="34">
        <v>3.75</v>
      </c>
      <c r="H223" s="113">
        <v>0.5515</v>
      </c>
      <c r="I223" s="34">
        <v>0.1729</v>
      </c>
      <c r="J223" s="34">
        <v>151.0</v>
      </c>
      <c r="K223" s="34">
        <v>1074.0</v>
      </c>
      <c r="L223" s="113">
        <v>-0.1065</v>
      </c>
    </row>
    <row r="224" ht="22.5" customHeight="1">
      <c r="A224" s="111" t="s">
        <v>28</v>
      </c>
      <c r="B224" s="112">
        <v>46059.0</v>
      </c>
      <c r="C224" s="111">
        <v>487.5</v>
      </c>
      <c r="D224" s="111" t="s">
        <v>116</v>
      </c>
      <c r="E224" s="34">
        <v>3.35</v>
      </c>
      <c r="F224" s="34">
        <v>3.4</v>
      </c>
      <c r="G224" s="34">
        <v>3.45</v>
      </c>
      <c r="H224" s="113">
        <v>0.5519</v>
      </c>
      <c r="I224" s="34">
        <v>0.1597</v>
      </c>
      <c r="J224" s="34">
        <v>13.0</v>
      </c>
      <c r="K224" s="34">
        <v>293.0</v>
      </c>
      <c r="L224" s="113">
        <v>-0.11230000000000001</v>
      </c>
    </row>
    <row r="225" ht="22.5" customHeight="1">
      <c r="A225" s="111" t="s">
        <v>28</v>
      </c>
      <c r="B225" s="112">
        <v>46059.0</v>
      </c>
      <c r="C225" s="111">
        <v>490.0</v>
      </c>
      <c r="D225" s="111" t="s">
        <v>116</v>
      </c>
      <c r="E225" s="34">
        <v>3.05</v>
      </c>
      <c r="F225" s="34">
        <v>3.08</v>
      </c>
      <c r="G225" s="34">
        <v>3.1</v>
      </c>
      <c r="H225" s="113">
        <v>0.5522</v>
      </c>
      <c r="I225" s="34">
        <v>0.1472</v>
      </c>
      <c r="J225" s="34">
        <v>253.0</v>
      </c>
      <c r="K225" s="34">
        <v>2195.0</v>
      </c>
      <c r="L225" s="113">
        <v>-0.11800000000000001</v>
      </c>
    </row>
    <row r="226" ht="22.5" customHeight="1">
      <c r="A226" s="111" t="s">
        <v>28</v>
      </c>
      <c r="B226" s="112">
        <v>46059.0</v>
      </c>
      <c r="C226" s="111">
        <v>492.5</v>
      </c>
      <c r="D226" s="111" t="s">
        <v>116</v>
      </c>
      <c r="E226" s="34">
        <v>2.76</v>
      </c>
      <c r="F226" s="34">
        <v>2.78</v>
      </c>
      <c r="G226" s="34">
        <v>2.8</v>
      </c>
      <c r="H226" s="113">
        <v>0.552</v>
      </c>
      <c r="I226" s="34">
        <v>0.1352</v>
      </c>
      <c r="J226" s="34">
        <v>6.0</v>
      </c>
      <c r="K226" s="34">
        <v>98.0</v>
      </c>
      <c r="L226" s="113">
        <v>-0.12369999999999999</v>
      </c>
    </row>
    <row r="227" ht="22.5" customHeight="1">
      <c r="A227" s="111" t="s">
        <v>28</v>
      </c>
      <c r="B227" s="112">
        <v>46059.0</v>
      </c>
      <c r="C227" s="111">
        <v>495.0</v>
      </c>
      <c r="D227" s="111" t="s">
        <v>116</v>
      </c>
      <c r="E227" s="34">
        <v>2.5</v>
      </c>
      <c r="F227" s="34">
        <v>2.52</v>
      </c>
      <c r="G227" s="34">
        <v>2.54</v>
      </c>
      <c r="H227" s="113">
        <v>0.5536</v>
      </c>
      <c r="I227" s="34">
        <v>0.1248</v>
      </c>
      <c r="J227" s="34">
        <v>89.0</v>
      </c>
      <c r="K227" s="34">
        <v>831.0</v>
      </c>
      <c r="L227" s="113">
        <v>-0.1294</v>
      </c>
    </row>
    <row r="228" ht="22.5" customHeight="1">
      <c r="A228" s="111" t="s">
        <v>28</v>
      </c>
      <c r="B228" s="112">
        <v>46059.0</v>
      </c>
      <c r="C228" s="111">
        <v>497.5</v>
      </c>
      <c r="D228" s="111" t="s">
        <v>116</v>
      </c>
      <c r="E228" s="34">
        <v>2.26</v>
      </c>
      <c r="F228" s="34">
        <v>2.28</v>
      </c>
      <c r="G228" s="34">
        <v>2.3</v>
      </c>
      <c r="H228" s="113">
        <v>0.5545</v>
      </c>
      <c r="I228" s="34">
        <v>0.1148</v>
      </c>
      <c r="J228" s="34">
        <v>31.0</v>
      </c>
      <c r="K228" s="34">
        <v>225.0</v>
      </c>
      <c r="L228" s="113">
        <v>-0.1351</v>
      </c>
    </row>
    <row r="229" ht="22.5" customHeight="1">
      <c r="A229" s="111" t="s">
        <v>28</v>
      </c>
      <c r="B229" s="112">
        <v>46059.0</v>
      </c>
      <c r="C229" s="111">
        <v>500.0</v>
      </c>
      <c r="D229" s="111" t="s">
        <v>116</v>
      </c>
      <c r="E229" s="34">
        <v>2.05</v>
      </c>
      <c r="F229" s="34">
        <v>2.07</v>
      </c>
      <c r="G229" s="34">
        <v>2.08</v>
      </c>
      <c r="H229" s="113">
        <v>0.5554</v>
      </c>
      <c r="I229" s="34">
        <v>0.1054</v>
      </c>
      <c r="J229" s="34">
        <v>536.0</v>
      </c>
      <c r="K229" s="34">
        <v>3952.0</v>
      </c>
      <c r="L229" s="113">
        <v>-0.1408</v>
      </c>
    </row>
    <row r="230" ht="22.5" customHeight="1">
      <c r="A230" s="111" t="s">
        <v>28</v>
      </c>
      <c r="B230" s="112">
        <v>46059.0</v>
      </c>
      <c r="C230" s="111">
        <v>502.5</v>
      </c>
      <c r="D230" s="111" t="s">
        <v>116</v>
      </c>
      <c r="E230" s="34">
        <v>1.85</v>
      </c>
      <c r="F230" s="34">
        <v>1.87</v>
      </c>
      <c r="G230" s="34">
        <v>1.89</v>
      </c>
      <c r="H230" s="113">
        <v>0.557</v>
      </c>
      <c r="I230" s="34">
        <v>0.097</v>
      </c>
      <c r="J230" s="34">
        <v>16.0</v>
      </c>
      <c r="K230" s="34">
        <v>110.0</v>
      </c>
      <c r="L230" s="113">
        <v>-0.1465</v>
      </c>
    </row>
    <row r="231" ht="22.5" customHeight="1">
      <c r="A231" s="111" t="s">
        <v>28</v>
      </c>
      <c r="B231" s="112">
        <v>46059.0</v>
      </c>
      <c r="C231" s="111">
        <v>505.0</v>
      </c>
      <c r="D231" s="111" t="s">
        <v>116</v>
      </c>
      <c r="E231" s="34">
        <v>1.67</v>
      </c>
      <c r="F231" s="34">
        <v>1.69</v>
      </c>
      <c r="G231" s="34">
        <v>1.7</v>
      </c>
      <c r="H231" s="113">
        <v>0.5578</v>
      </c>
      <c r="I231" s="34">
        <v>0.0888</v>
      </c>
      <c r="J231" s="34">
        <v>49.0</v>
      </c>
      <c r="K231" s="34">
        <v>763.0</v>
      </c>
      <c r="L231" s="113">
        <v>-0.1522</v>
      </c>
    </row>
    <row r="232" ht="22.5" customHeight="1">
      <c r="A232" s="111" t="s">
        <v>28</v>
      </c>
      <c r="B232" s="112">
        <v>46059.0</v>
      </c>
      <c r="C232" s="111">
        <v>507.5</v>
      </c>
      <c r="D232" s="111" t="s">
        <v>116</v>
      </c>
      <c r="E232" s="34">
        <v>1.51</v>
      </c>
      <c r="F232" s="34">
        <v>1.53</v>
      </c>
      <c r="G232" s="34">
        <v>1.54</v>
      </c>
      <c r="H232" s="113">
        <v>0.5592</v>
      </c>
      <c r="I232" s="34">
        <v>0.0814</v>
      </c>
      <c r="J232" s="34">
        <v>66.0</v>
      </c>
      <c r="K232" s="34">
        <v>50.0</v>
      </c>
      <c r="L232" s="113">
        <v>-0.15789999999999998</v>
      </c>
    </row>
    <row r="233" ht="22.5" customHeight="1">
      <c r="A233" s="111" t="s">
        <v>28</v>
      </c>
      <c r="B233" s="112">
        <v>46059.0</v>
      </c>
      <c r="C233" s="111">
        <v>510.0</v>
      </c>
      <c r="D233" s="111" t="s">
        <v>116</v>
      </c>
      <c r="E233" s="34">
        <v>1.36</v>
      </c>
      <c r="F233" s="34">
        <v>1.38</v>
      </c>
      <c r="G233" s="34">
        <v>1.39</v>
      </c>
      <c r="H233" s="113">
        <v>0.5607</v>
      </c>
      <c r="I233" s="34">
        <v>0.0746</v>
      </c>
      <c r="J233" s="34">
        <v>55.0</v>
      </c>
      <c r="K233" s="34">
        <v>1439.0</v>
      </c>
      <c r="L233" s="113">
        <v>-0.1636</v>
      </c>
    </row>
    <row r="234" ht="22.5" customHeight="1">
      <c r="A234" s="111" t="s">
        <v>28</v>
      </c>
      <c r="B234" s="112">
        <v>46059.0</v>
      </c>
      <c r="C234" s="111">
        <v>512.5</v>
      </c>
      <c r="D234" s="111" t="s">
        <v>116</v>
      </c>
      <c r="E234" s="34">
        <v>1.23</v>
      </c>
      <c r="F234" s="34">
        <v>1.25</v>
      </c>
      <c r="G234" s="34">
        <v>1.26</v>
      </c>
      <c r="H234" s="113">
        <v>0.5619</v>
      </c>
      <c r="I234" s="34">
        <v>0.0683</v>
      </c>
      <c r="J234" s="34">
        <v>9.0</v>
      </c>
      <c r="K234" s="34">
        <v>25.0</v>
      </c>
      <c r="L234" s="113">
        <v>-0.1693</v>
      </c>
    </row>
    <row r="235" ht="22.5" customHeight="1">
      <c r="A235" s="111" t="s">
        <v>28</v>
      </c>
      <c r="B235" s="112">
        <v>46059.0</v>
      </c>
      <c r="C235" s="111">
        <v>515.0</v>
      </c>
      <c r="D235" s="111" t="s">
        <v>116</v>
      </c>
      <c r="E235" s="34">
        <v>1.11</v>
      </c>
      <c r="F235" s="34">
        <v>1.13</v>
      </c>
      <c r="G235" s="34">
        <v>1.14</v>
      </c>
      <c r="H235" s="113">
        <v>0.5634</v>
      </c>
      <c r="I235" s="34">
        <v>0.0625</v>
      </c>
      <c r="J235" s="34">
        <v>29.0</v>
      </c>
      <c r="K235" s="34">
        <v>484.0</v>
      </c>
      <c r="L235" s="113">
        <v>-0.175</v>
      </c>
    </row>
    <row r="236" ht="22.5" customHeight="1">
      <c r="A236" s="111" t="s">
        <v>28</v>
      </c>
      <c r="B236" s="112">
        <v>46059.0</v>
      </c>
      <c r="C236" s="111">
        <v>517.5</v>
      </c>
      <c r="D236" s="111" t="s">
        <v>116</v>
      </c>
      <c r="E236" s="34">
        <v>1.0</v>
      </c>
      <c r="F236" s="34">
        <v>1.02</v>
      </c>
      <c r="G236" s="34">
        <v>1.03</v>
      </c>
      <c r="H236" s="113">
        <v>0.5647</v>
      </c>
      <c r="I236" s="34">
        <v>0.0571</v>
      </c>
      <c r="J236" s="34">
        <v>10.0</v>
      </c>
      <c r="K236" s="34">
        <v>26.0</v>
      </c>
      <c r="L236" s="113">
        <v>-0.1807</v>
      </c>
    </row>
    <row r="237" ht="22.5" customHeight="1">
      <c r="A237" s="111" t="s">
        <v>28</v>
      </c>
      <c r="B237" s="112">
        <v>46059.0</v>
      </c>
      <c r="C237" s="111">
        <v>520.0</v>
      </c>
      <c r="D237" s="111" t="s">
        <v>116</v>
      </c>
      <c r="E237" s="34">
        <v>0.9</v>
      </c>
      <c r="F237" s="34">
        <v>0.92</v>
      </c>
      <c r="G237" s="34">
        <v>0.93</v>
      </c>
      <c r="H237" s="113">
        <v>0.5660000000000001</v>
      </c>
      <c r="I237" s="34">
        <v>0.0521</v>
      </c>
      <c r="J237" s="34">
        <v>145.0</v>
      </c>
      <c r="K237" s="34">
        <v>1207.0</v>
      </c>
      <c r="L237" s="113">
        <v>-0.1864</v>
      </c>
    </row>
    <row r="238" ht="22.5" customHeight="1">
      <c r="A238" s="111" t="s">
        <v>28</v>
      </c>
      <c r="B238" s="112">
        <v>46059.0</v>
      </c>
      <c r="C238" s="111">
        <v>522.5</v>
      </c>
      <c r="D238" s="111" t="s">
        <v>116</v>
      </c>
      <c r="E238" s="34">
        <v>0.81</v>
      </c>
      <c r="F238" s="34">
        <v>0.83</v>
      </c>
      <c r="G238" s="34">
        <v>0.84</v>
      </c>
      <c r="H238" s="113">
        <v>0.5674</v>
      </c>
      <c r="I238" s="34">
        <v>0.0475</v>
      </c>
      <c r="J238" s="34">
        <v>11.0</v>
      </c>
      <c r="K238" s="34">
        <v>57.0</v>
      </c>
      <c r="L238" s="113">
        <v>-0.19210000000000002</v>
      </c>
    </row>
    <row r="239" ht="22.5" customHeight="1">
      <c r="A239" s="111" t="s">
        <v>28</v>
      </c>
      <c r="B239" s="112">
        <v>46059.0</v>
      </c>
      <c r="C239" s="111">
        <v>525.0</v>
      </c>
      <c r="D239" s="111" t="s">
        <v>116</v>
      </c>
      <c r="E239" s="34">
        <v>0.73</v>
      </c>
      <c r="F239" s="34">
        <v>0.75</v>
      </c>
      <c r="G239" s="34">
        <v>0.76</v>
      </c>
      <c r="H239" s="113">
        <v>0.569</v>
      </c>
      <c r="I239" s="34">
        <v>0.0434</v>
      </c>
      <c r="J239" s="34">
        <v>42.0</v>
      </c>
      <c r="K239" s="34">
        <v>579.0</v>
      </c>
      <c r="L239" s="113">
        <v>-0.1978</v>
      </c>
    </row>
    <row r="240" ht="22.5" customHeight="1">
      <c r="A240" s="111" t="s">
        <v>28</v>
      </c>
      <c r="B240" s="112">
        <v>46059.0</v>
      </c>
      <c r="C240" s="111">
        <v>527.5</v>
      </c>
      <c r="D240" s="111" t="s">
        <v>116</v>
      </c>
      <c r="E240" s="34">
        <v>0.66</v>
      </c>
      <c r="F240" s="34">
        <v>0.68</v>
      </c>
      <c r="G240" s="34">
        <v>0.69</v>
      </c>
      <c r="H240" s="113">
        <v>0.5710000000000001</v>
      </c>
      <c r="I240" s="34">
        <v>0.0397</v>
      </c>
      <c r="J240" s="34">
        <v>0.0</v>
      </c>
      <c r="K240" s="34">
        <v>86.0</v>
      </c>
      <c r="L240" s="113">
        <v>-0.20350000000000001</v>
      </c>
    </row>
    <row r="241" ht="22.5" customHeight="1">
      <c r="A241" s="111" t="s">
        <v>28</v>
      </c>
      <c r="B241" s="112">
        <v>46059.0</v>
      </c>
      <c r="C241" s="111">
        <v>530.0</v>
      </c>
      <c r="D241" s="111" t="s">
        <v>116</v>
      </c>
      <c r="E241" s="34">
        <v>0.6</v>
      </c>
      <c r="F241" s="34">
        <v>0.61</v>
      </c>
      <c r="G241" s="34">
        <v>0.62</v>
      </c>
      <c r="H241" s="113">
        <v>0.5728</v>
      </c>
      <c r="I241" s="34">
        <v>0.0362</v>
      </c>
      <c r="J241" s="34">
        <v>221.0</v>
      </c>
      <c r="K241" s="34">
        <v>781.0</v>
      </c>
      <c r="L241" s="113">
        <v>-0.20920000000000002</v>
      </c>
    </row>
    <row r="242" ht="22.5" customHeight="1">
      <c r="A242" s="111" t="s">
        <v>28</v>
      </c>
      <c r="B242" s="112">
        <v>46059.0</v>
      </c>
      <c r="C242" s="111">
        <v>535.0</v>
      </c>
      <c r="D242" s="111" t="s">
        <v>116</v>
      </c>
      <c r="E242" s="34">
        <v>0.49</v>
      </c>
      <c r="F242" s="34">
        <v>0.5</v>
      </c>
      <c r="G242" s="34">
        <v>0.51</v>
      </c>
      <c r="H242" s="113">
        <v>0.5767</v>
      </c>
      <c r="I242" s="34">
        <v>0.0302</v>
      </c>
      <c r="J242" s="34">
        <v>74.0</v>
      </c>
      <c r="K242" s="34">
        <v>484.0</v>
      </c>
      <c r="L242" s="113">
        <v>-0.2206</v>
      </c>
    </row>
    <row r="243" ht="22.5" customHeight="1">
      <c r="A243" s="111" t="s">
        <v>28</v>
      </c>
      <c r="B243" s="112">
        <v>46059.0</v>
      </c>
      <c r="C243" s="111">
        <v>540.0</v>
      </c>
      <c r="D243" s="111" t="s">
        <v>116</v>
      </c>
      <c r="E243" s="34">
        <v>0.4</v>
      </c>
      <c r="F243" s="34">
        <v>0.42</v>
      </c>
      <c r="G243" s="34">
        <v>0.43</v>
      </c>
      <c r="H243" s="113">
        <v>0.5806</v>
      </c>
      <c r="I243" s="34">
        <v>0.0252</v>
      </c>
      <c r="J243" s="34">
        <v>122.0</v>
      </c>
      <c r="K243" s="34">
        <v>666.0</v>
      </c>
      <c r="L243" s="113">
        <v>-0.23199999999999998</v>
      </c>
    </row>
    <row r="244" ht="22.5" customHeight="1">
      <c r="A244" s="111" t="s">
        <v>28</v>
      </c>
      <c r="B244" s="112">
        <v>46059.0</v>
      </c>
      <c r="C244" s="111">
        <v>545.0</v>
      </c>
      <c r="D244" s="111" t="s">
        <v>116</v>
      </c>
      <c r="E244" s="34">
        <v>0.33</v>
      </c>
      <c r="F244" s="34">
        <v>0.35</v>
      </c>
      <c r="G244" s="34">
        <v>0.36</v>
      </c>
      <c r="H244" s="113">
        <v>0.5855</v>
      </c>
      <c r="I244" s="34">
        <v>0.0212</v>
      </c>
      <c r="J244" s="34">
        <v>5.0</v>
      </c>
      <c r="K244" s="34">
        <v>148.0</v>
      </c>
      <c r="L244" s="113">
        <v>-0.2434</v>
      </c>
    </row>
    <row r="245" ht="22.5" customHeight="1">
      <c r="A245" s="111" t="s">
        <v>28</v>
      </c>
      <c r="B245" s="112">
        <v>46059.0</v>
      </c>
      <c r="C245" s="111">
        <v>550.0</v>
      </c>
      <c r="D245" s="111" t="s">
        <v>116</v>
      </c>
      <c r="E245" s="34">
        <v>0.28</v>
      </c>
      <c r="F245" s="34">
        <v>0.29</v>
      </c>
      <c r="G245" s="34">
        <v>0.3</v>
      </c>
      <c r="H245" s="113">
        <v>0.5898</v>
      </c>
      <c r="I245" s="34">
        <v>0.0177</v>
      </c>
      <c r="J245" s="34">
        <v>22.0</v>
      </c>
      <c r="K245" s="34">
        <v>1774.0</v>
      </c>
      <c r="L245" s="113">
        <v>-0.2548</v>
      </c>
    </row>
    <row r="246" ht="22.5" customHeight="1">
      <c r="A246" s="111" t="s">
        <v>28</v>
      </c>
      <c r="B246" s="112">
        <v>46059.0</v>
      </c>
      <c r="C246" s="111">
        <v>555.0</v>
      </c>
      <c r="D246" s="111" t="s">
        <v>116</v>
      </c>
      <c r="E246" s="34">
        <v>0.23</v>
      </c>
      <c r="F246" s="34">
        <v>0.25</v>
      </c>
      <c r="G246" s="34">
        <v>0.26</v>
      </c>
      <c r="H246" s="113">
        <v>0.5972</v>
      </c>
      <c r="I246" s="34">
        <v>0.0153</v>
      </c>
      <c r="J246" s="34">
        <v>1.0</v>
      </c>
      <c r="K246" s="34">
        <v>284.0</v>
      </c>
      <c r="L246" s="113">
        <v>-0.2663</v>
      </c>
    </row>
    <row r="247" ht="22.5" customHeight="1">
      <c r="A247" s="111" t="s">
        <v>28</v>
      </c>
      <c r="B247" s="112">
        <v>46059.0</v>
      </c>
      <c r="C247" s="111">
        <v>560.0</v>
      </c>
      <c r="D247" s="111" t="s">
        <v>116</v>
      </c>
      <c r="E247" s="34">
        <v>0.2</v>
      </c>
      <c r="F247" s="34">
        <v>0.21</v>
      </c>
      <c r="G247" s="34">
        <v>0.22</v>
      </c>
      <c r="H247" s="113">
        <v>0.606</v>
      </c>
      <c r="I247" s="34">
        <v>0.0134</v>
      </c>
      <c r="J247" s="34">
        <v>102.0</v>
      </c>
      <c r="K247" s="34">
        <v>570.0</v>
      </c>
      <c r="L247" s="113">
        <v>-0.2777</v>
      </c>
    </row>
    <row r="248" ht="22.5" customHeight="1">
      <c r="A248" s="111" t="s">
        <v>28</v>
      </c>
      <c r="B248" s="112">
        <v>46059.0</v>
      </c>
      <c r="C248" s="111">
        <v>565.0</v>
      </c>
      <c r="D248" s="111" t="s">
        <v>116</v>
      </c>
      <c r="E248" s="34">
        <v>0.17</v>
      </c>
      <c r="F248" s="34">
        <v>0.18</v>
      </c>
      <c r="G248" s="34">
        <v>0.19</v>
      </c>
      <c r="H248" s="113">
        <v>0.6129</v>
      </c>
      <c r="I248" s="34">
        <v>0.0115</v>
      </c>
      <c r="J248" s="34">
        <v>4.0</v>
      </c>
      <c r="K248" s="34">
        <v>490.0</v>
      </c>
      <c r="L248" s="113">
        <v>-0.2891</v>
      </c>
    </row>
    <row r="249" ht="22.5" customHeight="1">
      <c r="A249" s="111" t="s">
        <v>28</v>
      </c>
      <c r="B249" s="112">
        <v>46059.0</v>
      </c>
      <c r="C249" s="111">
        <v>570.0</v>
      </c>
      <c r="D249" s="111" t="s">
        <v>116</v>
      </c>
      <c r="E249" s="34">
        <v>0.14</v>
      </c>
      <c r="F249" s="34">
        <v>0.15</v>
      </c>
      <c r="G249" s="34">
        <v>0.16</v>
      </c>
      <c r="H249" s="113">
        <v>0.6174000000000001</v>
      </c>
      <c r="I249" s="34">
        <v>0.0097</v>
      </c>
      <c r="J249" s="34">
        <v>76.0</v>
      </c>
      <c r="K249" s="34">
        <v>270.0</v>
      </c>
      <c r="L249" s="113">
        <v>-0.3005</v>
      </c>
    </row>
    <row r="250" ht="22.5" customHeight="1">
      <c r="A250" s="111" t="s">
        <v>28</v>
      </c>
      <c r="B250" s="112">
        <v>46059.0</v>
      </c>
      <c r="C250" s="111">
        <v>575.0</v>
      </c>
      <c r="D250" s="111" t="s">
        <v>116</v>
      </c>
      <c r="E250" s="34">
        <v>0.12</v>
      </c>
      <c r="F250" s="34">
        <v>0.13</v>
      </c>
      <c r="G250" s="34">
        <v>0.14</v>
      </c>
      <c r="H250" s="113">
        <v>0.6247</v>
      </c>
      <c r="I250" s="34">
        <v>0.0084</v>
      </c>
      <c r="J250" s="34">
        <v>12.0</v>
      </c>
      <c r="K250" s="34">
        <v>625.0</v>
      </c>
      <c r="L250" s="113">
        <v>-0.3119</v>
      </c>
    </row>
    <row r="251" ht="22.5" customHeight="1">
      <c r="A251" s="111" t="s">
        <v>28</v>
      </c>
      <c r="B251" s="112">
        <v>46059.0</v>
      </c>
      <c r="C251" s="111">
        <v>580.0</v>
      </c>
      <c r="D251" s="111" t="s">
        <v>116</v>
      </c>
      <c r="E251" s="34">
        <v>0.1</v>
      </c>
      <c r="F251" s="34">
        <v>0.11</v>
      </c>
      <c r="G251" s="34">
        <v>0.12</v>
      </c>
      <c r="H251" s="113">
        <v>0.63</v>
      </c>
      <c r="I251" s="34">
        <v>0.0072</v>
      </c>
      <c r="J251" s="34">
        <v>4.0</v>
      </c>
      <c r="K251" s="34">
        <v>716.0</v>
      </c>
      <c r="L251" s="113">
        <v>-0.3233</v>
      </c>
    </row>
    <row r="252" ht="22.5" customHeight="1">
      <c r="A252" s="111" t="s">
        <v>28</v>
      </c>
      <c r="B252" s="112">
        <v>46059.0</v>
      </c>
      <c r="C252" s="111">
        <v>585.0</v>
      </c>
      <c r="D252" s="111" t="s">
        <v>116</v>
      </c>
      <c r="E252" s="34">
        <v>0.09</v>
      </c>
      <c r="F252" s="34">
        <v>0.1</v>
      </c>
      <c r="G252" s="34">
        <v>0.11</v>
      </c>
      <c r="H252" s="113">
        <v>0.6402</v>
      </c>
      <c r="I252" s="34">
        <v>0.0065</v>
      </c>
      <c r="J252" s="34">
        <v>0.0</v>
      </c>
      <c r="K252" s="34">
        <v>186.0</v>
      </c>
      <c r="L252" s="113">
        <v>-0.3347</v>
      </c>
    </row>
    <row r="253" ht="22.5" customHeight="1">
      <c r="A253" s="111" t="s">
        <v>28</v>
      </c>
      <c r="B253" s="112">
        <v>46059.0</v>
      </c>
      <c r="C253" s="111">
        <v>590.0</v>
      </c>
      <c r="D253" s="111" t="s">
        <v>116</v>
      </c>
      <c r="E253" s="34">
        <v>0.08</v>
      </c>
      <c r="F253" s="34">
        <v>0.08</v>
      </c>
      <c r="G253" s="34">
        <v>0.09</v>
      </c>
      <c r="H253" s="113">
        <v>0.6495000000000001</v>
      </c>
      <c r="I253" s="34">
        <v>0.0058</v>
      </c>
      <c r="J253" s="34">
        <v>2.0</v>
      </c>
      <c r="K253" s="34">
        <v>244.0</v>
      </c>
      <c r="L253" s="113">
        <v>-0.3461</v>
      </c>
    </row>
    <row r="254" ht="22.5" customHeight="1">
      <c r="A254" s="111" t="s">
        <v>28</v>
      </c>
      <c r="B254" s="112">
        <v>46059.0</v>
      </c>
      <c r="C254" s="111">
        <v>595.0</v>
      </c>
      <c r="D254" s="111" t="s">
        <v>116</v>
      </c>
      <c r="E254" s="34">
        <v>0.07</v>
      </c>
      <c r="F254" s="34">
        <v>0.08</v>
      </c>
      <c r="G254" s="34">
        <v>0.08</v>
      </c>
      <c r="H254" s="113">
        <v>0.6531</v>
      </c>
      <c r="I254" s="34">
        <v>0.0049</v>
      </c>
      <c r="J254" s="34">
        <v>0.0</v>
      </c>
      <c r="K254" s="34">
        <v>372.0</v>
      </c>
      <c r="L254" s="113">
        <v>-0.3575</v>
      </c>
    </row>
    <row r="255" ht="22.5" customHeight="1">
      <c r="A255" s="111" t="s">
        <v>28</v>
      </c>
      <c r="B255" s="112">
        <v>46059.0</v>
      </c>
      <c r="C255" s="111">
        <v>600.0</v>
      </c>
      <c r="D255" s="111" t="s">
        <v>116</v>
      </c>
      <c r="E255" s="34">
        <v>0.06</v>
      </c>
      <c r="F255" s="34">
        <v>0.07</v>
      </c>
      <c r="G255" s="34">
        <v>0.08</v>
      </c>
      <c r="H255" s="113">
        <v>0.6643000000000001</v>
      </c>
      <c r="I255" s="34">
        <v>0.0045</v>
      </c>
      <c r="J255" s="34">
        <v>16.0</v>
      </c>
      <c r="K255" s="34">
        <v>1463.0</v>
      </c>
      <c r="L255" s="113">
        <v>-0.3689</v>
      </c>
    </row>
    <row r="256" ht="22.5" customHeight="1">
      <c r="A256" s="111" t="s">
        <v>28</v>
      </c>
      <c r="B256" s="112">
        <v>46059.0</v>
      </c>
      <c r="C256" s="111">
        <v>605.0</v>
      </c>
      <c r="D256" s="111" t="s">
        <v>116</v>
      </c>
      <c r="E256" s="34">
        <v>0.05</v>
      </c>
      <c r="F256" s="34">
        <v>0.06</v>
      </c>
      <c r="G256" s="34">
        <v>0.07</v>
      </c>
      <c r="H256" s="113">
        <v>0.6694</v>
      </c>
      <c r="I256" s="34">
        <v>0.0039</v>
      </c>
      <c r="J256" s="34">
        <v>0.0</v>
      </c>
      <c r="K256" s="34">
        <v>98.0</v>
      </c>
      <c r="L256" s="113">
        <v>-0.3803</v>
      </c>
    </row>
    <row r="257" ht="22.5" customHeight="1">
      <c r="A257" s="111" t="s">
        <v>28</v>
      </c>
      <c r="B257" s="112">
        <v>46059.0</v>
      </c>
      <c r="C257" s="111">
        <v>610.0</v>
      </c>
      <c r="D257" s="111" t="s">
        <v>116</v>
      </c>
      <c r="E257" s="34">
        <v>0.05</v>
      </c>
      <c r="F257" s="34">
        <v>0.06</v>
      </c>
      <c r="G257" s="34">
        <v>0.06</v>
      </c>
      <c r="H257" s="113">
        <v>0.6726000000000001</v>
      </c>
      <c r="I257" s="34">
        <v>0.0033</v>
      </c>
      <c r="J257" s="34">
        <v>14.0</v>
      </c>
      <c r="K257" s="34">
        <v>79.0</v>
      </c>
      <c r="L257" s="113">
        <v>-0.3917</v>
      </c>
    </row>
    <row r="258" ht="22.5" customHeight="1">
      <c r="A258" s="111" t="s">
        <v>28</v>
      </c>
      <c r="B258" s="112">
        <v>46059.0</v>
      </c>
      <c r="C258" s="111">
        <v>615.0</v>
      </c>
      <c r="D258" s="111" t="s">
        <v>116</v>
      </c>
      <c r="E258" s="34">
        <v>0.04</v>
      </c>
      <c r="F258" s="34">
        <v>0.05</v>
      </c>
      <c r="G258" s="34">
        <v>0.05</v>
      </c>
      <c r="H258" s="113">
        <v>0.6806</v>
      </c>
      <c r="I258" s="34">
        <v>0.003</v>
      </c>
      <c r="J258" s="34">
        <v>1.0</v>
      </c>
      <c r="K258" s="34">
        <v>81.0</v>
      </c>
      <c r="L258" s="113">
        <v>-0.4031</v>
      </c>
    </row>
    <row r="259" ht="22.5" customHeight="1">
      <c r="A259" s="111" t="s">
        <v>28</v>
      </c>
      <c r="B259" s="112">
        <v>46059.0</v>
      </c>
      <c r="C259" s="111">
        <v>620.0</v>
      </c>
      <c r="D259" s="111" t="s">
        <v>116</v>
      </c>
      <c r="E259" s="34">
        <v>0.03</v>
      </c>
      <c r="F259" s="34">
        <v>0.04</v>
      </c>
      <c r="G259" s="34">
        <v>0.05</v>
      </c>
      <c r="H259" s="113">
        <v>0.6876000000000001</v>
      </c>
      <c r="I259" s="34">
        <v>0.0026</v>
      </c>
      <c r="J259" s="34">
        <v>0.0</v>
      </c>
      <c r="K259" s="34">
        <v>49.0</v>
      </c>
      <c r="L259" s="113">
        <v>-0.4146</v>
      </c>
    </row>
    <row r="260" ht="22.5" customHeight="1">
      <c r="A260" s="111" t="s">
        <v>28</v>
      </c>
      <c r="B260" s="112">
        <v>46059.0</v>
      </c>
      <c r="C260" s="111">
        <v>625.0</v>
      </c>
      <c r="D260" s="111" t="s">
        <v>116</v>
      </c>
      <c r="E260" s="34">
        <v>0.03</v>
      </c>
      <c r="F260" s="34">
        <v>0.04</v>
      </c>
      <c r="G260" s="34">
        <v>0.04</v>
      </c>
      <c r="H260" s="113">
        <v>0.6934999999999999</v>
      </c>
      <c r="I260" s="34">
        <v>0.0023</v>
      </c>
      <c r="J260" s="34">
        <v>0.0</v>
      </c>
      <c r="K260" s="34">
        <v>233.0</v>
      </c>
      <c r="L260" s="113">
        <v>-0.426</v>
      </c>
    </row>
    <row r="261" ht="22.5" customHeight="1">
      <c r="A261" s="111" t="s">
        <v>28</v>
      </c>
      <c r="B261" s="112">
        <v>46059.0</v>
      </c>
      <c r="C261" s="111">
        <v>630.0</v>
      </c>
      <c r="D261" s="111" t="s">
        <v>116</v>
      </c>
      <c r="E261" s="34">
        <v>0.02</v>
      </c>
      <c r="F261" s="34">
        <v>0.03</v>
      </c>
      <c r="G261" s="34">
        <v>0.04</v>
      </c>
      <c r="H261" s="113">
        <v>0.6978</v>
      </c>
      <c r="I261" s="34">
        <v>0.002</v>
      </c>
      <c r="J261" s="34">
        <v>0.0</v>
      </c>
      <c r="K261" s="34">
        <v>625.0</v>
      </c>
      <c r="L261" s="113">
        <v>-0.4374</v>
      </c>
    </row>
    <row r="262" ht="22.5" customHeight="1">
      <c r="A262" s="111" t="s">
        <v>28</v>
      </c>
      <c r="B262" s="112">
        <v>46059.0</v>
      </c>
      <c r="C262" s="111">
        <v>640.0</v>
      </c>
      <c r="D262" s="111" t="s">
        <v>116</v>
      </c>
      <c r="E262" s="34">
        <v>0.02</v>
      </c>
      <c r="F262" s="34">
        <v>0.03</v>
      </c>
      <c r="G262" s="34">
        <v>0.04</v>
      </c>
      <c r="H262" s="113">
        <v>0.7254</v>
      </c>
      <c r="I262" s="34">
        <v>0.0019</v>
      </c>
      <c r="J262" s="34">
        <v>25.0</v>
      </c>
      <c r="K262" s="34">
        <v>2457.0</v>
      </c>
      <c r="L262" s="113">
        <v>-0.46020000000000005</v>
      </c>
    </row>
    <row r="263" ht="22.5" customHeight="1">
      <c r="A263" s="111" t="s">
        <v>28</v>
      </c>
      <c r="B263" s="112">
        <v>46059.0</v>
      </c>
      <c r="C263" s="111">
        <v>650.0</v>
      </c>
      <c r="D263" s="111" t="s">
        <v>116</v>
      </c>
      <c r="E263" s="34">
        <v>0.01</v>
      </c>
      <c r="F263" s="34">
        <v>0.02</v>
      </c>
      <c r="G263" s="34">
        <v>0.03</v>
      </c>
      <c r="H263" s="113">
        <v>0.7268000000000001</v>
      </c>
      <c r="I263" s="34">
        <v>0.0013</v>
      </c>
      <c r="J263" s="34">
        <v>0.0</v>
      </c>
      <c r="K263" s="34">
        <v>3148.0</v>
      </c>
      <c r="L263" s="113">
        <v>-0.483</v>
      </c>
    </row>
    <row r="264" ht="22.5" customHeight="1">
      <c r="A264" s="111" t="s">
        <v>28</v>
      </c>
      <c r="B264" s="112">
        <v>46059.0</v>
      </c>
      <c r="C264" s="111">
        <v>660.0</v>
      </c>
      <c r="D264" s="111" t="s">
        <v>116</v>
      </c>
      <c r="E264" s="34">
        <v>0.01</v>
      </c>
      <c r="F264" s="34">
        <v>0.02</v>
      </c>
      <c r="G264" s="34">
        <v>0.03</v>
      </c>
      <c r="H264" s="113">
        <v>0.7525</v>
      </c>
      <c r="I264" s="34">
        <v>0.0013</v>
      </c>
      <c r="J264" s="34">
        <v>0.0</v>
      </c>
      <c r="K264" s="34">
        <v>86.0</v>
      </c>
      <c r="L264" s="113">
        <v>-0.5058</v>
      </c>
    </row>
    <row r="265" ht="22.5" customHeight="1">
      <c r="A265" s="111" t="s">
        <v>28</v>
      </c>
      <c r="B265" s="112">
        <v>46059.0</v>
      </c>
      <c r="C265" s="111">
        <v>670.0</v>
      </c>
      <c r="D265" s="111" t="s">
        <v>116</v>
      </c>
      <c r="E265" s="34">
        <v>0.0</v>
      </c>
      <c r="F265" s="34">
        <v>0.02</v>
      </c>
      <c r="G265" s="34">
        <v>0.03</v>
      </c>
      <c r="H265" s="113">
        <v>0.7777</v>
      </c>
      <c r="I265" s="34">
        <v>0.0012</v>
      </c>
      <c r="J265" s="34">
        <v>1.0</v>
      </c>
      <c r="K265" s="34">
        <v>34.0</v>
      </c>
      <c r="L265" s="113">
        <v>-0.5286</v>
      </c>
    </row>
    <row r="266" ht="22.5" customHeight="1">
      <c r="A266" s="111" t="s">
        <v>28</v>
      </c>
      <c r="B266" s="112">
        <v>46059.0</v>
      </c>
      <c r="C266" s="111">
        <v>680.0</v>
      </c>
      <c r="D266" s="111" t="s">
        <v>116</v>
      </c>
      <c r="E266" s="34">
        <v>0.0</v>
      </c>
      <c r="F266" s="34">
        <v>0.01</v>
      </c>
      <c r="G266" s="34">
        <v>0.02</v>
      </c>
      <c r="H266" s="113">
        <v>0.8025</v>
      </c>
      <c r="I266" s="34">
        <v>0.0012</v>
      </c>
      <c r="J266" s="34">
        <v>0.0</v>
      </c>
      <c r="K266" s="34">
        <v>303.0</v>
      </c>
      <c r="L266" s="113">
        <v>-0.5514</v>
      </c>
    </row>
    <row r="267" ht="22.5" customHeight="1">
      <c r="A267" s="111" t="s">
        <v>28</v>
      </c>
      <c r="B267" s="112">
        <v>46059.0</v>
      </c>
      <c r="C267" s="111">
        <v>690.0</v>
      </c>
      <c r="D267" s="111" t="s">
        <v>116</v>
      </c>
      <c r="E267" s="34">
        <v>0.0</v>
      </c>
      <c r="F267" s="34">
        <v>0.01</v>
      </c>
      <c r="G267" s="34">
        <v>0.02</v>
      </c>
      <c r="H267" s="113">
        <v>0.8269</v>
      </c>
      <c r="I267" s="34">
        <v>0.0012</v>
      </c>
      <c r="J267" s="34">
        <v>0.0</v>
      </c>
      <c r="K267" s="34">
        <v>81.0</v>
      </c>
      <c r="L267" s="113">
        <v>-0.5743</v>
      </c>
    </row>
    <row r="268" ht="22.5" customHeight="1">
      <c r="A268" s="111" t="s">
        <v>28</v>
      </c>
      <c r="B268" s="112">
        <v>46059.0</v>
      </c>
      <c r="C268" s="111">
        <v>700.0</v>
      </c>
      <c r="D268" s="111" t="s">
        <v>116</v>
      </c>
      <c r="E268" s="34">
        <v>0.0</v>
      </c>
      <c r="F268" s="34">
        <v>0.01</v>
      </c>
      <c r="G268" s="34">
        <v>0.02</v>
      </c>
      <c r="H268" s="113">
        <v>0.8508</v>
      </c>
      <c r="I268" s="34">
        <v>0.0011</v>
      </c>
      <c r="J268" s="34">
        <v>100.0</v>
      </c>
      <c r="K268" s="34">
        <v>226.0</v>
      </c>
      <c r="L268" s="113">
        <v>-0.5971</v>
      </c>
    </row>
    <row r="269" ht="22.5" customHeight="1">
      <c r="A269" s="111" t="s">
        <v>28</v>
      </c>
      <c r="B269" s="112">
        <v>46059.0</v>
      </c>
      <c r="C269" s="111">
        <v>710.0</v>
      </c>
      <c r="D269" s="111" t="s">
        <v>116</v>
      </c>
      <c r="E269" s="34">
        <v>0.0</v>
      </c>
      <c r="F269" s="34">
        <v>0.01</v>
      </c>
      <c r="G269" s="34">
        <v>0.02</v>
      </c>
      <c r="H269" s="113">
        <v>0.8743000000000001</v>
      </c>
      <c r="I269" s="34">
        <v>0.0011</v>
      </c>
      <c r="J269" s="34">
        <v>0.0</v>
      </c>
      <c r="K269" s="34">
        <v>36.0</v>
      </c>
      <c r="L269" s="113">
        <v>-0.6199</v>
      </c>
    </row>
    <row r="270" ht="22.5" customHeight="1">
      <c r="A270" s="111" t="s">
        <v>28</v>
      </c>
      <c r="B270" s="112">
        <v>46059.0</v>
      </c>
      <c r="C270" s="111">
        <v>720.0</v>
      </c>
      <c r="D270" s="111" t="s">
        <v>116</v>
      </c>
      <c r="E270" s="34">
        <v>0.0</v>
      </c>
      <c r="F270" s="34">
        <v>0.01</v>
      </c>
      <c r="G270" s="34">
        <v>0.02</v>
      </c>
      <c r="H270" s="113">
        <v>0.8974</v>
      </c>
      <c r="I270" s="34">
        <v>0.0011</v>
      </c>
      <c r="J270" s="34">
        <v>0.0</v>
      </c>
      <c r="K270" s="34">
        <v>23.0</v>
      </c>
      <c r="L270" s="113">
        <v>-0.6426999999999999</v>
      </c>
    </row>
    <row r="271" ht="22.5" customHeight="1">
      <c r="A271" s="111" t="s">
        <v>28</v>
      </c>
      <c r="B271" s="112">
        <v>46059.0</v>
      </c>
      <c r="C271" s="111">
        <v>730.0</v>
      </c>
      <c r="D271" s="111" t="s">
        <v>116</v>
      </c>
      <c r="E271" s="34">
        <v>0.0</v>
      </c>
      <c r="F271" s="34">
        <v>0.01</v>
      </c>
      <c r="G271" s="34">
        <v>0.02</v>
      </c>
      <c r="H271" s="113">
        <v>0.9201</v>
      </c>
      <c r="I271" s="34">
        <v>0.0011</v>
      </c>
      <c r="J271" s="34">
        <v>0.0</v>
      </c>
      <c r="K271" s="34">
        <v>3.0</v>
      </c>
      <c r="L271" s="113">
        <v>-0.6655</v>
      </c>
    </row>
    <row r="272" ht="22.5" customHeight="1">
      <c r="A272" s="111" t="s">
        <v>28</v>
      </c>
      <c r="B272" s="112">
        <v>46059.0</v>
      </c>
      <c r="C272" s="111">
        <v>740.0</v>
      </c>
      <c r="D272" s="111" t="s">
        <v>116</v>
      </c>
      <c r="E272" s="34">
        <v>0.0</v>
      </c>
      <c r="F272" s="34">
        <v>0.01</v>
      </c>
      <c r="G272" s="34">
        <v>0.02</v>
      </c>
      <c r="H272" s="113">
        <v>0.9425</v>
      </c>
      <c r="I272" s="34">
        <v>0.001</v>
      </c>
      <c r="J272" s="34">
        <v>0.0</v>
      </c>
      <c r="K272" s="34">
        <v>9.0</v>
      </c>
      <c r="L272" s="113">
        <v>-0.6883</v>
      </c>
    </row>
    <row r="273" ht="22.5" customHeight="1">
      <c r="A273" s="111" t="s">
        <v>28</v>
      </c>
      <c r="B273" s="112">
        <v>46059.0</v>
      </c>
      <c r="C273" s="111">
        <v>750.0</v>
      </c>
      <c r="D273" s="111" t="s">
        <v>116</v>
      </c>
      <c r="E273" s="34">
        <v>0.0</v>
      </c>
      <c r="F273" s="34">
        <v>0.01</v>
      </c>
      <c r="G273" s="34">
        <v>0.02</v>
      </c>
      <c r="H273" s="113">
        <v>0.9645</v>
      </c>
      <c r="I273" s="34">
        <v>0.001</v>
      </c>
      <c r="J273" s="34">
        <v>0.0</v>
      </c>
      <c r="K273" s="34">
        <v>42.0</v>
      </c>
      <c r="L273" s="113">
        <v>-0.7112</v>
      </c>
    </row>
    <row r="274" ht="22.5" customHeight="1">
      <c r="A274" s="111" t="s">
        <v>28</v>
      </c>
      <c r="B274" s="112">
        <v>46059.0</v>
      </c>
      <c r="C274" s="111">
        <v>760.0</v>
      </c>
      <c r="D274" s="111" t="s">
        <v>116</v>
      </c>
      <c r="E274" s="34">
        <v>0.0</v>
      </c>
      <c r="F274" s="34">
        <v>0.01</v>
      </c>
      <c r="G274" s="34">
        <v>0.02</v>
      </c>
      <c r="H274" s="113">
        <v>0.9861</v>
      </c>
      <c r="I274" s="34">
        <v>0.001</v>
      </c>
      <c r="J274" s="34">
        <v>0.0</v>
      </c>
      <c r="K274" s="34">
        <v>9.0</v>
      </c>
      <c r="L274" s="113">
        <v>-0.7340000000000001</v>
      </c>
    </row>
    <row r="275" ht="22.5" customHeight="1">
      <c r="A275" s="111" t="s">
        <v>28</v>
      </c>
      <c r="B275" s="112">
        <v>46059.0</v>
      </c>
      <c r="C275" s="111">
        <v>770.0</v>
      </c>
      <c r="D275" s="111" t="s">
        <v>116</v>
      </c>
      <c r="E275" s="34">
        <v>0.0</v>
      </c>
      <c r="F275" s="34">
        <v>0.01</v>
      </c>
      <c r="G275" s="34">
        <v>0.02</v>
      </c>
      <c r="H275" s="113">
        <v>1.0073999999999999</v>
      </c>
      <c r="I275" s="34">
        <v>0.001</v>
      </c>
      <c r="J275" s="34">
        <v>0.0</v>
      </c>
      <c r="K275" s="34">
        <v>2.0</v>
      </c>
      <c r="L275" s="113">
        <v>-0.7568</v>
      </c>
    </row>
    <row r="276" ht="22.5" customHeight="1">
      <c r="A276" s="111" t="s">
        <v>28</v>
      </c>
      <c r="B276" s="112">
        <v>46059.0</v>
      </c>
      <c r="C276" s="111">
        <v>780.0</v>
      </c>
      <c r="D276" s="111" t="s">
        <v>116</v>
      </c>
      <c r="E276" s="34">
        <v>0.0</v>
      </c>
      <c r="F276" s="34">
        <v>0.01</v>
      </c>
      <c r="G276" s="34">
        <v>0.02</v>
      </c>
      <c r="H276" s="113">
        <v>1.0284</v>
      </c>
      <c r="I276" s="34">
        <v>0.001</v>
      </c>
      <c r="J276" s="34">
        <v>0.0</v>
      </c>
      <c r="K276" s="34">
        <v>5.0</v>
      </c>
      <c r="L276" s="113">
        <v>-0.7796</v>
      </c>
    </row>
    <row r="277" ht="22.5" customHeight="1">
      <c r="A277" s="111" t="s">
        <v>28</v>
      </c>
      <c r="B277" s="112">
        <v>46059.0</v>
      </c>
      <c r="C277" s="111">
        <v>790.0</v>
      </c>
      <c r="D277" s="111" t="s">
        <v>116</v>
      </c>
      <c r="E277" s="34">
        <v>0.0</v>
      </c>
      <c r="F277" s="34">
        <v>0.01</v>
      </c>
      <c r="G277" s="34">
        <v>0.02</v>
      </c>
      <c r="H277" s="113">
        <v>1.0491</v>
      </c>
      <c r="I277" s="34">
        <v>9.0E-4</v>
      </c>
      <c r="J277" s="34">
        <v>0.0</v>
      </c>
      <c r="K277" s="34">
        <v>5.0</v>
      </c>
      <c r="L277" s="113">
        <v>-0.8024</v>
      </c>
    </row>
    <row r="278" ht="22.5" customHeight="1">
      <c r="A278" s="111" t="s">
        <v>28</v>
      </c>
      <c r="B278" s="112">
        <v>46059.0</v>
      </c>
      <c r="C278" s="111">
        <v>800.0</v>
      </c>
      <c r="D278" s="111" t="s">
        <v>116</v>
      </c>
      <c r="E278" s="34">
        <v>0.0</v>
      </c>
      <c r="F278" s="34">
        <v>0.01</v>
      </c>
      <c r="G278" s="34">
        <v>0.02</v>
      </c>
      <c r="H278" s="113">
        <v>1.0694</v>
      </c>
      <c r="I278" s="34">
        <v>9.0E-4</v>
      </c>
      <c r="J278" s="34">
        <v>0.0</v>
      </c>
      <c r="K278" s="34">
        <v>53.0</v>
      </c>
      <c r="L278" s="113">
        <v>-0.8251999999999999</v>
      </c>
    </row>
    <row r="279" ht="22.5" customHeight="1">
      <c r="A279" s="111" t="s">
        <v>28</v>
      </c>
      <c r="B279" s="112">
        <v>46059.0</v>
      </c>
      <c r="C279" s="111">
        <v>810.0</v>
      </c>
      <c r="D279" s="111" t="s">
        <v>116</v>
      </c>
      <c r="E279" s="34">
        <v>0.0</v>
      </c>
      <c r="F279" s="34">
        <v>0.01</v>
      </c>
      <c r="G279" s="34">
        <v>0.02</v>
      </c>
      <c r="H279" s="113">
        <v>1.0895000000000001</v>
      </c>
      <c r="I279" s="34">
        <v>9.0E-4</v>
      </c>
      <c r="J279" s="34">
        <v>0.0</v>
      </c>
      <c r="K279" s="34">
        <v>23.0</v>
      </c>
      <c r="L279" s="113">
        <v>-0.848</v>
      </c>
    </row>
    <row r="280" ht="22.5" customHeight="1">
      <c r="A280" s="111" t="s">
        <v>28</v>
      </c>
      <c r="B280" s="112">
        <v>46059.0</v>
      </c>
      <c r="C280" s="111">
        <v>820.0</v>
      </c>
      <c r="D280" s="111" t="s">
        <v>116</v>
      </c>
      <c r="E280" s="34">
        <v>0.0</v>
      </c>
      <c r="F280" s="34">
        <v>0.01</v>
      </c>
      <c r="G280" s="34">
        <v>0.02</v>
      </c>
      <c r="H280" s="113">
        <v>1.1093000000000002</v>
      </c>
      <c r="I280" s="34">
        <v>9.0E-4</v>
      </c>
      <c r="J280" s="34">
        <v>0.0</v>
      </c>
      <c r="K280" s="34">
        <v>1078.0</v>
      </c>
      <c r="L280" s="113">
        <v>-0.8709</v>
      </c>
    </row>
    <row r="281" ht="22.5" customHeight="1">
      <c r="A281" s="111" t="s">
        <v>28</v>
      </c>
      <c r="B281" s="112">
        <v>46059.0</v>
      </c>
      <c r="C281" s="111">
        <v>830.0</v>
      </c>
      <c r="D281" s="111" t="s">
        <v>116</v>
      </c>
      <c r="E281" s="34">
        <v>0.0</v>
      </c>
      <c r="F281" s="34">
        <v>0.01</v>
      </c>
      <c r="G281" s="34">
        <v>0.02</v>
      </c>
      <c r="H281" s="113">
        <v>1.1288</v>
      </c>
      <c r="I281" s="34">
        <v>9.0E-4</v>
      </c>
      <c r="J281" s="34">
        <v>0.0</v>
      </c>
      <c r="K281" s="34">
        <v>4.0</v>
      </c>
      <c r="L281" s="113">
        <v>-0.8937</v>
      </c>
    </row>
    <row r="282" ht="22.5" customHeight="1">
      <c r="A282" s="111" t="s">
        <v>28</v>
      </c>
      <c r="B282" s="112">
        <v>46059.0</v>
      </c>
      <c r="C282" s="111">
        <v>840.0</v>
      </c>
      <c r="D282" s="111" t="s">
        <v>116</v>
      </c>
      <c r="E282" s="34">
        <v>0.0</v>
      </c>
      <c r="F282" s="34">
        <v>0.01</v>
      </c>
      <c r="G282" s="34">
        <v>0.02</v>
      </c>
      <c r="H282" s="113">
        <v>1.148</v>
      </c>
      <c r="I282" s="34">
        <v>9.0E-4</v>
      </c>
      <c r="J282" s="34">
        <v>0.0</v>
      </c>
      <c r="K282" s="34">
        <v>0.0</v>
      </c>
      <c r="L282" s="113">
        <v>-0.9165000000000001</v>
      </c>
    </row>
    <row r="283" ht="22.5" customHeight="1">
      <c r="A283" s="111" t="s">
        <v>28</v>
      </c>
      <c r="B283" s="112">
        <v>46059.0</v>
      </c>
      <c r="C283" s="111">
        <v>850.0</v>
      </c>
      <c r="D283" s="111" t="s">
        <v>116</v>
      </c>
      <c r="E283" s="34">
        <v>0.0</v>
      </c>
      <c r="F283" s="34">
        <v>0.01</v>
      </c>
      <c r="G283" s="34">
        <v>0.02</v>
      </c>
      <c r="H283" s="113">
        <v>1.1669</v>
      </c>
      <c r="I283" s="34">
        <v>9.0E-4</v>
      </c>
      <c r="J283" s="34">
        <v>0.0</v>
      </c>
      <c r="K283" s="34">
        <v>4.0</v>
      </c>
      <c r="L283" s="113">
        <v>-0.9393</v>
      </c>
    </row>
    <row r="284" ht="22.5" customHeight="1">
      <c r="A284" s="111" t="s">
        <v>28</v>
      </c>
      <c r="B284" s="112">
        <v>46059.0</v>
      </c>
      <c r="C284" s="111">
        <v>860.0</v>
      </c>
      <c r="D284" s="111" t="s">
        <v>116</v>
      </c>
      <c r="E284" s="34">
        <v>0.0</v>
      </c>
      <c r="F284" s="34">
        <v>0.01</v>
      </c>
      <c r="G284" s="34">
        <v>0.02</v>
      </c>
      <c r="H284" s="113">
        <v>1.1856</v>
      </c>
      <c r="I284" s="34">
        <v>8.0E-4</v>
      </c>
      <c r="J284" s="34">
        <v>0.0</v>
      </c>
      <c r="K284" s="34">
        <v>51.0</v>
      </c>
      <c r="L284" s="113">
        <v>-0.9621</v>
      </c>
    </row>
    <row r="285" ht="22.5" customHeight="1">
      <c r="A285" s="111" t="s">
        <v>28</v>
      </c>
      <c r="B285" s="112">
        <v>46059.0</v>
      </c>
      <c r="C285" s="111">
        <v>870.0</v>
      </c>
      <c r="D285" s="111" t="s">
        <v>116</v>
      </c>
      <c r="E285" s="34">
        <v>0.0</v>
      </c>
      <c r="F285" s="34">
        <v>0.01</v>
      </c>
      <c r="G285" s="34">
        <v>0.02</v>
      </c>
      <c r="H285" s="113">
        <v>1.2041</v>
      </c>
      <c r="I285" s="34">
        <v>8.0E-4</v>
      </c>
      <c r="J285" s="34">
        <v>0.0</v>
      </c>
      <c r="K285" s="34">
        <v>52.0</v>
      </c>
      <c r="L285" s="113">
        <v>-0.9849</v>
      </c>
    </row>
    <row r="286" ht="22.5" customHeight="1">
      <c r="A286" s="111" t="s">
        <v>28</v>
      </c>
      <c r="B286" s="112">
        <v>46059.0</v>
      </c>
      <c r="C286" s="111">
        <v>880.0</v>
      </c>
      <c r="D286" s="111" t="s">
        <v>116</v>
      </c>
      <c r="E286" s="34">
        <v>0.0</v>
      </c>
      <c r="F286" s="34">
        <v>0.01</v>
      </c>
      <c r="G286" s="34">
        <v>0.02</v>
      </c>
      <c r="H286" s="113">
        <v>1.2222</v>
      </c>
      <c r="I286" s="34">
        <v>8.0E-4</v>
      </c>
      <c r="J286" s="34">
        <v>0.0</v>
      </c>
      <c r="K286" s="34">
        <v>60.0</v>
      </c>
      <c r="L286" s="113">
        <v>-1.0078</v>
      </c>
    </row>
    <row r="287" ht="22.5" customHeight="1">
      <c r="A287" s="111" t="s">
        <v>28</v>
      </c>
      <c r="B287" s="112">
        <v>46059.0</v>
      </c>
      <c r="C287" s="111">
        <v>890.0</v>
      </c>
      <c r="D287" s="111" t="s">
        <v>116</v>
      </c>
      <c r="E287" s="34">
        <v>0.0</v>
      </c>
      <c r="F287" s="34">
        <v>0.01</v>
      </c>
      <c r="G287" s="34">
        <v>0.02</v>
      </c>
      <c r="H287" s="113">
        <v>1.2402</v>
      </c>
      <c r="I287" s="34">
        <v>8.0E-4</v>
      </c>
      <c r="J287" s="34">
        <v>0.0</v>
      </c>
      <c r="K287" s="34">
        <v>42.0</v>
      </c>
      <c r="L287" s="113">
        <v>-1.0306</v>
      </c>
    </row>
    <row r="288" ht="22.5" customHeight="1">
      <c r="A288" s="111" t="s">
        <v>28</v>
      </c>
      <c r="B288" s="112">
        <v>46059.0</v>
      </c>
      <c r="C288" s="111">
        <v>900.0</v>
      </c>
      <c r="D288" s="111" t="s">
        <v>116</v>
      </c>
      <c r="E288" s="34">
        <v>0.0</v>
      </c>
      <c r="F288" s="34">
        <v>0.01</v>
      </c>
      <c r="G288" s="34">
        <v>0.02</v>
      </c>
      <c r="H288" s="113">
        <v>1.2579</v>
      </c>
      <c r="I288" s="34">
        <v>8.0E-4</v>
      </c>
      <c r="J288" s="34">
        <v>0.0</v>
      </c>
      <c r="K288" s="34">
        <v>103.0</v>
      </c>
      <c r="L288" s="113">
        <v>-1.0534000000000001</v>
      </c>
    </row>
    <row r="289" ht="22.5" customHeight="1">
      <c r="A289" s="111" t="s">
        <v>28</v>
      </c>
      <c r="B289" s="112">
        <v>46059.0</v>
      </c>
      <c r="C289" s="111">
        <v>910.0</v>
      </c>
      <c r="D289" s="111" t="s">
        <v>116</v>
      </c>
      <c r="E289" s="34">
        <v>0.0</v>
      </c>
      <c r="F289" s="34">
        <v>0.01</v>
      </c>
      <c r="G289" s="34">
        <v>0.02</v>
      </c>
      <c r="H289" s="113">
        <v>1.2754</v>
      </c>
      <c r="I289" s="34">
        <v>8.0E-4</v>
      </c>
      <c r="J289" s="34">
        <v>0.0</v>
      </c>
      <c r="K289" s="34">
        <v>4.0</v>
      </c>
      <c r="L289" s="113">
        <v>-1.0762</v>
      </c>
    </row>
    <row r="290" ht="22.5" customHeight="1">
      <c r="A290" s="111" t="s">
        <v>28</v>
      </c>
      <c r="B290" s="112">
        <v>46059.0</v>
      </c>
      <c r="C290" s="111">
        <v>920.0</v>
      </c>
      <c r="D290" s="111" t="s">
        <v>116</v>
      </c>
      <c r="E290" s="34">
        <v>0.0</v>
      </c>
      <c r="F290" s="34">
        <v>0.01</v>
      </c>
      <c r="G290" s="34">
        <v>0.02</v>
      </c>
      <c r="H290" s="113">
        <v>1.2927000000000002</v>
      </c>
      <c r="I290" s="34">
        <v>8.0E-4</v>
      </c>
      <c r="J290" s="34">
        <v>0.0</v>
      </c>
      <c r="K290" s="34">
        <v>2.0</v>
      </c>
      <c r="L290" s="113">
        <v>-1.099</v>
      </c>
    </row>
    <row r="291" ht="22.5" customHeight="1">
      <c r="A291" s="111" t="s">
        <v>28</v>
      </c>
      <c r="B291" s="112">
        <v>46059.0</v>
      </c>
      <c r="C291" s="111">
        <v>930.0</v>
      </c>
      <c r="D291" s="111" t="s">
        <v>116</v>
      </c>
      <c r="E291" s="34">
        <v>0.0</v>
      </c>
      <c r="F291" s="34">
        <v>0.01</v>
      </c>
      <c r="G291" s="34">
        <v>0.02</v>
      </c>
      <c r="H291" s="113">
        <v>1.3097999999999999</v>
      </c>
      <c r="I291" s="34">
        <v>8.0E-4</v>
      </c>
      <c r="J291" s="34">
        <v>0.0</v>
      </c>
      <c r="K291" s="34">
        <v>2.0</v>
      </c>
      <c r="L291" s="113">
        <v>-1.1218000000000001</v>
      </c>
    </row>
    <row r="292" ht="22.5" customHeight="1">
      <c r="A292" s="111" t="s">
        <v>28</v>
      </c>
      <c r="B292" s="112">
        <v>46059.0</v>
      </c>
      <c r="C292" s="111">
        <v>940.0</v>
      </c>
      <c r="D292" s="111" t="s">
        <v>116</v>
      </c>
      <c r="E292" s="34">
        <v>0.0</v>
      </c>
      <c r="F292" s="34">
        <v>0.01</v>
      </c>
      <c r="G292" s="34">
        <v>0.02</v>
      </c>
      <c r="H292" s="113">
        <v>1.3266</v>
      </c>
      <c r="I292" s="34">
        <v>8.0E-4</v>
      </c>
      <c r="J292" s="34">
        <v>0.0</v>
      </c>
      <c r="K292" s="34">
        <v>1.0</v>
      </c>
      <c r="L292" s="113">
        <v>-1.1445999999999998</v>
      </c>
    </row>
    <row r="293" ht="22.5" customHeight="1">
      <c r="A293" s="111" t="s">
        <v>28</v>
      </c>
      <c r="B293" s="112">
        <v>46059.0</v>
      </c>
      <c r="C293" s="111">
        <v>950.0</v>
      </c>
      <c r="D293" s="111" t="s">
        <v>116</v>
      </c>
      <c r="E293" s="34">
        <v>0.0</v>
      </c>
      <c r="F293" s="34">
        <v>0.01</v>
      </c>
      <c r="G293" s="34">
        <v>0.01</v>
      </c>
      <c r="H293" s="113">
        <v>1.2783</v>
      </c>
      <c r="I293" s="34">
        <v>4.0E-4</v>
      </c>
      <c r="J293" s="34">
        <v>0.0</v>
      </c>
      <c r="K293" s="34">
        <v>2010.0</v>
      </c>
      <c r="L293" s="113">
        <v>-1.1675</v>
      </c>
    </row>
    <row r="294" ht="22.5" customHeight="1">
      <c r="A294" s="111" t="s">
        <v>28</v>
      </c>
      <c r="B294" s="112">
        <v>46059.0</v>
      </c>
      <c r="C294" s="111">
        <v>960.0</v>
      </c>
      <c r="D294" s="111" t="s">
        <v>116</v>
      </c>
      <c r="E294" s="34">
        <v>0.0</v>
      </c>
      <c r="F294" s="34">
        <v>0.01</v>
      </c>
      <c r="G294" s="34">
        <v>0.01</v>
      </c>
      <c r="H294" s="113">
        <v>1.2941</v>
      </c>
      <c r="I294" s="34">
        <v>4.0E-4</v>
      </c>
      <c r="J294" s="34">
        <v>0.0</v>
      </c>
      <c r="K294" s="34">
        <v>1.0</v>
      </c>
      <c r="L294" s="113">
        <v>-1.1903</v>
      </c>
    </row>
    <row r="295" ht="22.5" customHeight="1">
      <c r="A295" s="111" t="s">
        <v>28</v>
      </c>
      <c r="B295" s="112">
        <v>46059.0</v>
      </c>
      <c r="C295" s="111">
        <v>970.0</v>
      </c>
      <c r="D295" s="111" t="s">
        <v>116</v>
      </c>
      <c r="E295" s="34">
        <v>0.0</v>
      </c>
      <c r="F295" s="34">
        <v>0.01</v>
      </c>
      <c r="G295" s="34">
        <v>0.01</v>
      </c>
      <c r="H295" s="113">
        <v>1.3097</v>
      </c>
      <c r="I295" s="34">
        <v>4.0E-4</v>
      </c>
      <c r="J295" s="34">
        <v>0.0</v>
      </c>
      <c r="K295" s="34">
        <v>1.0</v>
      </c>
      <c r="L295" s="113">
        <v>-1.2131</v>
      </c>
    </row>
    <row r="296" ht="22.5" customHeight="1">
      <c r="A296" s="111" t="s">
        <v>28</v>
      </c>
      <c r="B296" s="112">
        <v>46059.0</v>
      </c>
      <c r="C296" s="111">
        <v>980.0</v>
      </c>
      <c r="D296" s="111" t="s">
        <v>116</v>
      </c>
      <c r="E296" s="34">
        <v>0.0</v>
      </c>
      <c r="F296" s="34">
        <v>0.01</v>
      </c>
      <c r="G296" s="34">
        <v>0.01</v>
      </c>
      <c r="H296" s="113">
        <v>1.3252000000000002</v>
      </c>
      <c r="I296" s="34">
        <v>4.0E-4</v>
      </c>
      <c r="J296" s="34">
        <v>0.0</v>
      </c>
      <c r="K296" s="34">
        <v>1132.0</v>
      </c>
      <c r="L296" s="113">
        <v>-1.2359</v>
      </c>
    </row>
    <row r="297" ht="22.5" customHeight="1">
      <c r="A297" s="111" t="s">
        <v>28</v>
      </c>
      <c r="B297" s="112">
        <v>46059.0</v>
      </c>
      <c r="C297" s="111">
        <v>80.0</v>
      </c>
      <c r="D297" s="111" t="s">
        <v>117</v>
      </c>
      <c r="E297" s="34">
        <v>0.0</v>
      </c>
      <c r="F297" s="34">
        <v>0.01</v>
      </c>
      <c r="G297" s="34">
        <v>0.01</v>
      </c>
      <c r="H297" s="113">
        <v>2.9387</v>
      </c>
      <c r="I297" s="34">
        <v>-2.0E-4</v>
      </c>
      <c r="J297" s="34">
        <v>0.0</v>
      </c>
      <c r="K297" s="34">
        <v>1.0</v>
      </c>
      <c r="L297" s="113">
        <v>-0.8175</v>
      </c>
    </row>
    <row r="298" ht="22.5" customHeight="1">
      <c r="A298" s="111" t="s">
        <v>28</v>
      </c>
      <c r="B298" s="112">
        <v>46059.0</v>
      </c>
      <c r="C298" s="111">
        <v>90.0</v>
      </c>
      <c r="D298" s="111" t="s">
        <v>117</v>
      </c>
      <c r="E298" s="34">
        <v>0.0</v>
      </c>
      <c r="F298" s="34">
        <v>0.01</v>
      </c>
      <c r="G298" s="34">
        <v>0.01</v>
      </c>
      <c r="H298" s="113">
        <v>2.7377</v>
      </c>
      <c r="I298" s="34">
        <v>-2.0E-4</v>
      </c>
      <c r="J298" s="34">
        <v>0.0</v>
      </c>
      <c r="K298" s="34">
        <v>1.0</v>
      </c>
      <c r="L298" s="113">
        <v>-0.7947</v>
      </c>
    </row>
    <row r="299" ht="22.5" customHeight="1">
      <c r="A299" s="111" t="s">
        <v>28</v>
      </c>
      <c r="B299" s="112">
        <v>46059.0</v>
      </c>
      <c r="C299" s="111">
        <v>100.0</v>
      </c>
      <c r="D299" s="111" t="s">
        <v>117</v>
      </c>
      <c r="E299" s="34">
        <v>0.0</v>
      </c>
      <c r="F299" s="34">
        <v>0.01</v>
      </c>
      <c r="G299" s="34">
        <v>0.01</v>
      </c>
      <c r="H299" s="113">
        <v>2.5586</v>
      </c>
      <c r="I299" s="34">
        <v>-2.0E-4</v>
      </c>
      <c r="J299" s="34">
        <v>0.0</v>
      </c>
      <c r="K299" s="34">
        <v>604.0</v>
      </c>
      <c r="L299" s="113">
        <v>-0.7718</v>
      </c>
    </row>
    <row r="300" ht="22.5" customHeight="1">
      <c r="A300" s="111" t="s">
        <v>28</v>
      </c>
      <c r="B300" s="112">
        <v>46059.0</v>
      </c>
      <c r="C300" s="111">
        <v>110.0</v>
      </c>
      <c r="D300" s="111" t="s">
        <v>117</v>
      </c>
      <c r="E300" s="34">
        <v>0.0</v>
      </c>
      <c r="F300" s="34">
        <v>0.01</v>
      </c>
      <c r="G300" s="34">
        <v>0.01</v>
      </c>
      <c r="H300" s="113">
        <v>2.397</v>
      </c>
      <c r="I300" s="34">
        <v>-2.0E-4</v>
      </c>
      <c r="J300" s="34">
        <v>0.0</v>
      </c>
      <c r="K300" s="34">
        <v>3.0</v>
      </c>
      <c r="L300" s="113">
        <v>-0.7490000000000001</v>
      </c>
    </row>
    <row r="301" ht="22.5" customHeight="1">
      <c r="A301" s="111" t="s">
        <v>28</v>
      </c>
      <c r="B301" s="112">
        <v>46059.0</v>
      </c>
      <c r="C301" s="111">
        <v>120.0</v>
      </c>
      <c r="D301" s="111" t="s">
        <v>117</v>
      </c>
      <c r="E301" s="34">
        <v>0.0</v>
      </c>
      <c r="F301" s="34">
        <v>0.01</v>
      </c>
      <c r="G301" s="34">
        <v>0.01</v>
      </c>
      <c r="H301" s="113">
        <v>2.2499000000000002</v>
      </c>
      <c r="I301" s="34">
        <v>-2.0E-4</v>
      </c>
      <c r="J301" s="34">
        <v>0.0</v>
      </c>
      <c r="K301" s="34">
        <v>35.0</v>
      </c>
      <c r="L301" s="113">
        <v>-0.7262000000000001</v>
      </c>
    </row>
    <row r="302" ht="22.5" customHeight="1">
      <c r="A302" s="111" t="s">
        <v>28</v>
      </c>
      <c r="B302" s="112">
        <v>46059.0</v>
      </c>
      <c r="C302" s="111">
        <v>130.0</v>
      </c>
      <c r="D302" s="111" t="s">
        <v>117</v>
      </c>
      <c r="E302" s="34">
        <v>0.0</v>
      </c>
      <c r="F302" s="34">
        <v>0.01</v>
      </c>
      <c r="G302" s="34">
        <v>0.02</v>
      </c>
      <c r="H302" s="113">
        <v>2.23</v>
      </c>
      <c r="I302" s="34">
        <v>-4.0E-4</v>
      </c>
      <c r="J302" s="34">
        <v>0.0</v>
      </c>
      <c r="K302" s="34">
        <v>0.0</v>
      </c>
      <c r="L302" s="113">
        <v>-0.7034</v>
      </c>
    </row>
    <row r="303" ht="22.5" customHeight="1">
      <c r="A303" s="111" t="s">
        <v>28</v>
      </c>
      <c r="B303" s="112">
        <v>46059.0</v>
      </c>
      <c r="C303" s="111">
        <v>140.0</v>
      </c>
      <c r="D303" s="111" t="s">
        <v>117</v>
      </c>
      <c r="E303" s="34">
        <v>0.0</v>
      </c>
      <c r="F303" s="34">
        <v>0.01</v>
      </c>
      <c r="G303" s="34">
        <v>0.02</v>
      </c>
      <c r="H303" s="113">
        <v>2.0987</v>
      </c>
      <c r="I303" s="34">
        <v>-4.0E-4</v>
      </c>
      <c r="J303" s="34">
        <v>0.0</v>
      </c>
      <c r="K303" s="34">
        <v>3.0</v>
      </c>
      <c r="L303" s="113">
        <v>-0.6806</v>
      </c>
    </row>
    <row r="304" ht="22.5" customHeight="1">
      <c r="A304" s="111" t="s">
        <v>28</v>
      </c>
      <c r="B304" s="112">
        <v>46059.0</v>
      </c>
      <c r="C304" s="111">
        <v>150.0</v>
      </c>
      <c r="D304" s="111" t="s">
        <v>117</v>
      </c>
      <c r="E304" s="34">
        <v>0.0</v>
      </c>
      <c r="F304" s="34">
        <v>0.01</v>
      </c>
      <c r="G304" s="34">
        <v>0.02</v>
      </c>
      <c r="H304" s="113">
        <v>1.9766</v>
      </c>
      <c r="I304" s="34">
        <v>-5.0E-4</v>
      </c>
      <c r="J304" s="34">
        <v>0.0</v>
      </c>
      <c r="K304" s="34">
        <v>21.0</v>
      </c>
      <c r="L304" s="113">
        <v>-0.6578</v>
      </c>
    </row>
    <row r="305" ht="22.5" customHeight="1">
      <c r="A305" s="111" t="s">
        <v>28</v>
      </c>
      <c r="B305" s="112">
        <v>46059.0</v>
      </c>
      <c r="C305" s="111">
        <v>160.0</v>
      </c>
      <c r="D305" s="111" t="s">
        <v>117</v>
      </c>
      <c r="E305" s="34">
        <v>0.0</v>
      </c>
      <c r="F305" s="34">
        <v>0.01</v>
      </c>
      <c r="G305" s="34">
        <v>0.01</v>
      </c>
      <c r="H305" s="113">
        <v>1.7655</v>
      </c>
      <c r="I305" s="34">
        <v>-3.0E-4</v>
      </c>
      <c r="J305" s="34">
        <v>0.0</v>
      </c>
      <c r="K305" s="34">
        <v>49.0</v>
      </c>
      <c r="L305" s="113">
        <v>-0.635</v>
      </c>
    </row>
    <row r="306" ht="22.5" customHeight="1">
      <c r="A306" s="111" t="s">
        <v>28</v>
      </c>
      <c r="B306" s="112">
        <v>46059.0</v>
      </c>
      <c r="C306" s="111">
        <v>170.0</v>
      </c>
      <c r="D306" s="111" t="s">
        <v>117</v>
      </c>
      <c r="E306" s="34">
        <v>0.0</v>
      </c>
      <c r="F306" s="34">
        <v>0.01</v>
      </c>
      <c r="G306" s="34">
        <v>0.02</v>
      </c>
      <c r="H306" s="113">
        <v>1.7553999999999998</v>
      </c>
      <c r="I306" s="34">
        <v>-5.0E-4</v>
      </c>
      <c r="J306" s="34">
        <v>0.0</v>
      </c>
      <c r="K306" s="34">
        <v>18.0</v>
      </c>
      <c r="L306" s="113">
        <v>-0.6121</v>
      </c>
    </row>
    <row r="307" ht="22.5" customHeight="1">
      <c r="A307" s="111" t="s">
        <v>28</v>
      </c>
      <c r="B307" s="112">
        <v>46059.0</v>
      </c>
      <c r="C307" s="111">
        <v>180.0</v>
      </c>
      <c r="D307" s="111" t="s">
        <v>117</v>
      </c>
      <c r="E307" s="34">
        <v>0.0</v>
      </c>
      <c r="F307" s="34">
        <v>0.02</v>
      </c>
      <c r="G307" s="34">
        <v>0.03</v>
      </c>
      <c r="H307" s="113">
        <v>1.7113999999999998</v>
      </c>
      <c r="I307" s="34">
        <v>-8.0E-4</v>
      </c>
      <c r="J307" s="34">
        <v>0.0</v>
      </c>
      <c r="K307" s="34">
        <v>86.0</v>
      </c>
      <c r="L307" s="113">
        <v>-0.5893</v>
      </c>
    </row>
    <row r="308" ht="22.5" customHeight="1">
      <c r="A308" s="111" t="s">
        <v>28</v>
      </c>
      <c r="B308" s="112">
        <v>46059.0</v>
      </c>
      <c r="C308" s="111">
        <v>190.0</v>
      </c>
      <c r="D308" s="111" t="s">
        <v>117</v>
      </c>
      <c r="E308" s="34">
        <v>0.0</v>
      </c>
      <c r="F308" s="34">
        <v>0.02</v>
      </c>
      <c r="G308" s="34">
        <v>0.03</v>
      </c>
      <c r="H308" s="113">
        <v>1.4768999999999999</v>
      </c>
      <c r="I308" s="34">
        <v>-3.0E-4</v>
      </c>
      <c r="J308" s="34">
        <v>17.0</v>
      </c>
      <c r="K308" s="34">
        <v>99.0</v>
      </c>
      <c r="L308" s="113">
        <v>-0.5665</v>
      </c>
    </row>
    <row r="309" ht="22.5" customHeight="1">
      <c r="A309" s="111" t="s">
        <v>28</v>
      </c>
      <c r="B309" s="112">
        <v>46059.0</v>
      </c>
      <c r="C309" s="111">
        <v>200.0</v>
      </c>
      <c r="D309" s="111" t="s">
        <v>117</v>
      </c>
      <c r="E309" s="34">
        <v>0.0</v>
      </c>
      <c r="F309" s="34">
        <v>0.02</v>
      </c>
      <c r="G309" s="34">
        <v>0.04</v>
      </c>
      <c r="H309" s="113">
        <v>1.5585</v>
      </c>
      <c r="I309" s="34">
        <v>-0.0011</v>
      </c>
      <c r="J309" s="34">
        <v>0.0</v>
      </c>
      <c r="K309" s="34">
        <v>72.0</v>
      </c>
      <c r="L309" s="113">
        <v>-0.5437</v>
      </c>
    </row>
    <row r="310" ht="22.5" customHeight="1">
      <c r="A310" s="111" t="s">
        <v>28</v>
      </c>
      <c r="B310" s="112">
        <v>46059.0</v>
      </c>
      <c r="C310" s="111">
        <v>210.0</v>
      </c>
      <c r="D310" s="111" t="s">
        <v>117</v>
      </c>
      <c r="E310" s="34">
        <v>0.02</v>
      </c>
      <c r="F310" s="34">
        <v>0.03</v>
      </c>
      <c r="G310" s="34">
        <v>0.04</v>
      </c>
      <c r="H310" s="113">
        <v>1.4674</v>
      </c>
      <c r="I310" s="34">
        <v>-0.0012</v>
      </c>
      <c r="J310" s="34">
        <v>10.0</v>
      </c>
      <c r="K310" s="34">
        <v>15.0</v>
      </c>
      <c r="L310" s="113">
        <v>-0.5209</v>
      </c>
    </row>
    <row r="311" ht="22.5" customHeight="1">
      <c r="A311" s="111" t="s">
        <v>28</v>
      </c>
      <c r="B311" s="112">
        <v>46059.0</v>
      </c>
      <c r="C311" s="111">
        <v>220.0</v>
      </c>
      <c r="D311" s="111" t="s">
        <v>117</v>
      </c>
      <c r="E311" s="34">
        <v>0.02</v>
      </c>
      <c r="F311" s="34">
        <v>0.03</v>
      </c>
      <c r="G311" s="34">
        <v>0.04</v>
      </c>
      <c r="H311" s="113">
        <v>1.3805</v>
      </c>
      <c r="I311" s="34">
        <v>-0.0013</v>
      </c>
      <c r="J311" s="34">
        <v>5.0</v>
      </c>
      <c r="K311" s="34">
        <v>79.0</v>
      </c>
      <c r="L311" s="113">
        <v>-0.49810000000000004</v>
      </c>
    </row>
    <row r="312" ht="22.5" customHeight="1">
      <c r="A312" s="111" t="s">
        <v>28</v>
      </c>
      <c r="B312" s="112">
        <v>46059.0</v>
      </c>
      <c r="C312" s="111">
        <v>230.0</v>
      </c>
      <c r="D312" s="111" t="s">
        <v>117</v>
      </c>
      <c r="E312" s="34">
        <v>0.03</v>
      </c>
      <c r="F312" s="34">
        <v>0.04</v>
      </c>
      <c r="G312" s="34">
        <v>0.05</v>
      </c>
      <c r="H312" s="113">
        <v>1.2974</v>
      </c>
      <c r="I312" s="34">
        <v>-0.0013</v>
      </c>
      <c r="J312" s="34">
        <v>10.0</v>
      </c>
      <c r="K312" s="34">
        <v>217.0</v>
      </c>
      <c r="L312" s="113">
        <v>-0.4752</v>
      </c>
    </row>
    <row r="313" ht="22.5" customHeight="1">
      <c r="A313" s="111" t="s">
        <v>28</v>
      </c>
      <c r="B313" s="112">
        <v>46059.0</v>
      </c>
      <c r="C313" s="111">
        <v>240.0</v>
      </c>
      <c r="D313" s="111" t="s">
        <v>117</v>
      </c>
      <c r="E313" s="34">
        <v>0.04</v>
      </c>
      <c r="F313" s="34">
        <v>0.05</v>
      </c>
      <c r="G313" s="34">
        <v>0.06</v>
      </c>
      <c r="H313" s="113">
        <v>1.2435</v>
      </c>
      <c r="I313" s="34">
        <v>-0.0017</v>
      </c>
      <c r="J313" s="34">
        <v>30.0</v>
      </c>
      <c r="K313" s="34">
        <v>1278.0</v>
      </c>
      <c r="L313" s="113">
        <v>-0.4524</v>
      </c>
    </row>
    <row r="314" ht="22.5" customHeight="1">
      <c r="A314" s="111" t="s">
        <v>28</v>
      </c>
      <c r="B314" s="112">
        <v>46059.0</v>
      </c>
      <c r="C314" s="111">
        <v>250.0</v>
      </c>
      <c r="D314" s="111" t="s">
        <v>117</v>
      </c>
      <c r="E314" s="34">
        <v>0.05</v>
      </c>
      <c r="F314" s="34">
        <v>0.06</v>
      </c>
      <c r="G314" s="34">
        <v>0.07</v>
      </c>
      <c r="H314" s="113">
        <v>1.1654</v>
      </c>
      <c r="I314" s="34">
        <v>-0.0018</v>
      </c>
      <c r="J314" s="34">
        <v>3.0</v>
      </c>
      <c r="K314" s="34">
        <v>4942.0</v>
      </c>
      <c r="L314" s="113">
        <v>-0.4296</v>
      </c>
    </row>
    <row r="315" ht="22.5" customHeight="1">
      <c r="A315" s="111" t="s">
        <v>28</v>
      </c>
      <c r="B315" s="112">
        <v>46059.0</v>
      </c>
      <c r="C315" s="111">
        <v>255.0</v>
      </c>
      <c r="D315" s="111" t="s">
        <v>117</v>
      </c>
      <c r="E315" s="34">
        <v>0.06</v>
      </c>
      <c r="F315" s="34">
        <v>0.07</v>
      </c>
      <c r="G315" s="34">
        <v>0.07</v>
      </c>
      <c r="H315" s="113">
        <v>1.1478</v>
      </c>
      <c r="I315" s="34">
        <v>-0.0022</v>
      </c>
      <c r="J315" s="34">
        <v>10.0</v>
      </c>
      <c r="K315" s="34">
        <v>401.0</v>
      </c>
      <c r="L315" s="113">
        <v>-0.4182</v>
      </c>
    </row>
    <row r="316" ht="22.5" customHeight="1">
      <c r="A316" s="111" t="s">
        <v>28</v>
      </c>
      <c r="B316" s="112">
        <v>46059.0</v>
      </c>
      <c r="C316" s="111">
        <v>260.0</v>
      </c>
      <c r="D316" s="111" t="s">
        <v>117</v>
      </c>
      <c r="E316" s="34">
        <v>0.05</v>
      </c>
      <c r="F316" s="34">
        <v>0.07</v>
      </c>
      <c r="G316" s="34">
        <v>0.09</v>
      </c>
      <c r="H316" s="113">
        <v>1.1274</v>
      </c>
      <c r="I316" s="34">
        <v>-0.0026</v>
      </c>
      <c r="J316" s="34">
        <v>0.0</v>
      </c>
      <c r="K316" s="34">
        <v>431.0</v>
      </c>
      <c r="L316" s="113">
        <v>-0.4068</v>
      </c>
    </row>
    <row r="317" ht="22.5" customHeight="1">
      <c r="A317" s="111" t="s">
        <v>28</v>
      </c>
      <c r="B317" s="112">
        <v>46059.0</v>
      </c>
      <c r="C317" s="111">
        <v>265.0</v>
      </c>
      <c r="D317" s="111" t="s">
        <v>117</v>
      </c>
      <c r="E317" s="34">
        <v>0.07</v>
      </c>
      <c r="F317" s="34">
        <v>0.08</v>
      </c>
      <c r="G317" s="34">
        <v>0.09</v>
      </c>
      <c r="H317" s="113">
        <v>1.1049</v>
      </c>
      <c r="I317" s="34">
        <v>-0.003</v>
      </c>
      <c r="J317" s="34">
        <v>21.0</v>
      </c>
      <c r="K317" s="34">
        <v>542.0</v>
      </c>
      <c r="L317" s="113">
        <v>-0.3954</v>
      </c>
    </row>
    <row r="318" ht="22.5" customHeight="1">
      <c r="A318" s="111" t="s">
        <v>28</v>
      </c>
      <c r="B318" s="112">
        <v>46059.0</v>
      </c>
      <c r="C318" s="111">
        <v>270.0</v>
      </c>
      <c r="D318" s="111" t="s">
        <v>117</v>
      </c>
      <c r="E318" s="34">
        <v>0.08</v>
      </c>
      <c r="F318" s="34">
        <v>0.09</v>
      </c>
      <c r="G318" s="34">
        <v>0.1</v>
      </c>
      <c r="H318" s="113">
        <v>1.0809</v>
      </c>
      <c r="I318" s="34">
        <v>-0.0034</v>
      </c>
      <c r="J318" s="34">
        <v>13.0</v>
      </c>
      <c r="K318" s="34">
        <v>1347.0</v>
      </c>
      <c r="L318" s="113">
        <v>-0.384</v>
      </c>
    </row>
    <row r="319" ht="22.5" customHeight="1">
      <c r="A319" s="111" t="s">
        <v>28</v>
      </c>
      <c r="B319" s="112">
        <v>46059.0</v>
      </c>
      <c r="C319" s="111">
        <v>275.0</v>
      </c>
      <c r="D319" s="111" t="s">
        <v>117</v>
      </c>
      <c r="E319" s="34">
        <v>0.09</v>
      </c>
      <c r="F319" s="34">
        <v>0.11</v>
      </c>
      <c r="G319" s="34">
        <v>0.12</v>
      </c>
      <c r="H319" s="113">
        <v>1.0772</v>
      </c>
      <c r="I319" s="34">
        <v>-0.0044</v>
      </c>
      <c r="J319" s="34">
        <v>1.0</v>
      </c>
      <c r="K319" s="34">
        <v>289.0</v>
      </c>
      <c r="L319" s="113">
        <v>-0.3726</v>
      </c>
    </row>
    <row r="320" ht="22.5" customHeight="1">
      <c r="A320" s="111" t="s">
        <v>28</v>
      </c>
      <c r="B320" s="112">
        <v>46059.0</v>
      </c>
      <c r="C320" s="111">
        <v>280.0</v>
      </c>
      <c r="D320" s="111" t="s">
        <v>117</v>
      </c>
      <c r="E320" s="34">
        <v>0.1</v>
      </c>
      <c r="F320" s="34">
        <v>0.12</v>
      </c>
      <c r="G320" s="34">
        <v>0.13</v>
      </c>
      <c r="H320" s="113">
        <v>1.0395999999999999</v>
      </c>
      <c r="I320" s="34">
        <v>-0.0046</v>
      </c>
      <c r="J320" s="34">
        <v>138.0</v>
      </c>
      <c r="K320" s="34">
        <v>1221.0</v>
      </c>
      <c r="L320" s="113">
        <v>-0.36119999999999997</v>
      </c>
    </row>
    <row r="321" ht="22.5" customHeight="1">
      <c r="A321" s="111" t="s">
        <v>28</v>
      </c>
      <c r="B321" s="112">
        <v>46059.0</v>
      </c>
      <c r="C321" s="111">
        <v>285.0</v>
      </c>
      <c r="D321" s="111" t="s">
        <v>117</v>
      </c>
      <c r="E321" s="34">
        <v>0.11</v>
      </c>
      <c r="F321" s="34">
        <v>0.13</v>
      </c>
      <c r="G321" s="34">
        <v>0.14</v>
      </c>
      <c r="H321" s="113">
        <v>1.0119</v>
      </c>
      <c r="I321" s="34">
        <v>-0.005</v>
      </c>
      <c r="J321" s="34">
        <v>2.0</v>
      </c>
      <c r="K321" s="34">
        <v>89.0</v>
      </c>
      <c r="L321" s="113">
        <v>-0.34979999999999994</v>
      </c>
    </row>
    <row r="322" ht="22.5" customHeight="1">
      <c r="A322" s="111" t="s">
        <v>28</v>
      </c>
      <c r="B322" s="112">
        <v>46059.0</v>
      </c>
      <c r="C322" s="111">
        <v>290.0</v>
      </c>
      <c r="D322" s="111" t="s">
        <v>117</v>
      </c>
      <c r="E322" s="34">
        <v>0.13</v>
      </c>
      <c r="F322" s="34">
        <v>0.14</v>
      </c>
      <c r="G322" s="34">
        <v>0.15</v>
      </c>
      <c r="H322" s="113">
        <v>0.9836</v>
      </c>
      <c r="I322" s="34">
        <v>-0.0055</v>
      </c>
      <c r="J322" s="34">
        <v>16.0</v>
      </c>
      <c r="K322" s="34">
        <v>165.0</v>
      </c>
      <c r="L322" s="113">
        <v>-0.33840000000000003</v>
      </c>
    </row>
    <row r="323" ht="22.5" customHeight="1">
      <c r="A323" s="111" t="s">
        <v>28</v>
      </c>
      <c r="B323" s="112">
        <v>46059.0</v>
      </c>
      <c r="C323" s="111">
        <v>295.0</v>
      </c>
      <c r="D323" s="111" t="s">
        <v>117</v>
      </c>
      <c r="E323" s="34">
        <v>0.14</v>
      </c>
      <c r="F323" s="34">
        <v>0.15</v>
      </c>
      <c r="G323" s="34">
        <v>0.16</v>
      </c>
      <c r="H323" s="113">
        <v>0.9625</v>
      </c>
      <c r="I323" s="34">
        <v>-0.0064</v>
      </c>
      <c r="J323" s="34">
        <v>10.0</v>
      </c>
      <c r="K323" s="34">
        <v>239.0</v>
      </c>
      <c r="L323" s="113">
        <v>-0.32689999999999997</v>
      </c>
    </row>
    <row r="324" ht="22.5" customHeight="1">
      <c r="A324" s="111" t="s">
        <v>28</v>
      </c>
      <c r="B324" s="112">
        <v>46059.0</v>
      </c>
      <c r="C324" s="111">
        <v>300.0</v>
      </c>
      <c r="D324" s="111" t="s">
        <v>117</v>
      </c>
      <c r="E324" s="34">
        <v>0.16</v>
      </c>
      <c r="F324" s="34">
        <v>0.17</v>
      </c>
      <c r="G324" s="34">
        <v>0.18</v>
      </c>
      <c r="H324" s="113">
        <v>0.9396</v>
      </c>
      <c r="I324" s="34">
        <v>-0.0073</v>
      </c>
      <c r="J324" s="34">
        <v>419.0</v>
      </c>
      <c r="K324" s="34">
        <v>1323.0</v>
      </c>
      <c r="L324" s="113">
        <v>-0.3155</v>
      </c>
    </row>
    <row r="325" ht="22.5" customHeight="1">
      <c r="A325" s="111" t="s">
        <v>28</v>
      </c>
      <c r="B325" s="112">
        <v>46059.0</v>
      </c>
      <c r="C325" s="111">
        <v>305.0</v>
      </c>
      <c r="D325" s="111" t="s">
        <v>117</v>
      </c>
      <c r="E325" s="34">
        <v>0.18</v>
      </c>
      <c r="F325" s="34">
        <v>0.19</v>
      </c>
      <c r="G325" s="34">
        <v>0.2</v>
      </c>
      <c r="H325" s="113">
        <v>0.9033</v>
      </c>
      <c r="I325" s="34">
        <v>-0.0075</v>
      </c>
      <c r="J325" s="34">
        <v>42.0</v>
      </c>
      <c r="K325" s="34">
        <v>242.0</v>
      </c>
      <c r="L325" s="113">
        <v>-0.3041</v>
      </c>
    </row>
    <row r="326" ht="22.5" customHeight="1">
      <c r="A326" s="111" t="s">
        <v>28</v>
      </c>
      <c r="B326" s="112">
        <v>46059.0</v>
      </c>
      <c r="C326" s="111">
        <v>310.0</v>
      </c>
      <c r="D326" s="111" t="s">
        <v>117</v>
      </c>
      <c r="E326" s="34">
        <v>0.2</v>
      </c>
      <c r="F326" s="34">
        <v>0.21</v>
      </c>
      <c r="G326" s="34">
        <v>0.22</v>
      </c>
      <c r="H326" s="113">
        <v>0.8901</v>
      </c>
      <c r="I326" s="34">
        <v>-0.0092</v>
      </c>
      <c r="J326" s="34">
        <v>30.0</v>
      </c>
      <c r="K326" s="34">
        <v>876.0</v>
      </c>
      <c r="L326" s="113">
        <v>-0.2927</v>
      </c>
    </row>
    <row r="327" ht="22.5" customHeight="1">
      <c r="A327" s="111" t="s">
        <v>28</v>
      </c>
      <c r="B327" s="112">
        <v>46059.0</v>
      </c>
      <c r="C327" s="111">
        <v>315.0</v>
      </c>
      <c r="D327" s="111" t="s">
        <v>117</v>
      </c>
      <c r="E327" s="34">
        <v>0.23</v>
      </c>
      <c r="F327" s="34">
        <v>0.24</v>
      </c>
      <c r="G327" s="34">
        <v>0.25</v>
      </c>
      <c r="H327" s="113">
        <v>0.8640000000000001</v>
      </c>
      <c r="I327" s="34">
        <v>-0.0102</v>
      </c>
      <c r="J327" s="34">
        <v>14.0</v>
      </c>
      <c r="K327" s="34">
        <v>624.0</v>
      </c>
      <c r="L327" s="113">
        <v>-0.2813</v>
      </c>
    </row>
    <row r="328" ht="22.5" customHeight="1">
      <c r="A328" s="111" t="s">
        <v>28</v>
      </c>
      <c r="B328" s="112">
        <v>46059.0</v>
      </c>
      <c r="C328" s="111">
        <v>320.0</v>
      </c>
      <c r="D328" s="111" t="s">
        <v>117</v>
      </c>
      <c r="E328" s="34">
        <v>0.25</v>
      </c>
      <c r="F328" s="34">
        <v>0.26</v>
      </c>
      <c r="G328" s="34">
        <v>0.27</v>
      </c>
      <c r="H328" s="113">
        <v>0.8414</v>
      </c>
      <c r="I328" s="34">
        <v>-0.0116</v>
      </c>
      <c r="J328" s="34">
        <v>146.0</v>
      </c>
      <c r="K328" s="34">
        <v>1522.0</v>
      </c>
      <c r="L328" s="113">
        <v>-0.2699</v>
      </c>
    </row>
    <row r="329" ht="22.5" customHeight="1">
      <c r="A329" s="111" t="s">
        <v>28</v>
      </c>
      <c r="B329" s="112">
        <v>46059.0</v>
      </c>
      <c r="C329" s="111">
        <v>325.0</v>
      </c>
      <c r="D329" s="111" t="s">
        <v>117</v>
      </c>
      <c r="E329" s="34">
        <v>0.28</v>
      </c>
      <c r="F329" s="34">
        <v>0.3</v>
      </c>
      <c r="G329" s="34">
        <v>0.31</v>
      </c>
      <c r="H329" s="113">
        <v>0.8212999999999999</v>
      </c>
      <c r="I329" s="34">
        <v>-0.0134</v>
      </c>
      <c r="J329" s="34">
        <v>40.0</v>
      </c>
      <c r="K329" s="34">
        <v>1538.0</v>
      </c>
      <c r="L329" s="113">
        <v>-0.2585</v>
      </c>
    </row>
    <row r="330" ht="22.5" customHeight="1">
      <c r="A330" s="111" t="s">
        <v>28</v>
      </c>
      <c r="B330" s="112">
        <v>46059.0</v>
      </c>
      <c r="C330" s="111">
        <v>330.0</v>
      </c>
      <c r="D330" s="111" t="s">
        <v>117</v>
      </c>
      <c r="E330" s="34">
        <v>0.33</v>
      </c>
      <c r="F330" s="34">
        <v>0.34</v>
      </c>
      <c r="G330" s="34">
        <v>0.34</v>
      </c>
      <c r="H330" s="113">
        <v>0.794</v>
      </c>
      <c r="I330" s="34">
        <v>-0.0149</v>
      </c>
      <c r="J330" s="34">
        <v>136.0</v>
      </c>
      <c r="K330" s="34">
        <v>1369.0</v>
      </c>
      <c r="L330" s="113">
        <v>-0.24710000000000001</v>
      </c>
    </row>
    <row r="331" ht="22.5" customHeight="1">
      <c r="A331" s="111" t="s">
        <v>28</v>
      </c>
      <c r="B331" s="112">
        <v>46059.0</v>
      </c>
      <c r="C331" s="111">
        <v>335.0</v>
      </c>
      <c r="D331" s="111" t="s">
        <v>117</v>
      </c>
      <c r="E331" s="34">
        <v>0.37</v>
      </c>
      <c r="F331" s="34">
        <v>0.38</v>
      </c>
      <c r="G331" s="34">
        <v>0.39</v>
      </c>
      <c r="H331" s="113">
        <v>0.7755</v>
      </c>
      <c r="I331" s="34">
        <v>-0.0174</v>
      </c>
      <c r="J331" s="34">
        <v>3.0</v>
      </c>
      <c r="K331" s="34">
        <v>419.0</v>
      </c>
      <c r="L331" s="113">
        <v>-0.2357</v>
      </c>
    </row>
    <row r="332" ht="22.5" customHeight="1">
      <c r="A332" s="111" t="s">
        <v>28</v>
      </c>
      <c r="B332" s="112">
        <v>46059.0</v>
      </c>
      <c r="C332" s="111">
        <v>340.0</v>
      </c>
      <c r="D332" s="111" t="s">
        <v>117</v>
      </c>
      <c r="E332" s="34">
        <v>0.42</v>
      </c>
      <c r="F332" s="34">
        <v>0.43</v>
      </c>
      <c r="G332" s="34">
        <v>0.44</v>
      </c>
      <c r="H332" s="113">
        <v>0.7505</v>
      </c>
      <c r="I332" s="34">
        <v>-0.0196</v>
      </c>
      <c r="J332" s="34">
        <v>36.0</v>
      </c>
      <c r="K332" s="34">
        <v>1464.0</v>
      </c>
      <c r="L332" s="113">
        <v>-0.2243</v>
      </c>
    </row>
    <row r="333" ht="22.5" customHeight="1">
      <c r="A333" s="111" t="s">
        <v>28</v>
      </c>
      <c r="B333" s="112">
        <v>46059.0</v>
      </c>
      <c r="C333" s="111">
        <v>342.5</v>
      </c>
      <c r="D333" s="111" t="s">
        <v>117</v>
      </c>
      <c r="E333" s="34">
        <v>0.45</v>
      </c>
      <c r="F333" s="34">
        <v>0.46</v>
      </c>
      <c r="G333" s="34">
        <v>0.47</v>
      </c>
      <c r="H333" s="113">
        <v>0.7401000000000001</v>
      </c>
      <c r="I333" s="34">
        <v>-0.021</v>
      </c>
      <c r="J333" s="34">
        <v>0.0</v>
      </c>
      <c r="K333" s="34">
        <v>25.0</v>
      </c>
      <c r="L333" s="113">
        <v>-0.2186</v>
      </c>
    </row>
    <row r="334" ht="22.5" customHeight="1">
      <c r="A334" s="111" t="s">
        <v>28</v>
      </c>
      <c r="B334" s="112">
        <v>46059.0</v>
      </c>
      <c r="C334" s="111">
        <v>345.0</v>
      </c>
      <c r="D334" s="111" t="s">
        <v>117</v>
      </c>
      <c r="E334" s="34">
        <v>0.48</v>
      </c>
      <c r="F334" s="34">
        <v>0.49</v>
      </c>
      <c r="G334" s="34">
        <v>0.5</v>
      </c>
      <c r="H334" s="113">
        <v>0.7293000000000001</v>
      </c>
      <c r="I334" s="34">
        <v>-0.0225</v>
      </c>
      <c r="J334" s="34">
        <v>11.0</v>
      </c>
      <c r="K334" s="34">
        <v>221.0</v>
      </c>
      <c r="L334" s="113">
        <v>-0.21289999999999998</v>
      </c>
    </row>
    <row r="335" ht="22.5" customHeight="1">
      <c r="A335" s="111" t="s">
        <v>28</v>
      </c>
      <c r="B335" s="112">
        <v>46059.0</v>
      </c>
      <c r="C335" s="111">
        <v>347.5</v>
      </c>
      <c r="D335" s="111" t="s">
        <v>117</v>
      </c>
      <c r="E335" s="34">
        <v>0.51</v>
      </c>
      <c r="F335" s="34">
        <v>0.53</v>
      </c>
      <c r="G335" s="34">
        <v>0.54</v>
      </c>
      <c r="H335" s="113">
        <v>0.7191</v>
      </c>
      <c r="I335" s="34">
        <v>-0.0243</v>
      </c>
      <c r="J335" s="34">
        <v>0.0</v>
      </c>
      <c r="K335" s="34">
        <v>6.0</v>
      </c>
      <c r="L335" s="113">
        <v>-0.2072</v>
      </c>
    </row>
    <row r="336" ht="22.5" customHeight="1">
      <c r="A336" s="111" t="s">
        <v>28</v>
      </c>
      <c r="B336" s="112">
        <v>46059.0</v>
      </c>
      <c r="C336" s="111">
        <v>350.0</v>
      </c>
      <c r="D336" s="111" t="s">
        <v>117</v>
      </c>
      <c r="E336" s="34">
        <v>0.55</v>
      </c>
      <c r="F336" s="34">
        <v>0.57</v>
      </c>
      <c r="G336" s="34">
        <v>0.58</v>
      </c>
      <c r="H336" s="113">
        <v>0.7094</v>
      </c>
      <c r="I336" s="34">
        <v>-0.0262</v>
      </c>
      <c r="J336" s="34">
        <v>275.0</v>
      </c>
      <c r="K336" s="34">
        <v>4308.0</v>
      </c>
      <c r="L336" s="113">
        <v>-0.20149999999999998</v>
      </c>
    </row>
    <row r="337" ht="22.5" customHeight="1">
      <c r="A337" s="111" t="s">
        <v>28</v>
      </c>
      <c r="B337" s="112">
        <v>46059.0</v>
      </c>
      <c r="C337" s="111">
        <v>352.5</v>
      </c>
      <c r="D337" s="111" t="s">
        <v>117</v>
      </c>
      <c r="E337" s="34">
        <v>0.6</v>
      </c>
      <c r="F337" s="34">
        <v>0.61</v>
      </c>
      <c r="G337" s="34">
        <v>0.62</v>
      </c>
      <c r="H337" s="113">
        <v>0.7001000000000001</v>
      </c>
      <c r="I337" s="34">
        <v>-0.0284</v>
      </c>
      <c r="J337" s="34">
        <v>0.0</v>
      </c>
      <c r="K337" s="34">
        <v>44.0</v>
      </c>
      <c r="L337" s="113">
        <v>-0.19579999999999997</v>
      </c>
    </row>
    <row r="338" ht="22.5" customHeight="1">
      <c r="A338" s="111" t="s">
        <v>28</v>
      </c>
      <c r="B338" s="112">
        <v>46059.0</v>
      </c>
      <c r="C338" s="111">
        <v>355.0</v>
      </c>
      <c r="D338" s="111" t="s">
        <v>117</v>
      </c>
      <c r="E338" s="34">
        <v>0.64</v>
      </c>
      <c r="F338" s="34">
        <v>0.66</v>
      </c>
      <c r="G338" s="34">
        <v>0.67</v>
      </c>
      <c r="H338" s="113">
        <v>0.6892</v>
      </c>
      <c r="I338" s="34">
        <v>-0.0304</v>
      </c>
      <c r="J338" s="34">
        <v>27.0</v>
      </c>
      <c r="K338" s="34">
        <v>386.0</v>
      </c>
      <c r="L338" s="113">
        <v>-0.19010000000000002</v>
      </c>
    </row>
    <row r="339" ht="22.5" customHeight="1">
      <c r="A339" s="111" t="s">
        <v>28</v>
      </c>
      <c r="B339" s="112">
        <v>46059.0</v>
      </c>
      <c r="C339" s="111">
        <v>357.5</v>
      </c>
      <c r="D339" s="111" t="s">
        <v>117</v>
      </c>
      <c r="E339" s="34">
        <v>0.69</v>
      </c>
      <c r="F339" s="34">
        <v>0.71</v>
      </c>
      <c r="G339" s="34">
        <v>0.72</v>
      </c>
      <c r="H339" s="113">
        <v>0.6804000000000001</v>
      </c>
      <c r="I339" s="34">
        <v>-0.033</v>
      </c>
      <c r="J339" s="34">
        <v>0.0</v>
      </c>
      <c r="K339" s="34">
        <v>4.0</v>
      </c>
      <c r="L339" s="113">
        <v>-0.1843</v>
      </c>
    </row>
    <row r="340" ht="22.5" customHeight="1">
      <c r="A340" s="111" t="s">
        <v>28</v>
      </c>
      <c r="B340" s="112">
        <v>46059.0</v>
      </c>
      <c r="C340" s="111">
        <v>360.0</v>
      </c>
      <c r="D340" s="111" t="s">
        <v>117</v>
      </c>
      <c r="E340" s="34">
        <v>0.75</v>
      </c>
      <c r="F340" s="34">
        <v>0.77</v>
      </c>
      <c r="G340" s="34">
        <v>0.78</v>
      </c>
      <c r="H340" s="113">
        <v>0.6717</v>
      </c>
      <c r="I340" s="34">
        <v>-0.0359</v>
      </c>
      <c r="J340" s="34">
        <v>76.0</v>
      </c>
      <c r="K340" s="34">
        <v>831.0</v>
      </c>
      <c r="L340" s="113">
        <v>-0.17859999999999998</v>
      </c>
    </row>
    <row r="341" ht="22.5" customHeight="1">
      <c r="A341" s="111" t="s">
        <v>28</v>
      </c>
      <c r="B341" s="112">
        <v>46059.0</v>
      </c>
      <c r="C341" s="111">
        <v>362.5</v>
      </c>
      <c r="D341" s="111" t="s">
        <v>117</v>
      </c>
      <c r="E341" s="34">
        <v>0.82</v>
      </c>
      <c r="F341" s="34">
        <v>0.84</v>
      </c>
      <c r="G341" s="34">
        <v>0.85</v>
      </c>
      <c r="H341" s="113">
        <v>0.6637000000000001</v>
      </c>
      <c r="I341" s="34">
        <v>-0.0392</v>
      </c>
      <c r="J341" s="34">
        <v>1.0</v>
      </c>
      <c r="K341" s="34">
        <v>18.0</v>
      </c>
      <c r="L341" s="113">
        <v>-0.1729</v>
      </c>
    </row>
    <row r="342" ht="22.5" customHeight="1">
      <c r="A342" s="111" t="s">
        <v>28</v>
      </c>
      <c r="B342" s="112">
        <v>46059.0</v>
      </c>
      <c r="C342" s="111">
        <v>365.0</v>
      </c>
      <c r="D342" s="111" t="s">
        <v>117</v>
      </c>
      <c r="E342" s="34">
        <v>0.89</v>
      </c>
      <c r="F342" s="34">
        <v>0.91</v>
      </c>
      <c r="G342" s="34">
        <v>0.92</v>
      </c>
      <c r="H342" s="113">
        <v>0.6548</v>
      </c>
      <c r="I342" s="34">
        <v>-0.0425</v>
      </c>
      <c r="J342" s="34">
        <v>38.0</v>
      </c>
      <c r="K342" s="34">
        <v>610.0</v>
      </c>
      <c r="L342" s="113">
        <v>-0.1672</v>
      </c>
    </row>
    <row r="343" ht="22.5" customHeight="1">
      <c r="A343" s="111" t="s">
        <v>28</v>
      </c>
      <c r="B343" s="112">
        <v>46059.0</v>
      </c>
      <c r="C343" s="111">
        <v>367.5</v>
      </c>
      <c r="D343" s="111" t="s">
        <v>117</v>
      </c>
      <c r="E343" s="34">
        <v>0.97</v>
      </c>
      <c r="F343" s="34">
        <v>0.99</v>
      </c>
      <c r="G343" s="34">
        <v>1.0</v>
      </c>
      <c r="H343" s="113">
        <v>0.6465000000000001</v>
      </c>
      <c r="I343" s="34">
        <v>-0.0462</v>
      </c>
      <c r="J343" s="34">
        <v>4.0</v>
      </c>
      <c r="K343" s="34">
        <v>165.0</v>
      </c>
      <c r="L343" s="113">
        <v>-0.16149999999999998</v>
      </c>
    </row>
    <row r="344" ht="22.5" customHeight="1">
      <c r="A344" s="111" t="s">
        <v>28</v>
      </c>
      <c r="B344" s="112">
        <v>46059.0</v>
      </c>
      <c r="C344" s="111">
        <v>370.0</v>
      </c>
      <c r="D344" s="111" t="s">
        <v>117</v>
      </c>
      <c r="E344" s="34">
        <v>1.06</v>
      </c>
      <c r="F344" s="34">
        <v>1.08</v>
      </c>
      <c r="G344" s="34">
        <v>1.09</v>
      </c>
      <c r="H344" s="113">
        <v>0.6385000000000001</v>
      </c>
      <c r="I344" s="34">
        <v>-0.0504</v>
      </c>
      <c r="J344" s="34">
        <v>74.0</v>
      </c>
      <c r="K344" s="34">
        <v>1112.0</v>
      </c>
      <c r="L344" s="113">
        <v>-0.1558</v>
      </c>
    </row>
    <row r="345" ht="22.5" customHeight="1">
      <c r="A345" s="111" t="s">
        <v>28</v>
      </c>
      <c r="B345" s="112">
        <v>46059.0</v>
      </c>
      <c r="C345" s="111">
        <v>372.5</v>
      </c>
      <c r="D345" s="111" t="s">
        <v>117</v>
      </c>
      <c r="E345" s="34">
        <v>1.17</v>
      </c>
      <c r="F345" s="34">
        <v>1.19</v>
      </c>
      <c r="G345" s="34">
        <v>1.2</v>
      </c>
      <c r="H345" s="113">
        <v>0.6319</v>
      </c>
      <c r="I345" s="34">
        <v>-0.0553</v>
      </c>
      <c r="J345" s="34">
        <v>6.0</v>
      </c>
      <c r="K345" s="34">
        <v>55.0</v>
      </c>
      <c r="L345" s="113">
        <v>-0.1501</v>
      </c>
    </row>
    <row r="346" ht="22.5" customHeight="1">
      <c r="A346" s="111" t="s">
        <v>28</v>
      </c>
      <c r="B346" s="112">
        <v>46059.0</v>
      </c>
      <c r="C346" s="111">
        <v>375.0</v>
      </c>
      <c r="D346" s="111" t="s">
        <v>117</v>
      </c>
      <c r="E346" s="34">
        <v>1.28</v>
      </c>
      <c r="F346" s="34">
        <v>1.29</v>
      </c>
      <c r="G346" s="34">
        <v>1.3</v>
      </c>
      <c r="H346" s="113">
        <v>0.6236</v>
      </c>
      <c r="I346" s="34">
        <v>-0.0602</v>
      </c>
      <c r="J346" s="34">
        <v>56.0</v>
      </c>
      <c r="K346" s="34">
        <v>833.0</v>
      </c>
      <c r="L346" s="113">
        <v>-0.1444</v>
      </c>
    </row>
    <row r="347" ht="22.5" customHeight="1">
      <c r="A347" s="111" t="s">
        <v>28</v>
      </c>
      <c r="B347" s="112">
        <v>46059.0</v>
      </c>
      <c r="C347" s="111">
        <v>377.5</v>
      </c>
      <c r="D347" s="111" t="s">
        <v>117</v>
      </c>
      <c r="E347" s="34">
        <v>1.41</v>
      </c>
      <c r="F347" s="34">
        <v>1.42</v>
      </c>
      <c r="G347" s="34">
        <v>1.44</v>
      </c>
      <c r="H347" s="113">
        <v>0.6174000000000001</v>
      </c>
      <c r="I347" s="34">
        <v>-0.066</v>
      </c>
      <c r="J347" s="34">
        <v>3.0</v>
      </c>
      <c r="K347" s="34">
        <v>30.0</v>
      </c>
      <c r="L347" s="113">
        <v>-0.1387</v>
      </c>
    </row>
    <row r="348" ht="22.5" customHeight="1">
      <c r="A348" s="111" t="s">
        <v>28</v>
      </c>
      <c r="B348" s="112">
        <v>46059.0</v>
      </c>
      <c r="C348" s="111">
        <v>380.0</v>
      </c>
      <c r="D348" s="111" t="s">
        <v>117</v>
      </c>
      <c r="E348" s="34">
        <v>1.55</v>
      </c>
      <c r="F348" s="34">
        <v>1.57</v>
      </c>
      <c r="G348" s="34">
        <v>1.58</v>
      </c>
      <c r="H348" s="113">
        <v>0.6109</v>
      </c>
      <c r="I348" s="34">
        <v>-0.0723</v>
      </c>
      <c r="J348" s="34">
        <v>236.0</v>
      </c>
      <c r="K348" s="34">
        <v>1470.0</v>
      </c>
      <c r="L348" s="113">
        <v>-0.133</v>
      </c>
    </row>
    <row r="349" ht="22.5" customHeight="1">
      <c r="A349" s="111" t="s">
        <v>28</v>
      </c>
      <c r="B349" s="112">
        <v>46059.0</v>
      </c>
      <c r="C349" s="111">
        <v>382.5</v>
      </c>
      <c r="D349" s="111" t="s">
        <v>117</v>
      </c>
      <c r="E349" s="34">
        <v>1.71</v>
      </c>
      <c r="F349" s="34">
        <v>1.73</v>
      </c>
      <c r="G349" s="34">
        <v>1.75</v>
      </c>
      <c r="H349" s="113">
        <v>0.6045</v>
      </c>
      <c r="I349" s="34">
        <v>-0.0792</v>
      </c>
      <c r="J349" s="34">
        <v>16.0</v>
      </c>
      <c r="K349" s="34">
        <v>52.0</v>
      </c>
      <c r="L349" s="113">
        <v>-0.1273</v>
      </c>
    </row>
    <row r="350" ht="22.5" customHeight="1">
      <c r="A350" s="111" t="s">
        <v>28</v>
      </c>
      <c r="B350" s="112">
        <v>46059.0</v>
      </c>
      <c r="C350" s="111">
        <v>385.0</v>
      </c>
      <c r="D350" s="111" t="s">
        <v>117</v>
      </c>
      <c r="E350" s="34">
        <v>1.9</v>
      </c>
      <c r="F350" s="34">
        <v>1.91</v>
      </c>
      <c r="G350" s="34">
        <v>1.92</v>
      </c>
      <c r="H350" s="113">
        <v>0.5985</v>
      </c>
      <c r="I350" s="34">
        <v>-0.0868</v>
      </c>
      <c r="J350" s="34">
        <v>57.0</v>
      </c>
      <c r="K350" s="34">
        <v>889.0</v>
      </c>
      <c r="L350" s="113">
        <v>-0.1216</v>
      </c>
    </row>
    <row r="351" ht="22.5" customHeight="1">
      <c r="A351" s="111" t="s">
        <v>28</v>
      </c>
      <c r="B351" s="112">
        <v>46059.0</v>
      </c>
      <c r="C351" s="111">
        <v>387.5</v>
      </c>
      <c r="D351" s="111" t="s">
        <v>117</v>
      </c>
      <c r="E351" s="34">
        <v>2.1</v>
      </c>
      <c r="F351" s="34">
        <v>2.12</v>
      </c>
      <c r="G351" s="34">
        <v>2.14</v>
      </c>
      <c r="H351" s="113">
        <v>0.5928</v>
      </c>
      <c r="I351" s="34">
        <v>-0.0951</v>
      </c>
      <c r="J351" s="34">
        <v>23.0</v>
      </c>
      <c r="K351" s="34">
        <v>201.0</v>
      </c>
      <c r="L351" s="113">
        <v>-0.1159</v>
      </c>
    </row>
    <row r="352" ht="22.5" customHeight="1">
      <c r="A352" s="111" t="s">
        <v>28</v>
      </c>
      <c r="B352" s="112">
        <v>46059.0</v>
      </c>
      <c r="C352" s="111">
        <v>390.0</v>
      </c>
      <c r="D352" s="111" t="s">
        <v>117</v>
      </c>
      <c r="E352" s="34">
        <v>2.33</v>
      </c>
      <c r="F352" s="34">
        <v>2.34</v>
      </c>
      <c r="G352" s="34">
        <v>2.36</v>
      </c>
      <c r="H352" s="113">
        <v>0.5881000000000001</v>
      </c>
      <c r="I352" s="34">
        <v>-0.1045</v>
      </c>
      <c r="J352" s="34">
        <v>42.0</v>
      </c>
      <c r="K352" s="34">
        <v>1322.0</v>
      </c>
      <c r="L352" s="113">
        <v>-0.11019999999999999</v>
      </c>
    </row>
    <row r="353" ht="22.5" customHeight="1">
      <c r="A353" s="111" t="s">
        <v>28</v>
      </c>
      <c r="B353" s="112">
        <v>46059.0</v>
      </c>
      <c r="C353" s="111">
        <v>392.5</v>
      </c>
      <c r="D353" s="111" t="s">
        <v>117</v>
      </c>
      <c r="E353" s="34">
        <v>2.58</v>
      </c>
      <c r="F353" s="34">
        <v>2.61</v>
      </c>
      <c r="G353" s="34">
        <v>2.63</v>
      </c>
      <c r="H353" s="113">
        <v>0.5832999999999999</v>
      </c>
      <c r="I353" s="34">
        <v>-0.1145</v>
      </c>
      <c r="J353" s="34">
        <v>13.0</v>
      </c>
      <c r="K353" s="34">
        <v>61.0</v>
      </c>
      <c r="L353" s="113">
        <v>-0.1045</v>
      </c>
    </row>
    <row r="354" ht="22.5" customHeight="1">
      <c r="A354" s="111" t="s">
        <v>28</v>
      </c>
      <c r="B354" s="112">
        <v>46059.0</v>
      </c>
      <c r="C354" s="111">
        <v>395.0</v>
      </c>
      <c r="D354" s="111" t="s">
        <v>117</v>
      </c>
      <c r="E354" s="34">
        <v>2.87</v>
      </c>
      <c r="F354" s="34">
        <v>2.89</v>
      </c>
      <c r="G354" s="34">
        <v>2.91</v>
      </c>
      <c r="H354" s="113">
        <v>0.5792</v>
      </c>
      <c r="I354" s="34">
        <v>-0.1256</v>
      </c>
      <c r="J354" s="34">
        <v>47.0</v>
      </c>
      <c r="K354" s="34">
        <v>919.0</v>
      </c>
      <c r="L354" s="113">
        <v>-0.09880000000000001</v>
      </c>
    </row>
    <row r="355" ht="22.5" customHeight="1">
      <c r="A355" s="111" t="s">
        <v>28</v>
      </c>
      <c r="B355" s="112">
        <v>46059.0</v>
      </c>
      <c r="C355" s="111">
        <v>397.5</v>
      </c>
      <c r="D355" s="111" t="s">
        <v>117</v>
      </c>
      <c r="E355" s="34">
        <v>3.15</v>
      </c>
      <c r="F355" s="34">
        <v>3.2</v>
      </c>
      <c r="G355" s="34">
        <v>3.25</v>
      </c>
      <c r="H355" s="113">
        <v>0.5776</v>
      </c>
      <c r="I355" s="34">
        <v>-0.1384</v>
      </c>
      <c r="J355" s="34">
        <v>33.0</v>
      </c>
      <c r="K355" s="34">
        <v>48.0</v>
      </c>
      <c r="L355" s="113">
        <v>-0.0931</v>
      </c>
    </row>
    <row r="356" ht="22.5" customHeight="1">
      <c r="A356" s="111" t="s">
        <v>28</v>
      </c>
      <c r="B356" s="112">
        <v>46059.0</v>
      </c>
      <c r="C356" s="111">
        <v>400.0</v>
      </c>
      <c r="D356" s="111" t="s">
        <v>117</v>
      </c>
      <c r="E356" s="34">
        <v>3.55</v>
      </c>
      <c r="F356" s="34">
        <v>3.58</v>
      </c>
      <c r="G356" s="34">
        <v>3.6</v>
      </c>
      <c r="H356" s="113">
        <v>0.5707</v>
      </c>
      <c r="I356" s="34">
        <v>-0.1501</v>
      </c>
      <c r="J356" s="34">
        <v>660.0</v>
      </c>
      <c r="K356" s="34">
        <v>3871.0</v>
      </c>
      <c r="L356" s="113">
        <v>-0.0874</v>
      </c>
    </row>
    <row r="357" ht="22.5" customHeight="1">
      <c r="A357" s="111" t="s">
        <v>28</v>
      </c>
      <c r="B357" s="112">
        <v>46059.0</v>
      </c>
      <c r="C357" s="111">
        <v>402.5</v>
      </c>
      <c r="D357" s="111" t="s">
        <v>117</v>
      </c>
      <c r="E357" s="34">
        <v>3.9</v>
      </c>
      <c r="F357" s="34">
        <v>3.95</v>
      </c>
      <c r="G357" s="34">
        <v>4.0</v>
      </c>
      <c r="H357" s="113">
        <v>0.5678</v>
      </c>
      <c r="I357" s="34">
        <v>-0.1641</v>
      </c>
      <c r="J357" s="34">
        <v>9.0</v>
      </c>
      <c r="K357" s="34">
        <v>82.0</v>
      </c>
      <c r="L357" s="113">
        <v>-0.0817</v>
      </c>
    </row>
    <row r="358" ht="22.5" customHeight="1">
      <c r="A358" s="111" t="s">
        <v>28</v>
      </c>
      <c r="B358" s="112">
        <v>46059.0</v>
      </c>
      <c r="C358" s="111">
        <v>405.0</v>
      </c>
      <c r="D358" s="111" t="s">
        <v>117</v>
      </c>
      <c r="E358" s="34">
        <v>4.35</v>
      </c>
      <c r="F358" s="34">
        <v>4.4</v>
      </c>
      <c r="G358" s="34">
        <v>4.45</v>
      </c>
      <c r="H358" s="113">
        <v>0.5655</v>
      </c>
      <c r="I358" s="34">
        <v>-0.1793</v>
      </c>
      <c r="J358" s="34">
        <v>115.0</v>
      </c>
      <c r="K358" s="34">
        <v>1335.0</v>
      </c>
      <c r="L358" s="113">
        <v>-0.076</v>
      </c>
    </row>
    <row r="359" ht="22.5" customHeight="1">
      <c r="A359" s="111" t="s">
        <v>28</v>
      </c>
      <c r="B359" s="112">
        <v>46059.0</v>
      </c>
      <c r="C359" s="111">
        <v>407.5</v>
      </c>
      <c r="D359" s="111" t="s">
        <v>117</v>
      </c>
      <c r="E359" s="34">
        <v>4.85</v>
      </c>
      <c r="F359" s="34">
        <v>4.9</v>
      </c>
      <c r="G359" s="34">
        <v>4.95</v>
      </c>
      <c r="H359" s="113">
        <v>0.5637</v>
      </c>
      <c r="I359" s="34">
        <v>-0.1955</v>
      </c>
      <c r="J359" s="34">
        <v>30.0</v>
      </c>
      <c r="K359" s="34">
        <v>63.0</v>
      </c>
      <c r="L359" s="113">
        <v>-0.0703</v>
      </c>
    </row>
    <row r="360" ht="22.5" customHeight="1">
      <c r="A360" s="111" t="s">
        <v>28</v>
      </c>
      <c r="B360" s="112">
        <v>46059.0</v>
      </c>
      <c r="C360" s="111">
        <v>410.0</v>
      </c>
      <c r="D360" s="111" t="s">
        <v>117</v>
      </c>
      <c r="E360" s="34">
        <v>5.35</v>
      </c>
      <c r="F360" s="34">
        <v>5.4</v>
      </c>
      <c r="G360" s="34">
        <v>5.45</v>
      </c>
      <c r="H360" s="113">
        <v>0.56</v>
      </c>
      <c r="I360" s="34">
        <v>-0.2119</v>
      </c>
      <c r="J360" s="34">
        <v>168.0</v>
      </c>
      <c r="K360" s="34">
        <v>1932.0</v>
      </c>
      <c r="L360" s="113">
        <v>-0.0646</v>
      </c>
    </row>
    <row r="361" ht="22.5" customHeight="1">
      <c r="A361" s="111" t="s">
        <v>28</v>
      </c>
      <c r="B361" s="112">
        <v>46059.0</v>
      </c>
      <c r="C361" s="111">
        <v>412.5</v>
      </c>
      <c r="D361" s="111" t="s">
        <v>117</v>
      </c>
      <c r="E361" s="34">
        <v>5.95</v>
      </c>
      <c r="F361" s="34">
        <v>6.0</v>
      </c>
      <c r="G361" s="34">
        <v>6.05</v>
      </c>
      <c r="H361" s="113">
        <v>0.5589</v>
      </c>
      <c r="I361" s="34">
        <v>-0.2301</v>
      </c>
      <c r="J361" s="34">
        <v>46.0</v>
      </c>
      <c r="K361" s="34">
        <v>167.0</v>
      </c>
      <c r="L361" s="113">
        <v>-0.058899999999999994</v>
      </c>
    </row>
    <row r="362" ht="22.5" customHeight="1">
      <c r="A362" s="111" t="s">
        <v>28</v>
      </c>
      <c r="B362" s="112">
        <v>46059.0</v>
      </c>
      <c r="C362" s="111">
        <v>415.0</v>
      </c>
      <c r="D362" s="111" t="s">
        <v>117</v>
      </c>
      <c r="E362" s="34">
        <v>6.6</v>
      </c>
      <c r="F362" s="34">
        <v>6.65</v>
      </c>
      <c r="G362" s="34">
        <v>6.7</v>
      </c>
      <c r="H362" s="113">
        <v>0.5586</v>
      </c>
      <c r="I362" s="34">
        <v>-0.2493</v>
      </c>
      <c r="J362" s="34">
        <v>149.0</v>
      </c>
      <c r="K362" s="34">
        <v>1413.0</v>
      </c>
      <c r="L362" s="113">
        <v>-0.053200000000000004</v>
      </c>
    </row>
    <row r="363" ht="22.5" customHeight="1">
      <c r="A363" s="111" t="s">
        <v>28</v>
      </c>
      <c r="B363" s="112">
        <v>46059.0</v>
      </c>
      <c r="C363" s="111">
        <v>417.5</v>
      </c>
      <c r="D363" s="111" t="s">
        <v>117</v>
      </c>
      <c r="E363" s="34">
        <v>7.25</v>
      </c>
      <c r="F363" s="34">
        <v>7.33</v>
      </c>
      <c r="G363" s="34">
        <v>7.4</v>
      </c>
      <c r="H363" s="113">
        <v>0.5587</v>
      </c>
      <c r="I363" s="34">
        <v>-0.2694</v>
      </c>
      <c r="J363" s="34">
        <v>87.0</v>
      </c>
      <c r="K363" s="34">
        <v>241.0</v>
      </c>
      <c r="L363" s="113">
        <v>-0.0475</v>
      </c>
    </row>
    <row r="364" ht="22.5" customHeight="1">
      <c r="A364" s="111" t="s">
        <v>28</v>
      </c>
      <c r="B364" s="112">
        <v>46059.0</v>
      </c>
      <c r="C364" s="111">
        <v>420.0</v>
      </c>
      <c r="D364" s="111" t="s">
        <v>117</v>
      </c>
      <c r="E364" s="34">
        <v>8.0</v>
      </c>
      <c r="F364" s="34">
        <v>8.05</v>
      </c>
      <c r="G364" s="34">
        <v>8.1</v>
      </c>
      <c r="H364" s="113">
        <v>0.5544</v>
      </c>
      <c r="I364" s="34">
        <v>-0.289</v>
      </c>
      <c r="J364" s="34">
        <v>297.0</v>
      </c>
      <c r="K364" s="34">
        <v>2797.0</v>
      </c>
      <c r="L364" s="113">
        <v>-0.0418</v>
      </c>
    </row>
    <row r="365" ht="22.5" customHeight="1">
      <c r="A365" s="111" t="s">
        <v>28</v>
      </c>
      <c r="B365" s="112">
        <v>46059.0</v>
      </c>
      <c r="C365" s="111">
        <v>422.5</v>
      </c>
      <c r="D365" s="111" t="s">
        <v>117</v>
      </c>
      <c r="E365" s="34">
        <v>8.8</v>
      </c>
      <c r="F365" s="34">
        <v>8.88</v>
      </c>
      <c r="G365" s="34">
        <v>8.95</v>
      </c>
      <c r="H365" s="113">
        <v>0.555</v>
      </c>
      <c r="I365" s="34">
        <v>-0.3106</v>
      </c>
      <c r="J365" s="34">
        <v>67.0</v>
      </c>
      <c r="K365" s="34">
        <v>211.0</v>
      </c>
      <c r="L365" s="113">
        <v>-0.036000000000000004</v>
      </c>
    </row>
    <row r="366" ht="22.5" customHeight="1">
      <c r="A366" s="111" t="s">
        <v>28</v>
      </c>
      <c r="B366" s="112">
        <v>46059.0</v>
      </c>
      <c r="C366" s="111">
        <v>425.0</v>
      </c>
      <c r="D366" s="111" t="s">
        <v>117</v>
      </c>
      <c r="E366" s="34">
        <v>9.7</v>
      </c>
      <c r="F366" s="34">
        <v>9.75</v>
      </c>
      <c r="G366" s="34">
        <v>9.8</v>
      </c>
      <c r="H366" s="113">
        <v>0.5528</v>
      </c>
      <c r="I366" s="34">
        <v>-0.3321</v>
      </c>
      <c r="J366" s="34">
        <v>192.0</v>
      </c>
      <c r="K366" s="34">
        <v>1372.0</v>
      </c>
      <c r="L366" s="113">
        <v>-0.030299999999999997</v>
      </c>
    </row>
    <row r="367" ht="22.5" customHeight="1">
      <c r="A367" s="111" t="s">
        <v>28</v>
      </c>
      <c r="B367" s="112">
        <v>46059.0</v>
      </c>
      <c r="C367" s="111">
        <v>427.5</v>
      </c>
      <c r="D367" s="111" t="s">
        <v>117</v>
      </c>
      <c r="E367" s="34">
        <v>10.6</v>
      </c>
      <c r="F367" s="34">
        <v>10.65</v>
      </c>
      <c r="G367" s="34">
        <v>10.7</v>
      </c>
      <c r="H367" s="113">
        <v>0.5511</v>
      </c>
      <c r="I367" s="34">
        <v>-0.3542</v>
      </c>
      <c r="J367" s="34">
        <v>112.0</v>
      </c>
      <c r="K367" s="34">
        <v>267.0</v>
      </c>
      <c r="L367" s="113">
        <v>-0.0246</v>
      </c>
    </row>
    <row r="368" ht="22.5" customHeight="1">
      <c r="A368" s="111" t="s">
        <v>28</v>
      </c>
      <c r="B368" s="112">
        <v>46059.0</v>
      </c>
      <c r="C368" s="111">
        <v>430.0</v>
      </c>
      <c r="D368" s="111" t="s">
        <v>117</v>
      </c>
      <c r="E368" s="34">
        <v>11.55</v>
      </c>
      <c r="F368" s="34">
        <v>11.63</v>
      </c>
      <c r="G368" s="34">
        <v>11.7</v>
      </c>
      <c r="H368" s="113">
        <v>0.5489</v>
      </c>
      <c r="I368" s="34">
        <v>-0.3769</v>
      </c>
      <c r="J368" s="34">
        <v>293.0</v>
      </c>
      <c r="K368" s="34">
        <v>1874.0</v>
      </c>
      <c r="L368" s="113">
        <v>-0.0189</v>
      </c>
    </row>
    <row r="369" ht="22.5" customHeight="1">
      <c r="A369" s="111" t="s">
        <v>28</v>
      </c>
      <c r="B369" s="112">
        <v>46059.0</v>
      </c>
      <c r="C369" s="111">
        <v>432.5</v>
      </c>
      <c r="D369" s="111" t="s">
        <v>117</v>
      </c>
      <c r="E369" s="34">
        <v>12.6</v>
      </c>
      <c r="F369" s="34">
        <v>12.68</v>
      </c>
      <c r="G369" s="34">
        <v>12.75</v>
      </c>
      <c r="H369" s="113">
        <v>0.5497</v>
      </c>
      <c r="I369" s="34">
        <v>-0.4003</v>
      </c>
      <c r="J369" s="34">
        <v>129.0</v>
      </c>
      <c r="K369" s="34">
        <v>732.0</v>
      </c>
      <c r="L369" s="113">
        <v>-0.0132</v>
      </c>
    </row>
    <row r="370" ht="22.5" customHeight="1">
      <c r="A370" s="111" t="s">
        <v>28</v>
      </c>
      <c r="B370" s="112">
        <v>46059.0</v>
      </c>
      <c r="C370" s="111">
        <v>435.0</v>
      </c>
      <c r="D370" s="111" t="s">
        <v>117</v>
      </c>
      <c r="E370" s="34">
        <v>13.7</v>
      </c>
      <c r="F370" s="34">
        <v>13.77</v>
      </c>
      <c r="G370" s="34">
        <v>13.85</v>
      </c>
      <c r="H370" s="113">
        <v>0.5489</v>
      </c>
      <c r="I370" s="34">
        <v>-0.4238</v>
      </c>
      <c r="J370" s="34">
        <v>301.0</v>
      </c>
      <c r="K370" s="34">
        <v>1549.0</v>
      </c>
      <c r="L370" s="113">
        <v>-0.0075</v>
      </c>
    </row>
    <row r="371" ht="22.5" customHeight="1">
      <c r="A371" s="111" t="s">
        <v>28</v>
      </c>
      <c r="B371" s="112">
        <v>46059.0</v>
      </c>
      <c r="C371" s="111">
        <v>437.5</v>
      </c>
      <c r="D371" s="111" t="s">
        <v>117</v>
      </c>
      <c r="E371" s="34">
        <v>14.9</v>
      </c>
      <c r="F371" s="34">
        <v>14.95</v>
      </c>
      <c r="G371" s="34">
        <v>15.0</v>
      </c>
      <c r="H371" s="113">
        <v>0.5487</v>
      </c>
      <c r="I371" s="34">
        <v>-0.4475</v>
      </c>
      <c r="J371" s="34">
        <v>96.0</v>
      </c>
      <c r="K371" s="34">
        <v>190.0</v>
      </c>
      <c r="L371" s="113">
        <v>-0.0018</v>
      </c>
    </row>
    <row r="372" ht="22.5" customHeight="1">
      <c r="A372" s="111" t="s">
        <v>28</v>
      </c>
      <c r="B372" s="112">
        <v>46059.0</v>
      </c>
      <c r="C372" s="111">
        <v>440.0</v>
      </c>
      <c r="D372" s="111" t="s">
        <v>117</v>
      </c>
      <c r="E372" s="34">
        <v>16.1</v>
      </c>
      <c r="F372" s="34">
        <v>16.18</v>
      </c>
      <c r="G372" s="34">
        <v>16.25</v>
      </c>
      <c r="H372" s="113">
        <v>0.5499</v>
      </c>
      <c r="I372" s="34">
        <v>-0.4713</v>
      </c>
      <c r="J372" s="34">
        <v>430.0</v>
      </c>
      <c r="K372" s="34">
        <v>1980.0</v>
      </c>
      <c r="L372" s="113">
        <v>0.0039000000000000003</v>
      </c>
    </row>
    <row r="373" ht="22.5" customHeight="1">
      <c r="A373" s="111" t="s">
        <v>28</v>
      </c>
      <c r="B373" s="112">
        <v>46059.0</v>
      </c>
      <c r="C373" s="111">
        <v>442.5</v>
      </c>
      <c r="D373" s="111" t="s">
        <v>117</v>
      </c>
      <c r="E373" s="34">
        <v>17.4</v>
      </c>
      <c r="F373" s="34">
        <v>17.48</v>
      </c>
      <c r="G373" s="34">
        <v>17.55</v>
      </c>
      <c r="H373" s="113">
        <v>0.5489</v>
      </c>
      <c r="I373" s="34">
        <v>-0.4951</v>
      </c>
      <c r="J373" s="34">
        <v>216.0</v>
      </c>
      <c r="K373" s="34">
        <v>189.0</v>
      </c>
      <c r="L373" s="113">
        <v>0.0096</v>
      </c>
    </row>
    <row r="374" ht="22.5" customHeight="1">
      <c r="A374" s="111" t="s">
        <v>28</v>
      </c>
      <c r="B374" s="112">
        <v>46059.0</v>
      </c>
      <c r="C374" s="111">
        <v>445.0</v>
      </c>
      <c r="D374" s="111" t="s">
        <v>117</v>
      </c>
      <c r="E374" s="34">
        <v>18.75</v>
      </c>
      <c r="F374" s="34">
        <v>18.83</v>
      </c>
      <c r="G374" s="34">
        <v>18.9</v>
      </c>
      <c r="H374" s="113">
        <v>0.5477000000000001</v>
      </c>
      <c r="I374" s="34">
        <v>-0.5189</v>
      </c>
      <c r="J374" s="34">
        <v>455.0</v>
      </c>
      <c r="K374" s="34">
        <v>2282.0</v>
      </c>
      <c r="L374" s="113">
        <v>0.015300000000000001</v>
      </c>
    </row>
    <row r="375" ht="22.5" customHeight="1">
      <c r="A375" s="111" t="s">
        <v>28</v>
      </c>
      <c r="B375" s="112">
        <v>46059.0</v>
      </c>
      <c r="C375" s="111">
        <v>447.5</v>
      </c>
      <c r="D375" s="111" t="s">
        <v>117</v>
      </c>
      <c r="E375" s="34">
        <v>20.2</v>
      </c>
      <c r="F375" s="34">
        <v>20.25</v>
      </c>
      <c r="G375" s="34">
        <v>20.3</v>
      </c>
      <c r="H375" s="113">
        <v>0.5462</v>
      </c>
      <c r="I375" s="34">
        <v>-0.5426</v>
      </c>
      <c r="J375" s="34">
        <v>235.0</v>
      </c>
      <c r="K375" s="34">
        <v>327.0</v>
      </c>
      <c r="L375" s="113">
        <v>0.021</v>
      </c>
    </row>
    <row r="376" ht="22.5" customHeight="1">
      <c r="A376" s="111" t="s">
        <v>28</v>
      </c>
      <c r="B376" s="112">
        <v>46059.0</v>
      </c>
      <c r="C376" s="111">
        <v>450.0</v>
      </c>
      <c r="D376" s="111" t="s">
        <v>117</v>
      </c>
      <c r="E376" s="34">
        <v>21.65</v>
      </c>
      <c r="F376" s="34">
        <v>21.73</v>
      </c>
      <c r="G376" s="34">
        <v>21.8</v>
      </c>
      <c r="H376" s="113">
        <v>0.5478000000000001</v>
      </c>
      <c r="I376" s="34">
        <v>-0.5656</v>
      </c>
      <c r="J376" s="34">
        <v>1432.0</v>
      </c>
      <c r="K376" s="34">
        <v>1610.0</v>
      </c>
      <c r="L376" s="113">
        <v>0.026699999999999998</v>
      </c>
    </row>
    <row r="377" ht="22.5" customHeight="1">
      <c r="A377" s="111" t="s">
        <v>28</v>
      </c>
      <c r="B377" s="112">
        <v>46059.0</v>
      </c>
      <c r="C377" s="111">
        <v>452.5</v>
      </c>
      <c r="D377" s="111" t="s">
        <v>117</v>
      </c>
      <c r="E377" s="34">
        <v>23.2</v>
      </c>
      <c r="F377" s="34">
        <v>23.28</v>
      </c>
      <c r="G377" s="34">
        <v>23.35</v>
      </c>
      <c r="H377" s="113">
        <v>0.5492</v>
      </c>
      <c r="I377" s="34">
        <v>-0.5882</v>
      </c>
      <c r="J377" s="34">
        <v>638.0</v>
      </c>
      <c r="K377" s="34">
        <v>178.0</v>
      </c>
      <c r="L377" s="113">
        <v>0.032400000000000005</v>
      </c>
    </row>
    <row r="378" ht="22.5" customHeight="1">
      <c r="A378" s="111" t="s">
        <v>28</v>
      </c>
      <c r="B378" s="112">
        <v>46059.0</v>
      </c>
      <c r="C378" s="111">
        <v>455.0</v>
      </c>
      <c r="D378" s="111" t="s">
        <v>117</v>
      </c>
      <c r="E378" s="34">
        <v>24.75</v>
      </c>
      <c r="F378" s="34">
        <v>24.83</v>
      </c>
      <c r="G378" s="34">
        <v>24.9</v>
      </c>
      <c r="H378" s="113">
        <v>0.547</v>
      </c>
      <c r="I378" s="34">
        <v>-0.6112</v>
      </c>
      <c r="J378" s="34">
        <v>81.0</v>
      </c>
      <c r="K378" s="34">
        <v>402.0</v>
      </c>
      <c r="L378" s="113">
        <v>0.0381</v>
      </c>
    </row>
    <row r="379" ht="22.5" customHeight="1">
      <c r="A379" s="111" t="s">
        <v>28</v>
      </c>
      <c r="B379" s="112">
        <v>46059.0</v>
      </c>
      <c r="C379" s="111">
        <v>457.5</v>
      </c>
      <c r="D379" s="111" t="s">
        <v>117</v>
      </c>
      <c r="E379" s="34">
        <v>26.4</v>
      </c>
      <c r="F379" s="34">
        <v>26.48</v>
      </c>
      <c r="G379" s="34">
        <v>26.55</v>
      </c>
      <c r="H379" s="113">
        <v>0.5464</v>
      </c>
      <c r="I379" s="34">
        <v>-0.6334</v>
      </c>
      <c r="J379" s="34">
        <v>77.0</v>
      </c>
      <c r="K379" s="34">
        <v>186.0</v>
      </c>
      <c r="L379" s="113">
        <v>0.0438</v>
      </c>
    </row>
    <row r="380" ht="22.5" customHeight="1">
      <c r="A380" s="111" t="s">
        <v>28</v>
      </c>
      <c r="B380" s="112">
        <v>46059.0</v>
      </c>
      <c r="C380" s="111">
        <v>460.0</v>
      </c>
      <c r="D380" s="111" t="s">
        <v>117</v>
      </c>
      <c r="E380" s="34">
        <v>28.1</v>
      </c>
      <c r="F380" s="34">
        <v>28.18</v>
      </c>
      <c r="G380" s="34">
        <v>28.25</v>
      </c>
      <c r="H380" s="113">
        <v>0.5475</v>
      </c>
      <c r="I380" s="34">
        <v>-0.6546</v>
      </c>
      <c r="J380" s="34">
        <v>72.0</v>
      </c>
      <c r="K380" s="34">
        <v>515.0</v>
      </c>
      <c r="L380" s="113">
        <v>0.0495</v>
      </c>
    </row>
    <row r="381" ht="22.5" customHeight="1">
      <c r="A381" s="111" t="s">
        <v>28</v>
      </c>
      <c r="B381" s="112">
        <v>46059.0</v>
      </c>
      <c r="C381" s="111">
        <v>462.5</v>
      </c>
      <c r="D381" s="111" t="s">
        <v>117</v>
      </c>
      <c r="E381" s="34">
        <v>29.85</v>
      </c>
      <c r="F381" s="34">
        <v>29.95</v>
      </c>
      <c r="G381" s="34">
        <v>30.05</v>
      </c>
      <c r="H381" s="113">
        <v>0.5485</v>
      </c>
      <c r="I381" s="34">
        <v>-0.6752</v>
      </c>
      <c r="J381" s="34">
        <v>47.0</v>
      </c>
      <c r="K381" s="34">
        <v>46.0</v>
      </c>
      <c r="L381" s="113">
        <v>0.0552</v>
      </c>
    </row>
    <row r="382" ht="22.5" customHeight="1">
      <c r="A382" s="111" t="s">
        <v>28</v>
      </c>
      <c r="B382" s="112">
        <v>46059.0</v>
      </c>
      <c r="C382" s="111">
        <v>465.0</v>
      </c>
      <c r="D382" s="111" t="s">
        <v>117</v>
      </c>
      <c r="E382" s="34">
        <v>31.65</v>
      </c>
      <c r="F382" s="34">
        <v>31.75</v>
      </c>
      <c r="G382" s="34">
        <v>31.85</v>
      </c>
      <c r="H382" s="113">
        <v>0.5487</v>
      </c>
      <c r="I382" s="34">
        <v>-0.6954</v>
      </c>
      <c r="J382" s="34">
        <v>55.0</v>
      </c>
      <c r="K382" s="34">
        <v>354.0</v>
      </c>
      <c r="L382" s="113">
        <v>0.060899999999999996</v>
      </c>
    </row>
    <row r="383" ht="22.5" customHeight="1">
      <c r="A383" s="111" t="s">
        <v>28</v>
      </c>
      <c r="B383" s="112">
        <v>46059.0</v>
      </c>
      <c r="C383" s="111">
        <v>467.5</v>
      </c>
      <c r="D383" s="111" t="s">
        <v>117</v>
      </c>
      <c r="E383" s="34">
        <v>33.5</v>
      </c>
      <c r="F383" s="34">
        <v>33.6</v>
      </c>
      <c r="G383" s="34">
        <v>33.7</v>
      </c>
      <c r="H383" s="113">
        <v>0.5490999999999999</v>
      </c>
      <c r="I383" s="34">
        <v>-0.7148</v>
      </c>
      <c r="J383" s="34">
        <v>22.0</v>
      </c>
      <c r="K383" s="34">
        <v>44.0</v>
      </c>
      <c r="L383" s="113">
        <v>0.0666</v>
      </c>
    </row>
    <row r="384" ht="22.5" customHeight="1">
      <c r="A384" s="111" t="s">
        <v>28</v>
      </c>
      <c r="B384" s="112">
        <v>46059.0</v>
      </c>
      <c r="C384" s="111">
        <v>470.0</v>
      </c>
      <c r="D384" s="111" t="s">
        <v>117</v>
      </c>
      <c r="E384" s="34">
        <v>35.4</v>
      </c>
      <c r="F384" s="34">
        <v>35.5</v>
      </c>
      <c r="G384" s="34">
        <v>35.6</v>
      </c>
      <c r="H384" s="113">
        <v>0.5496</v>
      </c>
      <c r="I384" s="34">
        <v>-0.7334</v>
      </c>
      <c r="J384" s="34">
        <v>36.0</v>
      </c>
      <c r="K384" s="34">
        <v>322.0</v>
      </c>
      <c r="L384" s="113">
        <v>0.0723</v>
      </c>
    </row>
    <row r="385" ht="22.5" customHeight="1">
      <c r="A385" s="111" t="s">
        <v>28</v>
      </c>
      <c r="B385" s="112">
        <v>46059.0</v>
      </c>
      <c r="C385" s="111">
        <v>472.5</v>
      </c>
      <c r="D385" s="111" t="s">
        <v>117</v>
      </c>
      <c r="E385" s="34">
        <v>37.35</v>
      </c>
      <c r="F385" s="34">
        <v>37.45</v>
      </c>
      <c r="G385" s="34">
        <v>37.55</v>
      </c>
      <c r="H385" s="113">
        <v>0.5484</v>
      </c>
      <c r="I385" s="34">
        <v>-0.752</v>
      </c>
      <c r="J385" s="34">
        <v>178.0</v>
      </c>
      <c r="K385" s="34">
        <v>68.0</v>
      </c>
      <c r="L385" s="113">
        <v>0.078</v>
      </c>
    </row>
    <row r="386" ht="22.5" customHeight="1">
      <c r="A386" s="111" t="s">
        <v>28</v>
      </c>
      <c r="B386" s="112">
        <v>46059.0</v>
      </c>
      <c r="C386" s="111">
        <v>475.0</v>
      </c>
      <c r="D386" s="111" t="s">
        <v>117</v>
      </c>
      <c r="E386" s="34">
        <v>39.35</v>
      </c>
      <c r="F386" s="34">
        <v>39.45</v>
      </c>
      <c r="G386" s="34">
        <v>39.55</v>
      </c>
      <c r="H386" s="113">
        <v>0.5496</v>
      </c>
      <c r="I386" s="34">
        <v>-0.769</v>
      </c>
      <c r="J386" s="34">
        <v>74.0</v>
      </c>
      <c r="K386" s="34">
        <v>209.0</v>
      </c>
      <c r="L386" s="113">
        <v>0.0837</v>
      </c>
    </row>
    <row r="387" ht="22.5" customHeight="1">
      <c r="A387" s="111" t="s">
        <v>28</v>
      </c>
      <c r="B387" s="112">
        <v>46059.0</v>
      </c>
      <c r="C387" s="111">
        <v>477.5</v>
      </c>
      <c r="D387" s="111" t="s">
        <v>117</v>
      </c>
      <c r="E387" s="34">
        <v>41.35</v>
      </c>
      <c r="F387" s="34">
        <v>41.48</v>
      </c>
      <c r="G387" s="34">
        <v>41.6</v>
      </c>
      <c r="H387" s="113">
        <v>0.5525</v>
      </c>
      <c r="I387" s="34">
        <v>-0.7842</v>
      </c>
      <c r="J387" s="34">
        <v>164.0</v>
      </c>
      <c r="K387" s="34">
        <v>67.0</v>
      </c>
      <c r="L387" s="113">
        <v>0.0894</v>
      </c>
    </row>
    <row r="388" ht="22.5" customHeight="1">
      <c r="A388" s="111" t="s">
        <v>28</v>
      </c>
      <c r="B388" s="112">
        <v>46059.0</v>
      </c>
      <c r="C388" s="111">
        <v>480.0</v>
      </c>
      <c r="D388" s="111" t="s">
        <v>117</v>
      </c>
      <c r="E388" s="34">
        <v>43.4</v>
      </c>
      <c r="F388" s="34">
        <v>43.58</v>
      </c>
      <c r="G388" s="34">
        <v>43.75</v>
      </c>
      <c r="H388" s="113">
        <v>0.5609000000000001</v>
      </c>
      <c r="I388" s="34">
        <v>-0.796</v>
      </c>
      <c r="J388" s="34">
        <v>329.0</v>
      </c>
      <c r="K388" s="34">
        <v>428.0</v>
      </c>
      <c r="L388" s="113">
        <v>0.0951</v>
      </c>
    </row>
    <row r="389" ht="22.5" customHeight="1">
      <c r="A389" s="111" t="s">
        <v>28</v>
      </c>
      <c r="B389" s="112">
        <v>46059.0</v>
      </c>
      <c r="C389" s="111">
        <v>482.5</v>
      </c>
      <c r="D389" s="111" t="s">
        <v>117</v>
      </c>
      <c r="E389" s="34">
        <v>44.85</v>
      </c>
      <c r="F389" s="34">
        <v>45.63</v>
      </c>
      <c r="G389" s="34">
        <v>46.4</v>
      </c>
      <c r="H389" s="113">
        <v>0.5538000000000001</v>
      </c>
      <c r="I389" s="34">
        <v>-0.8144</v>
      </c>
      <c r="J389" s="34">
        <v>8.0</v>
      </c>
      <c r="K389" s="34">
        <v>38.0</v>
      </c>
      <c r="L389" s="113">
        <v>0.1008</v>
      </c>
    </row>
    <row r="390" ht="22.5" customHeight="1">
      <c r="A390" s="111" t="s">
        <v>28</v>
      </c>
      <c r="B390" s="112">
        <v>46059.0</v>
      </c>
      <c r="C390" s="111">
        <v>485.0</v>
      </c>
      <c r="D390" s="111" t="s">
        <v>117</v>
      </c>
      <c r="E390" s="34">
        <v>47.65</v>
      </c>
      <c r="F390" s="34">
        <v>47.78</v>
      </c>
      <c r="G390" s="34">
        <v>47.9</v>
      </c>
      <c r="H390" s="113">
        <v>0.5557</v>
      </c>
      <c r="I390" s="34">
        <v>-0.8278</v>
      </c>
      <c r="J390" s="34">
        <v>324.0</v>
      </c>
      <c r="K390" s="34">
        <v>485.0</v>
      </c>
      <c r="L390" s="113">
        <v>0.1065</v>
      </c>
    </row>
    <row r="391" ht="22.5" customHeight="1">
      <c r="A391" s="111" t="s">
        <v>28</v>
      </c>
      <c r="B391" s="112">
        <v>46059.0</v>
      </c>
      <c r="C391" s="111">
        <v>487.5</v>
      </c>
      <c r="D391" s="111" t="s">
        <v>117</v>
      </c>
      <c r="E391" s="34">
        <v>49.05</v>
      </c>
      <c r="F391" s="34">
        <v>49.9</v>
      </c>
      <c r="G391" s="34">
        <v>50.75</v>
      </c>
      <c r="H391" s="113">
        <v>0.5548</v>
      </c>
      <c r="I391" s="34">
        <v>-0.8418</v>
      </c>
      <c r="J391" s="34">
        <v>0.0</v>
      </c>
      <c r="K391" s="34">
        <v>1.0</v>
      </c>
      <c r="L391" s="113">
        <v>0.11230000000000001</v>
      </c>
    </row>
    <row r="392" ht="22.5" customHeight="1">
      <c r="A392" s="111" t="s">
        <v>28</v>
      </c>
      <c r="B392" s="112">
        <v>46059.0</v>
      </c>
      <c r="C392" s="111">
        <v>490.0</v>
      </c>
      <c r="D392" s="111" t="s">
        <v>117</v>
      </c>
      <c r="E392" s="34">
        <v>52.0</v>
      </c>
      <c r="F392" s="34">
        <v>52.15</v>
      </c>
      <c r="G392" s="34">
        <v>52.3</v>
      </c>
      <c r="H392" s="113">
        <v>0.5592</v>
      </c>
      <c r="I392" s="34">
        <v>-0.8525</v>
      </c>
      <c r="J392" s="34">
        <v>8.0</v>
      </c>
      <c r="K392" s="34">
        <v>61.0</v>
      </c>
      <c r="L392" s="113">
        <v>0.11800000000000001</v>
      </c>
    </row>
    <row r="393" ht="22.5" customHeight="1">
      <c r="A393" s="111" t="s">
        <v>28</v>
      </c>
      <c r="B393" s="112">
        <v>46059.0</v>
      </c>
      <c r="C393" s="111">
        <v>492.5</v>
      </c>
      <c r="D393" s="111" t="s">
        <v>117</v>
      </c>
      <c r="E393" s="34">
        <v>53.4</v>
      </c>
      <c r="F393" s="34">
        <v>54.3</v>
      </c>
      <c r="G393" s="34">
        <v>55.2</v>
      </c>
      <c r="H393" s="113">
        <v>0.5564</v>
      </c>
      <c r="I393" s="34">
        <v>-0.8659</v>
      </c>
      <c r="J393" s="34">
        <v>0.0</v>
      </c>
      <c r="K393" s="34">
        <v>4.0</v>
      </c>
      <c r="L393" s="113">
        <v>0.12369999999999999</v>
      </c>
    </row>
    <row r="394" ht="22.5" customHeight="1">
      <c r="A394" s="111" t="s">
        <v>28</v>
      </c>
      <c r="B394" s="112">
        <v>46059.0</v>
      </c>
      <c r="C394" s="111">
        <v>495.0</v>
      </c>
      <c r="D394" s="111" t="s">
        <v>117</v>
      </c>
      <c r="E394" s="34">
        <v>55.75</v>
      </c>
      <c r="F394" s="34">
        <v>56.63</v>
      </c>
      <c r="G394" s="34">
        <v>57.5</v>
      </c>
      <c r="H394" s="113">
        <v>0.5972</v>
      </c>
      <c r="I394" s="34">
        <v>-0.8584</v>
      </c>
      <c r="J394" s="34">
        <v>4.0</v>
      </c>
      <c r="K394" s="34">
        <v>81.0</v>
      </c>
      <c r="L394" s="113">
        <v>0.1294</v>
      </c>
    </row>
    <row r="395" ht="22.5" customHeight="1">
      <c r="A395" s="111" t="s">
        <v>28</v>
      </c>
      <c r="B395" s="112">
        <v>46059.0</v>
      </c>
      <c r="C395" s="111">
        <v>497.5</v>
      </c>
      <c r="D395" s="111" t="s">
        <v>117</v>
      </c>
      <c r="E395" s="34">
        <v>58.35</v>
      </c>
      <c r="F395" s="34">
        <v>59.08</v>
      </c>
      <c r="G395" s="34">
        <v>59.8</v>
      </c>
      <c r="H395" s="113">
        <v>0.5765</v>
      </c>
      <c r="I395" s="34">
        <v>-0.8786</v>
      </c>
      <c r="J395" s="34">
        <v>0.0</v>
      </c>
      <c r="K395" s="34">
        <v>9.0</v>
      </c>
      <c r="L395" s="113">
        <v>0.1351</v>
      </c>
    </row>
    <row r="396" ht="22.5" customHeight="1">
      <c r="A396" s="111" t="s">
        <v>28</v>
      </c>
      <c r="B396" s="112">
        <v>46059.0</v>
      </c>
      <c r="C396" s="111">
        <v>500.0</v>
      </c>
      <c r="D396" s="111" t="s">
        <v>117</v>
      </c>
      <c r="E396" s="34">
        <v>60.15</v>
      </c>
      <c r="F396" s="34">
        <v>61.15</v>
      </c>
      <c r="G396" s="34">
        <v>62.15</v>
      </c>
      <c r="H396" s="113">
        <v>0.564</v>
      </c>
      <c r="I396" s="34">
        <v>-0.8942</v>
      </c>
      <c r="J396" s="34">
        <v>1.0</v>
      </c>
      <c r="K396" s="34">
        <v>167.0</v>
      </c>
      <c r="L396" s="113">
        <v>0.1408</v>
      </c>
    </row>
    <row r="397" ht="22.5" customHeight="1">
      <c r="A397" s="111" t="s">
        <v>28</v>
      </c>
      <c r="B397" s="112">
        <v>46059.0</v>
      </c>
      <c r="C397" s="111">
        <v>502.5</v>
      </c>
      <c r="D397" s="111" t="s">
        <v>117</v>
      </c>
      <c r="E397" s="34">
        <v>62.45</v>
      </c>
      <c r="F397" s="34">
        <v>63.4</v>
      </c>
      <c r="G397" s="34">
        <v>64.35</v>
      </c>
      <c r="H397" s="113">
        <v>0.5611999999999999</v>
      </c>
      <c r="I397" s="34">
        <v>-0.9053</v>
      </c>
      <c r="J397" s="34">
        <v>1.0</v>
      </c>
      <c r="K397" s="34">
        <v>1.0</v>
      </c>
      <c r="L397" s="113">
        <v>0.1465</v>
      </c>
    </row>
    <row r="398" ht="22.5" customHeight="1">
      <c r="A398" s="111" t="s">
        <v>28</v>
      </c>
      <c r="B398" s="112">
        <v>46059.0</v>
      </c>
      <c r="C398" s="111">
        <v>505.0</v>
      </c>
      <c r="D398" s="111" t="s">
        <v>117</v>
      </c>
      <c r="E398" s="34">
        <v>65.35</v>
      </c>
      <c r="F398" s="34">
        <v>66.05</v>
      </c>
      <c r="G398" s="34">
        <v>66.75</v>
      </c>
      <c r="H398" s="113">
        <v>0.5882999999999999</v>
      </c>
      <c r="I398" s="34">
        <v>-0.9018</v>
      </c>
      <c r="J398" s="34">
        <v>0.0</v>
      </c>
      <c r="K398" s="34">
        <v>66.0</v>
      </c>
      <c r="L398" s="113">
        <v>0.1522</v>
      </c>
    </row>
    <row r="399" ht="22.5" customHeight="1">
      <c r="A399" s="111" t="s">
        <v>28</v>
      </c>
      <c r="B399" s="112">
        <v>46059.0</v>
      </c>
      <c r="C399" s="111">
        <v>507.5</v>
      </c>
      <c r="D399" s="111" t="s">
        <v>117</v>
      </c>
      <c r="E399" s="34">
        <v>67.55</v>
      </c>
      <c r="F399" s="34">
        <v>68.32</v>
      </c>
      <c r="G399" s="34">
        <v>69.1</v>
      </c>
      <c r="H399" s="113">
        <v>0.5858</v>
      </c>
      <c r="I399" s="34">
        <v>-0.9121</v>
      </c>
      <c r="J399" s="34">
        <v>0.0</v>
      </c>
      <c r="K399" s="34">
        <v>0.0</v>
      </c>
      <c r="L399" s="113">
        <v>0.15789999999999998</v>
      </c>
    </row>
    <row r="400" ht="22.5" customHeight="1">
      <c r="A400" s="111" t="s">
        <v>28</v>
      </c>
      <c r="B400" s="112">
        <v>46059.0</v>
      </c>
      <c r="C400" s="111">
        <v>510.0</v>
      </c>
      <c r="D400" s="111" t="s">
        <v>117</v>
      </c>
      <c r="E400" s="34">
        <v>69.25</v>
      </c>
      <c r="F400" s="34">
        <v>70.35</v>
      </c>
      <c r="G400" s="34">
        <v>71.45</v>
      </c>
      <c r="H400" s="113">
        <v>0.5579</v>
      </c>
      <c r="I400" s="34">
        <v>-0.9305</v>
      </c>
      <c r="J400" s="34">
        <v>2.0</v>
      </c>
      <c r="K400" s="34">
        <v>29.0</v>
      </c>
      <c r="L400" s="113">
        <v>0.1636</v>
      </c>
    </row>
    <row r="401" ht="22.5" customHeight="1">
      <c r="A401" s="111" t="s">
        <v>28</v>
      </c>
      <c r="B401" s="112">
        <v>46059.0</v>
      </c>
      <c r="C401" s="111">
        <v>512.5</v>
      </c>
      <c r="D401" s="111" t="s">
        <v>117</v>
      </c>
      <c r="E401" s="34">
        <v>71.8</v>
      </c>
      <c r="F401" s="34">
        <v>72.8</v>
      </c>
      <c r="G401" s="34">
        <v>73.8</v>
      </c>
      <c r="H401" s="113">
        <v>0.5671</v>
      </c>
      <c r="I401" s="34">
        <v>-0.9337</v>
      </c>
      <c r="J401" s="34">
        <v>0.0</v>
      </c>
      <c r="K401" s="34">
        <v>1.0</v>
      </c>
      <c r="L401" s="113">
        <v>0.1693</v>
      </c>
    </row>
    <row r="402" ht="22.5" customHeight="1">
      <c r="A402" s="111" t="s">
        <v>28</v>
      </c>
      <c r="B402" s="112">
        <v>46059.0</v>
      </c>
      <c r="C402" s="111">
        <v>515.0</v>
      </c>
      <c r="D402" s="111" t="s">
        <v>117</v>
      </c>
      <c r="E402" s="34">
        <v>74.15</v>
      </c>
      <c r="F402" s="34">
        <v>75.25</v>
      </c>
      <c r="G402" s="34">
        <v>76.35</v>
      </c>
      <c r="H402" s="113">
        <v>0.5759000000000001</v>
      </c>
      <c r="I402" s="34">
        <v>-0.9373</v>
      </c>
      <c r="J402" s="34">
        <v>0.0</v>
      </c>
      <c r="K402" s="34">
        <v>44.0</v>
      </c>
      <c r="L402" s="113">
        <v>0.175</v>
      </c>
    </row>
    <row r="403" ht="22.5" customHeight="1">
      <c r="A403" s="111" t="s">
        <v>28</v>
      </c>
      <c r="B403" s="112">
        <v>46059.0</v>
      </c>
      <c r="C403" s="111">
        <v>517.5</v>
      </c>
      <c r="D403" s="111" t="s">
        <v>117</v>
      </c>
      <c r="E403" s="34">
        <v>76.55</v>
      </c>
      <c r="F403" s="34">
        <v>77.6</v>
      </c>
      <c r="G403" s="34">
        <v>78.65</v>
      </c>
      <c r="H403" s="113">
        <v>0.5727</v>
      </c>
      <c r="I403" s="34">
        <v>-0.945</v>
      </c>
      <c r="J403" s="34">
        <v>0.0</v>
      </c>
      <c r="K403" s="34">
        <v>0.0</v>
      </c>
      <c r="L403" s="113">
        <v>0.1807</v>
      </c>
    </row>
    <row r="404" ht="22.5" customHeight="1">
      <c r="A404" s="111" t="s">
        <v>28</v>
      </c>
      <c r="B404" s="112">
        <v>46059.0</v>
      </c>
      <c r="C404" s="111">
        <v>520.0</v>
      </c>
      <c r="D404" s="111" t="s">
        <v>117</v>
      </c>
      <c r="E404" s="34">
        <v>78.95</v>
      </c>
      <c r="F404" s="34">
        <v>80.0</v>
      </c>
      <c r="G404" s="34">
        <v>81.05</v>
      </c>
      <c r="H404" s="113">
        <v>0.5736</v>
      </c>
      <c r="I404" s="34">
        <v>-0.9503</v>
      </c>
      <c r="J404" s="34">
        <v>2.0</v>
      </c>
      <c r="K404" s="34">
        <v>21.0</v>
      </c>
      <c r="L404" s="113">
        <v>0.1864</v>
      </c>
    </row>
    <row r="405" ht="22.5" customHeight="1">
      <c r="A405" s="111" t="s">
        <v>28</v>
      </c>
      <c r="B405" s="112">
        <v>46059.0</v>
      </c>
      <c r="C405" s="111">
        <v>522.5</v>
      </c>
      <c r="D405" s="111" t="s">
        <v>117</v>
      </c>
      <c r="E405" s="34">
        <v>81.55</v>
      </c>
      <c r="F405" s="34">
        <v>82.6</v>
      </c>
      <c r="G405" s="34">
        <v>83.65</v>
      </c>
      <c r="H405" s="113">
        <v>0.5993999999999999</v>
      </c>
      <c r="I405" s="34">
        <v>-0.947</v>
      </c>
      <c r="J405" s="34">
        <v>0.0</v>
      </c>
      <c r="K405" s="34">
        <v>20.0</v>
      </c>
      <c r="L405" s="113">
        <v>0.19210000000000002</v>
      </c>
    </row>
    <row r="406" ht="22.5" customHeight="1">
      <c r="A406" s="111" t="s">
        <v>28</v>
      </c>
      <c r="B406" s="112">
        <v>46059.0</v>
      </c>
      <c r="C406" s="111">
        <v>525.0</v>
      </c>
      <c r="D406" s="111" t="s">
        <v>117</v>
      </c>
      <c r="E406" s="34">
        <v>83.75</v>
      </c>
      <c r="F406" s="34">
        <v>84.88</v>
      </c>
      <c r="G406" s="34">
        <v>86.0</v>
      </c>
      <c r="H406" s="113">
        <v>0.5822999999999999</v>
      </c>
      <c r="I406" s="34">
        <v>-0.9578</v>
      </c>
      <c r="J406" s="34">
        <v>0.0</v>
      </c>
      <c r="K406" s="34">
        <v>7.0</v>
      </c>
      <c r="L406" s="113">
        <v>0.1978</v>
      </c>
    </row>
    <row r="407" ht="22.5" customHeight="1">
      <c r="A407" s="111" t="s">
        <v>28</v>
      </c>
      <c r="B407" s="112">
        <v>46059.0</v>
      </c>
      <c r="C407" s="111">
        <v>527.5</v>
      </c>
      <c r="D407" s="111" t="s">
        <v>117</v>
      </c>
      <c r="E407" s="34">
        <v>86.2</v>
      </c>
      <c r="F407" s="34">
        <v>87.2</v>
      </c>
      <c r="G407" s="34">
        <v>88.2</v>
      </c>
      <c r="H407" s="113">
        <v>0.5660000000000001</v>
      </c>
      <c r="I407" s="34">
        <v>-0.9676</v>
      </c>
      <c r="J407" s="34">
        <v>2.0</v>
      </c>
      <c r="K407" s="34">
        <v>1.0</v>
      </c>
      <c r="L407" s="113">
        <v>0.20350000000000001</v>
      </c>
    </row>
    <row r="408" ht="22.5" customHeight="1">
      <c r="A408" s="111" t="s">
        <v>28</v>
      </c>
      <c r="B408" s="112">
        <v>46059.0</v>
      </c>
      <c r="C408" s="111">
        <v>530.0</v>
      </c>
      <c r="D408" s="111" t="s">
        <v>117</v>
      </c>
      <c r="E408" s="34">
        <v>88.6</v>
      </c>
      <c r="F408" s="34">
        <v>89.8</v>
      </c>
      <c r="G408" s="34">
        <v>91.0</v>
      </c>
      <c r="H408" s="113">
        <v>0.7136</v>
      </c>
      <c r="I408" s="34">
        <v>-0.9259</v>
      </c>
      <c r="J408" s="34">
        <v>1.0</v>
      </c>
      <c r="K408" s="34">
        <v>57.0</v>
      </c>
      <c r="L408" s="113">
        <v>0.20920000000000002</v>
      </c>
    </row>
    <row r="409" ht="22.5" customHeight="1">
      <c r="A409" s="111" t="s">
        <v>28</v>
      </c>
      <c r="B409" s="112">
        <v>46059.0</v>
      </c>
      <c r="C409" s="111">
        <v>535.0</v>
      </c>
      <c r="D409" s="111" t="s">
        <v>117</v>
      </c>
      <c r="E409" s="34">
        <v>93.55</v>
      </c>
      <c r="F409" s="34">
        <v>94.68</v>
      </c>
      <c r="G409" s="34">
        <v>95.8</v>
      </c>
      <c r="H409" s="113">
        <v>0.5971</v>
      </c>
      <c r="I409" s="34">
        <v>-0.9703</v>
      </c>
      <c r="J409" s="34">
        <v>1.0</v>
      </c>
      <c r="K409" s="34">
        <v>17.0</v>
      </c>
      <c r="L409" s="113">
        <v>0.2206</v>
      </c>
    </row>
    <row r="410" ht="22.5" customHeight="1">
      <c r="A410" s="111" t="s">
        <v>28</v>
      </c>
      <c r="B410" s="112">
        <v>46059.0</v>
      </c>
      <c r="C410" s="111">
        <v>540.0</v>
      </c>
      <c r="D410" s="111" t="s">
        <v>117</v>
      </c>
      <c r="E410" s="34">
        <v>98.45</v>
      </c>
      <c r="F410" s="34">
        <v>99.6</v>
      </c>
      <c r="G410" s="34">
        <v>100.75</v>
      </c>
      <c r="H410" s="113">
        <v>0.6042000000000001</v>
      </c>
      <c r="I410" s="34">
        <v>-0.9758</v>
      </c>
      <c r="J410" s="34">
        <v>0.0</v>
      </c>
      <c r="K410" s="34">
        <v>4.0</v>
      </c>
      <c r="L410" s="113">
        <v>0.23199999999999998</v>
      </c>
    </row>
    <row r="411" ht="22.5" customHeight="1">
      <c r="A411" s="111" t="s">
        <v>28</v>
      </c>
      <c r="B411" s="112">
        <v>46059.0</v>
      </c>
      <c r="C411" s="111">
        <v>545.0</v>
      </c>
      <c r="D411" s="111" t="s">
        <v>117</v>
      </c>
      <c r="E411" s="34">
        <v>103.4</v>
      </c>
      <c r="F411" s="34">
        <v>104.6</v>
      </c>
      <c r="G411" s="34">
        <v>105.8</v>
      </c>
      <c r="H411" s="113">
        <v>0.6268</v>
      </c>
      <c r="I411" s="34">
        <v>-0.9766</v>
      </c>
      <c r="J411" s="34">
        <v>0.0</v>
      </c>
      <c r="K411" s="34">
        <v>0.0</v>
      </c>
      <c r="L411" s="113">
        <v>0.2434</v>
      </c>
    </row>
    <row r="412" ht="22.5" customHeight="1">
      <c r="A412" s="111" t="s">
        <v>28</v>
      </c>
      <c r="B412" s="112">
        <v>46059.0</v>
      </c>
      <c r="C412" s="111">
        <v>550.0</v>
      </c>
      <c r="D412" s="111" t="s">
        <v>117</v>
      </c>
      <c r="E412" s="34">
        <v>108.35</v>
      </c>
      <c r="F412" s="34">
        <v>109.57</v>
      </c>
      <c r="G412" s="34">
        <v>110.8</v>
      </c>
      <c r="H412" s="113">
        <v>0.6428</v>
      </c>
      <c r="I412" s="34">
        <v>-0.9783</v>
      </c>
      <c r="J412" s="34">
        <v>8.0</v>
      </c>
      <c r="K412" s="34">
        <v>1.0</v>
      </c>
      <c r="L412" s="113">
        <v>0.2548</v>
      </c>
    </row>
    <row r="413" ht="22.5" customHeight="1">
      <c r="A413" s="111" t="s">
        <v>28</v>
      </c>
      <c r="B413" s="112">
        <v>46059.0</v>
      </c>
      <c r="C413" s="111">
        <v>555.0</v>
      </c>
      <c r="D413" s="111" t="s">
        <v>117</v>
      </c>
      <c r="E413" s="34">
        <v>113.4</v>
      </c>
      <c r="F413" s="34">
        <v>114.6</v>
      </c>
      <c r="G413" s="34">
        <v>115.8</v>
      </c>
      <c r="H413" s="113">
        <v>0.6711</v>
      </c>
      <c r="I413" s="34">
        <v>-0.9778</v>
      </c>
      <c r="J413" s="34">
        <v>0.0</v>
      </c>
      <c r="K413" s="34">
        <v>1.0</v>
      </c>
      <c r="L413" s="113">
        <v>0.2663</v>
      </c>
    </row>
    <row r="414" ht="22.5" customHeight="1">
      <c r="A414" s="111" t="s">
        <v>28</v>
      </c>
      <c r="B414" s="112">
        <v>46059.0</v>
      </c>
      <c r="C414" s="111">
        <v>560.0</v>
      </c>
      <c r="D414" s="111" t="s">
        <v>117</v>
      </c>
      <c r="E414" s="34">
        <v>118.45</v>
      </c>
      <c r="F414" s="34">
        <v>119.6</v>
      </c>
      <c r="G414" s="34">
        <v>120.75</v>
      </c>
      <c r="H414" s="113">
        <v>0.6928</v>
      </c>
      <c r="I414" s="34">
        <v>-0.9784</v>
      </c>
      <c r="J414" s="34">
        <v>0.0</v>
      </c>
      <c r="K414" s="34">
        <v>0.0</v>
      </c>
      <c r="L414" s="113">
        <v>0.2777</v>
      </c>
    </row>
    <row r="415" ht="22.5" customHeight="1">
      <c r="A415" s="111" t="s">
        <v>28</v>
      </c>
      <c r="B415" s="112">
        <v>46059.0</v>
      </c>
      <c r="C415" s="111">
        <v>565.0</v>
      </c>
      <c r="D415" s="111" t="s">
        <v>117</v>
      </c>
      <c r="E415" s="34">
        <v>123.15</v>
      </c>
      <c r="F415" s="34">
        <v>124.75</v>
      </c>
      <c r="G415" s="34">
        <v>126.35</v>
      </c>
      <c r="H415" s="113">
        <v>0.7486</v>
      </c>
      <c r="I415" s="34">
        <v>-0.9717</v>
      </c>
      <c r="J415" s="34">
        <v>0.0</v>
      </c>
      <c r="K415" s="34">
        <v>0.0</v>
      </c>
      <c r="L415" s="113">
        <v>0.2891</v>
      </c>
    </row>
    <row r="416" ht="22.5" customHeight="1">
      <c r="A416" s="111" t="s">
        <v>28</v>
      </c>
      <c r="B416" s="112">
        <v>46059.0</v>
      </c>
      <c r="C416" s="111">
        <v>570.0</v>
      </c>
      <c r="D416" s="111" t="s">
        <v>117</v>
      </c>
      <c r="E416" s="34">
        <v>128.0</v>
      </c>
      <c r="F416" s="34">
        <v>129.65</v>
      </c>
      <c r="G416" s="34">
        <v>131.3</v>
      </c>
      <c r="H416" s="113">
        <v>0.748</v>
      </c>
      <c r="I416" s="34">
        <v>-0.9764</v>
      </c>
      <c r="J416" s="34">
        <v>0.0</v>
      </c>
      <c r="K416" s="34">
        <v>0.0</v>
      </c>
      <c r="L416" s="113">
        <v>0.3005</v>
      </c>
    </row>
    <row r="417" ht="22.5" customHeight="1">
      <c r="A417" s="111" t="s">
        <v>28</v>
      </c>
      <c r="B417" s="112">
        <v>46059.0</v>
      </c>
      <c r="C417" s="111">
        <v>575.0</v>
      </c>
      <c r="D417" s="111" t="s">
        <v>117</v>
      </c>
      <c r="E417" s="34">
        <v>133.1</v>
      </c>
      <c r="F417" s="34">
        <v>134.6</v>
      </c>
      <c r="G417" s="34">
        <v>136.1</v>
      </c>
      <c r="H417" s="113">
        <v>0.7559999999999999</v>
      </c>
      <c r="I417" s="34">
        <v>-0.9798</v>
      </c>
      <c r="J417" s="34">
        <v>0.0</v>
      </c>
      <c r="K417" s="34">
        <v>0.0</v>
      </c>
      <c r="L417" s="113">
        <v>0.3119</v>
      </c>
    </row>
    <row r="418" ht="22.5" customHeight="1">
      <c r="A418" s="111" t="s">
        <v>28</v>
      </c>
      <c r="B418" s="112">
        <v>46059.0</v>
      </c>
      <c r="C418" s="111">
        <v>580.0</v>
      </c>
      <c r="D418" s="111" t="s">
        <v>117</v>
      </c>
      <c r="E418" s="34">
        <v>138.1</v>
      </c>
      <c r="F418" s="34">
        <v>139.7</v>
      </c>
      <c r="G418" s="34">
        <v>141.3</v>
      </c>
      <c r="H418" s="113">
        <v>0.8019</v>
      </c>
      <c r="I418" s="34">
        <v>-0.9756</v>
      </c>
      <c r="J418" s="34">
        <v>0.0</v>
      </c>
      <c r="K418" s="34">
        <v>0.0</v>
      </c>
      <c r="L418" s="113">
        <v>0.3233</v>
      </c>
    </row>
    <row r="419" ht="22.5" customHeight="1">
      <c r="A419" s="111" t="s">
        <v>28</v>
      </c>
      <c r="B419" s="112">
        <v>46059.0</v>
      </c>
      <c r="C419" s="111">
        <v>585.0</v>
      </c>
      <c r="D419" s="111" t="s">
        <v>117</v>
      </c>
      <c r="E419" s="34">
        <v>142.7</v>
      </c>
      <c r="F419" s="34">
        <v>144.5</v>
      </c>
      <c r="G419" s="34">
        <v>146.3</v>
      </c>
      <c r="H419" s="113">
        <v>0.7648</v>
      </c>
      <c r="I419" s="34">
        <v>-0.9853</v>
      </c>
      <c r="J419" s="34">
        <v>0.0</v>
      </c>
      <c r="K419" s="34">
        <v>0.0</v>
      </c>
      <c r="L419" s="113">
        <v>0.3347</v>
      </c>
    </row>
    <row r="420" ht="22.5" customHeight="1">
      <c r="A420" s="111" t="s">
        <v>28</v>
      </c>
      <c r="B420" s="112">
        <v>46059.0</v>
      </c>
      <c r="C420" s="111">
        <v>590.0</v>
      </c>
      <c r="D420" s="111" t="s">
        <v>117</v>
      </c>
      <c r="E420" s="34">
        <v>147.65</v>
      </c>
      <c r="F420" s="34">
        <v>149.1</v>
      </c>
      <c r="G420" s="34">
        <v>150.55</v>
      </c>
      <c r="H420" s="113">
        <v>0.0</v>
      </c>
      <c r="I420" s="34">
        <v>0.0</v>
      </c>
      <c r="J420" s="34">
        <v>0.0</v>
      </c>
      <c r="K420" s="34">
        <v>0.0</v>
      </c>
      <c r="L420" s="113">
        <v>0.3461</v>
      </c>
    </row>
    <row r="421" ht="22.5" customHeight="1">
      <c r="A421" s="111" t="s">
        <v>28</v>
      </c>
      <c r="B421" s="112">
        <v>46059.0</v>
      </c>
      <c r="C421" s="111">
        <v>595.0</v>
      </c>
      <c r="D421" s="111" t="s">
        <v>117</v>
      </c>
      <c r="E421" s="34">
        <v>152.7</v>
      </c>
      <c r="F421" s="34">
        <v>154.25</v>
      </c>
      <c r="G421" s="34">
        <v>155.8</v>
      </c>
      <c r="H421" s="113">
        <v>0.0</v>
      </c>
      <c r="I421" s="34">
        <v>0.0</v>
      </c>
      <c r="J421" s="34">
        <v>0.0</v>
      </c>
      <c r="K421" s="34">
        <v>0.0</v>
      </c>
      <c r="L421" s="113">
        <v>0.3575</v>
      </c>
    </row>
    <row r="422" ht="22.5" customHeight="1">
      <c r="A422" s="111" t="s">
        <v>28</v>
      </c>
      <c r="B422" s="112">
        <v>46059.0</v>
      </c>
      <c r="C422" s="111">
        <v>600.0</v>
      </c>
      <c r="D422" s="111" t="s">
        <v>117</v>
      </c>
      <c r="E422" s="34">
        <v>158.1</v>
      </c>
      <c r="F422" s="34">
        <v>159.6</v>
      </c>
      <c r="G422" s="34">
        <v>161.1</v>
      </c>
      <c r="H422" s="113">
        <v>0.8563</v>
      </c>
      <c r="I422" s="34">
        <v>-0.9817</v>
      </c>
      <c r="J422" s="34">
        <v>0.0</v>
      </c>
      <c r="K422" s="34">
        <v>0.0</v>
      </c>
      <c r="L422" s="113">
        <v>0.3689</v>
      </c>
    </row>
    <row r="423" ht="22.5" customHeight="1">
      <c r="A423" s="111" t="s">
        <v>28</v>
      </c>
      <c r="B423" s="112">
        <v>46059.0</v>
      </c>
      <c r="C423" s="111">
        <v>605.0</v>
      </c>
      <c r="D423" s="111" t="s">
        <v>117</v>
      </c>
      <c r="E423" s="34">
        <v>162.85</v>
      </c>
      <c r="F423" s="34">
        <v>164.23</v>
      </c>
      <c r="G423" s="34">
        <v>165.6</v>
      </c>
      <c r="H423" s="113">
        <v>0.0</v>
      </c>
      <c r="I423" s="34">
        <v>0.0</v>
      </c>
      <c r="J423" s="34">
        <v>0.0</v>
      </c>
      <c r="K423" s="34">
        <v>0.0</v>
      </c>
      <c r="L423" s="113">
        <v>0.3803</v>
      </c>
    </row>
    <row r="424" ht="22.5" customHeight="1">
      <c r="A424" s="111" t="s">
        <v>28</v>
      </c>
      <c r="B424" s="112">
        <v>46059.0</v>
      </c>
      <c r="C424" s="111">
        <v>610.0</v>
      </c>
      <c r="D424" s="111" t="s">
        <v>117</v>
      </c>
      <c r="E424" s="34">
        <v>167.8</v>
      </c>
      <c r="F424" s="34">
        <v>169.23</v>
      </c>
      <c r="G424" s="34">
        <v>170.65</v>
      </c>
      <c r="H424" s="113">
        <v>0.0</v>
      </c>
      <c r="I424" s="34">
        <v>0.0</v>
      </c>
      <c r="J424" s="34">
        <v>0.0</v>
      </c>
      <c r="K424" s="34">
        <v>0.0</v>
      </c>
      <c r="L424" s="113">
        <v>0.3917</v>
      </c>
    </row>
    <row r="425" ht="22.5" customHeight="1">
      <c r="A425" s="111" t="s">
        <v>28</v>
      </c>
      <c r="B425" s="112">
        <v>46059.0</v>
      </c>
      <c r="C425" s="111">
        <v>615.0</v>
      </c>
      <c r="D425" s="111" t="s">
        <v>117</v>
      </c>
      <c r="E425" s="34">
        <v>173.15</v>
      </c>
      <c r="F425" s="34">
        <v>174.48</v>
      </c>
      <c r="G425" s="34">
        <v>175.8</v>
      </c>
      <c r="H425" s="113">
        <v>0.8678</v>
      </c>
      <c r="I425" s="34">
        <v>-0.9892</v>
      </c>
      <c r="J425" s="34">
        <v>0.0</v>
      </c>
      <c r="K425" s="34">
        <v>0.0</v>
      </c>
      <c r="L425" s="113">
        <v>0.4031</v>
      </c>
    </row>
    <row r="426" ht="22.5" customHeight="1">
      <c r="A426" s="111" t="s">
        <v>28</v>
      </c>
      <c r="B426" s="112">
        <v>46059.0</v>
      </c>
      <c r="C426" s="111">
        <v>620.0</v>
      </c>
      <c r="D426" s="111" t="s">
        <v>117</v>
      </c>
      <c r="E426" s="34">
        <v>177.6</v>
      </c>
      <c r="F426" s="34">
        <v>179.5</v>
      </c>
      <c r="G426" s="34">
        <v>181.4</v>
      </c>
      <c r="H426" s="113">
        <v>0.8969</v>
      </c>
      <c r="I426" s="34">
        <v>-0.9872</v>
      </c>
      <c r="J426" s="34">
        <v>0.0</v>
      </c>
      <c r="K426" s="34">
        <v>0.0</v>
      </c>
      <c r="L426" s="113">
        <v>0.4146</v>
      </c>
    </row>
    <row r="427" ht="22.5" customHeight="1">
      <c r="A427" s="111" t="s">
        <v>28</v>
      </c>
      <c r="B427" s="112">
        <v>46059.0</v>
      </c>
      <c r="C427" s="111">
        <v>625.0</v>
      </c>
      <c r="D427" s="111" t="s">
        <v>117</v>
      </c>
      <c r="E427" s="34">
        <v>182.8</v>
      </c>
      <c r="F427" s="34">
        <v>184.5</v>
      </c>
      <c r="G427" s="34">
        <v>186.2</v>
      </c>
      <c r="H427" s="113">
        <v>0.9148999999999999</v>
      </c>
      <c r="I427" s="34">
        <v>-0.9874</v>
      </c>
      <c r="J427" s="34">
        <v>0.0</v>
      </c>
      <c r="K427" s="34">
        <v>0.0</v>
      </c>
      <c r="L427" s="113">
        <v>0.426</v>
      </c>
    </row>
    <row r="428" ht="22.5" customHeight="1">
      <c r="A428" s="111" t="s">
        <v>28</v>
      </c>
      <c r="B428" s="112">
        <v>46059.0</v>
      </c>
      <c r="C428" s="111">
        <v>630.0</v>
      </c>
      <c r="D428" s="111" t="s">
        <v>117</v>
      </c>
      <c r="E428" s="34">
        <v>188.2</v>
      </c>
      <c r="F428" s="34">
        <v>189.18</v>
      </c>
      <c r="G428" s="34">
        <v>190.15</v>
      </c>
      <c r="H428" s="113">
        <v>0.0</v>
      </c>
      <c r="I428" s="34">
        <v>0.0</v>
      </c>
      <c r="J428" s="34">
        <v>0.0</v>
      </c>
      <c r="K428" s="34">
        <v>0.0</v>
      </c>
      <c r="L428" s="113">
        <v>0.4374</v>
      </c>
    </row>
    <row r="429" ht="22.5" customHeight="1">
      <c r="A429" s="111" t="s">
        <v>28</v>
      </c>
      <c r="B429" s="112">
        <v>46059.0</v>
      </c>
      <c r="C429" s="111">
        <v>640.0</v>
      </c>
      <c r="D429" s="111" t="s">
        <v>117</v>
      </c>
      <c r="E429" s="34">
        <v>197.7</v>
      </c>
      <c r="F429" s="34">
        <v>199.2</v>
      </c>
      <c r="G429" s="34">
        <v>200.7</v>
      </c>
      <c r="H429" s="113">
        <v>0.0</v>
      </c>
      <c r="I429" s="34">
        <v>0.0</v>
      </c>
      <c r="J429" s="34">
        <v>0.0</v>
      </c>
      <c r="K429" s="34">
        <v>0.0</v>
      </c>
      <c r="L429" s="113">
        <v>0.46020000000000005</v>
      </c>
    </row>
    <row r="430" ht="22.5" customHeight="1">
      <c r="A430" s="111" t="s">
        <v>28</v>
      </c>
      <c r="B430" s="112">
        <v>46059.0</v>
      </c>
      <c r="C430" s="111">
        <v>650.0</v>
      </c>
      <c r="D430" s="111" t="s">
        <v>117</v>
      </c>
      <c r="E430" s="34">
        <v>207.8</v>
      </c>
      <c r="F430" s="34">
        <v>209.5</v>
      </c>
      <c r="G430" s="34">
        <v>211.2</v>
      </c>
      <c r="H430" s="113">
        <v>1.0025</v>
      </c>
      <c r="I430" s="34">
        <v>-0.9881</v>
      </c>
      <c r="J430" s="34">
        <v>0.0</v>
      </c>
      <c r="K430" s="34">
        <v>0.0</v>
      </c>
      <c r="L430" s="113">
        <v>0.483</v>
      </c>
    </row>
    <row r="431" ht="22.5" customHeight="1">
      <c r="A431" s="111" t="s">
        <v>28</v>
      </c>
      <c r="B431" s="112">
        <v>46059.0</v>
      </c>
      <c r="C431" s="111">
        <v>660.0</v>
      </c>
      <c r="D431" s="111" t="s">
        <v>117</v>
      </c>
      <c r="E431" s="34">
        <v>217.55</v>
      </c>
      <c r="F431" s="34">
        <v>219.43</v>
      </c>
      <c r="G431" s="34">
        <v>221.3</v>
      </c>
      <c r="H431" s="113">
        <v>0.9943000000000001</v>
      </c>
      <c r="I431" s="34">
        <v>-0.9927</v>
      </c>
      <c r="J431" s="34">
        <v>0.0</v>
      </c>
      <c r="K431" s="34">
        <v>0.0</v>
      </c>
      <c r="L431" s="113">
        <v>0.5058</v>
      </c>
    </row>
    <row r="432" ht="22.5" customHeight="1">
      <c r="A432" s="111" t="s">
        <v>28</v>
      </c>
      <c r="B432" s="112">
        <v>46059.0</v>
      </c>
      <c r="C432" s="111">
        <v>670.0</v>
      </c>
      <c r="D432" s="111" t="s">
        <v>117</v>
      </c>
      <c r="E432" s="34">
        <v>227.55</v>
      </c>
      <c r="F432" s="34">
        <v>229.43</v>
      </c>
      <c r="G432" s="34">
        <v>231.3</v>
      </c>
      <c r="H432" s="113">
        <v>1.0266</v>
      </c>
      <c r="I432" s="34">
        <v>-0.9929</v>
      </c>
      <c r="J432" s="34">
        <v>0.0</v>
      </c>
      <c r="K432" s="34">
        <v>0.0</v>
      </c>
      <c r="L432" s="113">
        <v>0.5286</v>
      </c>
    </row>
    <row r="433" ht="22.5" customHeight="1">
      <c r="A433" s="111" t="s">
        <v>28</v>
      </c>
      <c r="B433" s="112">
        <v>46059.0</v>
      </c>
      <c r="C433" s="111">
        <v>680.0</v>
      </c>
      <c r="D433" s="111" t="s">
        <v>117</v>
      </c>
      <c r="E433" s="34">
        <v>237.55</v>
      </c>
      <c r="F433" s="34">
        <v>239.43</v>
      </c>
      <c r="G433" s="34">
        <v>241.3</v>
      </c>
      <c r="H433" s="113">
        <v>1.0583</v>
      </c>
      <c r="I433" s="34">
        <v>-0.993</v>
      </c>
      <c r="J433" s="34">
        <v>0.0</v>
      </c>
      <c r="K433" s="34">
        <v>0.0</v>
      </c>
      <c r="L433" s="113">
        <v>0.5514</v>
      </c>
    </row>
    <row r="434" ht="22.5" customHeight="1">
      <c r="A434" s="111" t="s">
        <v>28</v>
      </c>
      <c r="B434" s="112">
        <v>46059.0</v>
      </c>
      <c r="C434" s="111">
        <v>690.0</v>
      </c>
      <c r="D434" s="111" t="s">
        <v>117</v>
      </c>
      <c r="E434" s="34">
        <v>247.55</v>
      </c>
      <c r="F434" s="34">
        <v>249.43</v>
      </c>
      <c r="G434" s="34">
        <v>251.3</v>
      </c>
      <c r="H434" s="113">
        <v>1.0895000000000001</v>
      </c>
      <c r="I434" s="34">
        <v>-0.9931</v>
      </c>
      <c r="J434" s="34">
        <v>0.0</v>
      </c>
      <c r="K434" s="34">
        <v>0.0</v>
      </c>
      <c r="L434" s="113">
        <v>0.5743</v>
      </c>
    </row>
    <row r="435" ht="22.5" customHeight="1">
      <c r="A435" s="111" t="s">
        <v>28</v>
      </c>
      <c r="B435" s="112">
        <v>46059.0</v>
      </c>
      <c r="C435" s="111">
        <v>700.0</v>
      </c>
      <c r="D435" s="111" t="s">
        <v>117</v>
      </c>
      <c r="E435" s="34">
        <v>257.75</v>
      </c>
      <c r="F435" s="34">
        <v>259.43</v>
      </c>
      <c r="G435" s="34">
        <v>261.1</v>
      </c>
      <c r="H435" s="113">
        <v>1.1201</v>
      </c>
      <c r="I435" s="34">
        <v>-0.9933</v>
      </c>
      <c r="J435" s="34">
        <v>0.0</v>
      </c>
      <c r="K435" s="34">
        <v>0.0</v>
      </c>
      <c r="L435" s="113">
        <v>0.5971</v>
      </c>
    </row>
    <row r="436" ht="22.5" customHeight="1">
      <c r="A436" s="111" t="s">
        <v>28</v>
      </c>
      <c r="B436" s="112">
        <v>46059.0</v>
      </c>
      <c r="C436" s="111">
        <v>710.0</v>
      </c>
      <c r="D436" s="111" t="s">
        <v>117</v>
      </c>
      <c r="E436" s="34">
        <v>267.55</v>
      </c>
      <c r="F436" s="34">
        <v>269.43</v>
      </c>
      <c r="G436" s="34">
        <v>271.3</v>
      </c>
      <c r="H436" s="113">
        <v>1.1502</v>
      </c>
      <c r="I436" s="34">
        <v>-0.9934</v>
      </c>
      <c r="J436" s="34">
        <v>0.0</v>
      </c>
      <c r="K436" s="34">
        <v>0.0</v>
      </c>
      <c r="L436" s="113">
        <v>0.6199</v>
      </c>
    </row>
    <row r="437" ht="22.5" customHeight="1">
      <c r="A437" s="111" t="s">
        <v>28</v>
      </c>
      <c r="B437" s="112">
        <v>46059.0</v>
      </c>
      <c r="C437" s="111">
        <v>720.0</v>
      </c>
      <c r="D437" s="111" t="s">
        <v>117</v>
      </c>
      <c r="E437" s="34">
        <v>277.55</v>
      </c>
      <c r="F437" s="34">
        <v>279.43</v>
      </c>
      <c r="G437" s="34">
        <v>281.3</v>
      </c>
      <c r="H437" s="113">
        <v>1.1798</v>
      </c>
      <c r="I437" s="34">
        <v>-0.9935</v>
      </c>
      <c r="J437" s="34">
        <v>0.0</v>
      </c>
      <c r="K437" s="34">
        <v>0.0</v>
      </c>
      <c r="L437" s="113">
        <v>0.6426999999999999</v>
      </c>
    </row>
    <row r="438" ht="22.5" customHeight="1">
      <c r="A438" s="111" t="s">
        <v>28</v>
      </c>
      <c r="B438" s="112">
        <v>46059.0</v>
      </c>
      <c r="C438" s="111">
        <v>730.0</v>
      </c>
      <c r="D438" s="111" t="s">
        <v>117</v>
      </c>
      <c r="E438" s="34">
        <v>287.55</v>
      </c>
      <c r="F438" s="34">
        <v>288.85</v>
      </c>
      <c r="G438" s="34">
        <v>290.15</v>
      </c>
      <c r="H438" s="113">
        <v>0.0</v>
      </c>
      <c r="I438" s="34">
        <v>0.0</v>
      </c>
      <c r="J438" s="34">
        <v>0.0</v>
      </c>
      <c r="K438" s="34">
        <v>0.0</v>
      </c>
      <c r="L438" s="113">
        <v>0.6655</v>
      </c>
    </row>
    <row r="439" ht="22.5" customHeight="1">
      <c r="A439" s="111" t="s">
        <v>28</v>
      </c>
      <c r="B439" s="112">
        <v>46059.0</v>
      </c>
      <c r="C439" s="111">
        <v>740.0</v>
      </c>
      <c r="D439" s="111" t="s">
        <v>117</v>
      </c>
      <c r="E439" s="111">
        <v>297.55</v>
      </c>
      <c r="F439" s="111">
        <v>299.43</v>
      </c>
      <c r="G439" s="34">
        <v>301.3</v>
      </c>
      <c r="H439" s="113">
        <v>1.2377</v>
      </c>
      <c r="I439" s="34">
        <v>-0.9937</v>
      </c>
      <c r="J439" s="34">
        <v>0.0</v>
      </c>
      <c r="K439" s="34">
        <v>0.0</v>
      </c>
      <c r="L439" s="113">
        <v>0.6883</v>
      </c>
    </row>
    <row r="440" ht="22.5" customHeight="1">
      <c r="A440" s="111" t="s">
        <v>28</v>
      </c>
      <c r="B440" s="112">
        <v>46059.0</v>
      </c>
      <c r="C440" s="111">
        <v>750.0</v>
      </c>
      <c r="D440" s="111" t="s">
        <v>117</v>
      </c>
      <c r="E440" s="34">
        <v>307.75</v>
      </c>
      <c r="F440" s="34">
        <v>309.43</v>
      </c>
      <c r="G440" s="34">
        <v>311.1</v>
      </c>
      <c r="H440" s="113">
        <v>1.266</v>
      </c>
      <c r="I440" s="34">
        <v>-0.9937</v>
      </c>
      <c r="J440" s="34">
        <v>0.0</v>
      </c>
      <c r="K440" s="34">
        <v>0.0</v>
      </c>
      <c r="L440" s="113">
        <v>0.7112</v>
      </c>
    </row>
    <row r="441" ht="22.5" customHeight="1">
      <c r="A441" s="111" t="s">
        <v>28</v>
      </c>
      <c r="B441" s="112">
        <v>46059.0</v>
      </c>
      <c r="C441" s="111">
        <v>760.0</v>
      </c>
      <c r="D441" s="111" t="s">
        <v>117</v>
      </c>
      <c r="E441" s="34">
        <v>317.55</v>
      </c>
      <c r="F441" s="34">
        <v>319.43</v>
      </c>
      <c r="G441" s="34">
        <v>321.3</v>
      </c>
      <c r="H441" s="113">
        <v>1.2938</v>
      </c>
      <c r="I441" s="34">
        <v>-0.9938</v>
      </c>
      <c r="J441" s="34">
        <v>0.0</v>
      </c>
      <c r="K441" s="34">
        <v>0.0</v>
      </c>
      <c r="L441" s="113">
        <v>0.7340000000000001</v>
      </c>
    </row>
    <row r="442" ht="22.5" customHeight="1">
      <c r="A442" s="111" t="s">
        <v>28</v>
      </c>
      <c r="B442" s="112">
        <v>46059.0</v>
      </c>
      <c r="C442" s="111">
        <v>770.0</v>
      </c>
      <c r="D442" s="111" t="s">
        <v>117</v>
      </c>
      <c r="E442" s="34">
        <v>327.55</v>
      </c>
      <c r="F442" s="34">
        <v>329.33</v>
      </c>
      <c r="G442" s="34">
        <v>331.1</v>
      </c>
      <c r="H442" s="113">
        <v>0.0</v>
      </c>
      <c r="I442" s="34">
        <v>0.0</v>
      </c>
      <c r="J442" s="34">
        <v>0.0</v>
      </c>
      <c r="K442" s="34">
        <v>0.0</v>
      </c>
      <c r="L442" s="113">
        <v>0.7568</v>
      </c>
    </row>
    <row r="443" ht="22.5" customHeight="1">
      <c r="A443" s="111" t="s">
        <v>28</v>
      </c>
      <c r="B443" s="112">
        <v>46059.0</v>
      </c>
      <c r="C443" s="111">
        <v>780.0</v>
      </c>
      <c r="D443" s="111" t="s">
        <v>117</v>
      </c>
      <c r="E443" s="34">
        <v>337.55</v>
      </c>
      <c r="F443" s="34">
        <v>339.43</v>
      </c>
      <c r="G443" s="34">
        <v>341.3</v>
      </c>
      <c r="H443" s="113">
        <v>1.3481999999999998</v>
      </c>
      <c r="I443" s="34">
        <v>-0.994</v>
      </c>
      <c r="J443" s="34">
        <v>0.0</v>
      </c>
      <c r="K443" s="34">
        <v>0.0</v>
      </c>
      <c r="L443" s="113">
        <v>0.7796</v>
      </c>
    </row>
    <row r="444" ht="22.5" customHeight="1">
      <c r="A444" s="111" t="s">
        <v>28</v>
      </c>
      <c r="B444" s="112">
        <v>46059.0</v>
      </c>
      <c r="C444" s="111">
        <v>790.0</v>
      </c>
      <c r="D444" s="111" t="s">
        <v>117</v>
      </c>
      <c r="E444" s="34">
        <v>347.55</v>
      </c>
      <c r="F444" s="34">
        <v>349.43</v>
      </c>
      <c r="G444" s="34">
        <v>351.3</v>
      </c>
      <c r="H444" s="113">
        <v>1.3749</v>
      </c>
      <c r="I444" s="34">
        <v>-0.994</v>
      </c>
      <c r="J444" s="34">
        <v>0.0</v>
      </c>
      <c r="K444" s="34">
        <v>0.0</v>
      </c>
      <c r="L444" s="113">
        <v>0.8024</v>
      </c>
    </row>
    <row r="445" ht="22.5" customHeight="1">
      <c r="A445" s="111" t="s">
        <v>28</v>
      </c>
      <c r="B445" s="112">
        <v>46059.0</v>
      </c>
      <c r="C445" s="111">
        <v>800.0</v>
      </c>
      <c r="D445" s="111" t="s">
        <v>117</v>
      </c>
      <c r="E445" s="34">
        <v>357.75</v>
      </c>
      <c r="F445" s="34">
        <v>359.43</v>
      </c>
      <c r="G445" s="34">
        <v>361.1</v>
      </c>
      <c r="H445" s="113">
        <v>1.4011000000000002</v>
      </c>
      <c r="I445" s="34">
        <v>-0.9941</v>
      </c>
      <c r="J445" s="34">
        <v>0.0</v>
      </c>
      <c r="K445" s="34">
        <v>0.0</v>
      </c>
      <c r="L445" s="113">
        <v>0.8251999999999999</v>
      </c>
    </row>
    <row r="446" ht="22.5" customHeight="1">
      <c r="A446" s="111" t="s">
        <v>28</v>
      </c>
      <c r="B446" s="112">
        <v>46059.0</v>
      </c>
      <c r="C446" s="111">
        <v>810.0</v>
      </c>
      <c r="D446" s="111" t="s">
        <v>117</v>
      </c>
      <c r="E446" s="34">
        <v>367.85</v>
      </c>
      <c r="F446" s="34">
        <v>369.58</v>
      </c>
      <c r="G446" s="34">
        <v>371.3</v>
      </c>
      <c r="H446" s="113">
        <v>1.5174</v>
      </c>
      <c r="I446" s="34">
        <v>-0.9888</v>
      </c>
      <c r="J446" s="34">
        <v>0.0</v>
      </c>
      <c r="K446" s="34">
        <v>0.0</v>
      </c>
      <c r="L446" s="113">
        <v>0.848</v>
      </c>
    </row>
    <row r="447" ht="22.5" customHeight="1">
      <c r="A447" s="111" t="s">
        <v>28</v>
      </c>
      <c r="B447" s="112">
        <v>46059.0</v>
      </c>
      <c r="C447" s="111">
        <v>820.0</v>
      </c>
      <c r="D447" s="111" t="s">
        <v>117</v>
      </c>
      <c r="E447" s="34">
        <v>377.55</v>
      </c>
      <c r="F447" s="34">
        <v>379.43</v>
      </c>
      <c r="G447" s="34">
        <v>381.3</v>
      </c>
      <c r="H447" s="113">
        <v>1.4526</v>
      </c>
      <c r="I447" s="34">
        <v>-0.9942</v>
      </c>
      <c r="J447" s="34">
        <v>0.0</v>
      </c>
      <c r="K447" s="34">
        <v>0.0</v>
      </c>
      <c r="L447" s="113">
        <v>0.8709</v>
      </c>
    </row>
    <row r="448" ht="22.5" customHeight="1">
      <c r="A448" s="111" t="s">
        <v>28</v>
      </c>
      <c r="B448" s="112">
        <v>46059.0</v>
      </c>
      <c r="C448" s="111">
        <v>830.0</v>
      </c>
      <c r="D448" s="111" t="s">
        <v>117</v>
      </c>
      <c r="E448" s="34">
        <v>387.55</v>
      </c>
      <c r="F448" s="34">
        <v>389.43</v>
      </c>
      <c r="G448" s="34">
        <v>391.3</v>
      </c>
      <c r="H448" s="113">
        <v>1.4778</v>
      </c>
      <c r="I448" s="34">
        <v>-0.9942</v>
      </c>
      <c r="J448" s="34">
        <v>0.0</v>
      </c>
      <c r="K448" s="34">
        <v>0.0</v>
      </c>
      <c r="L448" s="113">
        <v>0.8937</v>
      </c>
    </row>
    <row r="449" ht="22.5" customHeight="1">
      <c r="A449" s="111" t="s">
        <v>28</v>
      </c>
      <c r="B449" s="112">
        <v>46059.0</v>
      </c>
      <c r="C449" s="111">
        <v>840.0</v>
      </c>
      <c r="D449" s="111" t="s">
        <v>117</v>
      </c>
      <c r="E449" s="34">
        <v>397.55</v>
      </c>
      <c r="F449" s="34">
        <v>399.43</v>
      </c>
      <c r="G449" s="34">
        <v>401.3</v>
      </c>
      <c r="H449" s="113">
        <v>1.5027000000000001</v>
      </c>
      <c r="I449" s="34">
        <v>-0.9943</v>
      </c>
      <c r="J449" s="34">
        <v>0.0</v>
      </c>
      <c r="K449" s="34">
        <v>0.0</v>
      </c>
      <c r="L449" s="113">
        <v>0.9165000000000001</v>
      </c>
    </row>
    <row r="450" ht="22.5" customHeight="1">
      <c r="A450" s="111" t="s">
        <v>28</v>
      </c>
      <c r="B450" s="112">
        <v>46059.0</v>
      </c>
      <c r="C450" s="111">
        <v>850.0</v>
      </c>
      <c r="D450" s="111" t="s">
        <v>117</v>
      </c>
      <c r="E450" s="34">
        <v>407.75</v>
      </c>
      <c r="F450" s="34">
        <v>409.43</v>
      </c>
      <c r="G450" s="34">
        <v>411.1</v>
      </c>
      <c r="H450" s="113">
        <v>1.5272</v>
      </c>
      <c r="I450" s="34">
        <v>-0.9943</v>
      </c>
      <c r="J450" s="34">
        <v>0.0</v>
      </c>
      <c r="K450" s="34">
        <v>0.0</v>
      </c>
      <c r="L450" s="113">
        <v>0.9393</v>
      </c>
    </row>
    <row r="451" ht="22.5" customHeight="1">
      <c r="A451" s="111" t="s">
        <v>28</v>
      </c>
      <c r="B451" s="112">
        <v>46059.0</v>
      </c>
      <c r="C451" s="111">
        <v>860.0</v>
      </c>
      <c r="D451" s="111" t="s">
        <v>117</v>
      </c>
      <c r="E451" s="34">
        <v>417.55</v>
      </c>
      <c r="F451" s="34">
        <v>419.43</v>
      </c>
      <c r="G451" s="34">
        <v>421.3</v>
      </c>
      <c r="H451" s="113">
        <v>1.5515</v>
      </c>
      <c r="I451" s="34">
        <v>-0.9944</v>
      </c>
      <c r="J451" s="34">
        <v>0.0</v>
      </c>
      <c r="K451" s="34">
        <v>0.0</v>
      </c>
      <c r="L451" s="113">
        <v>0.9621</v>
      </c>
    </row>
    <row r="452" ht="22.5" customHeight="1">
      <c r="A452" s="111" t="s">
        <v>28</v>
      </c>
      <c r="B452" s="112">
        <v>46059.0</v>
      </c>
      <c r="C452" s="111">
        <v>870.0</v>
      </c>
      <c r="D452" s="111" t="s">
        <v>117</v>
      </c>
      <c r="E452" s="34">
        <v>427.55</v>
      </c>
      <c r="F452" s="34">
        <v>429.43</v>
      </c>
      <c r="G452" s="34">
        <v>431.3</v>
      </c>
      <c r="H452" s="113">
        <v>1.5754</v>
      </c>
      <c r="I452" s="34">
        <v>-0.9944</v>
      </c>
      <c r="J452" s="34">
        <v>0.0</v>
      </c>
      <c r="K452" s="34">
        <v>0.0</v>
      </c>
      <c r="L452" s="113">
        <v>0.9849</v>
      </c>
    </row>
    <row r="453" ht="22.5" customHeight="1">
      <c r="A453" s="111" t="s">
        <v>28</v>
      </c>
      <c r="B453" s="112">
        <v>46059.0</v>
      </c>
      <c r="C453" s="111">
        <v>880.0</v>
      </c>
      <c r="D453" s="111" t="s">
        <v>117</v>
      </c>
      <c r="E453" s="34">
        <v>437.55</v>
      </c>
      <c r="F453" s="34">
        <v>439.43</v>
      </c>
      <c r="G453" s="34">
        <v>441.3</v>
      </c>
      <c r="H453" s="113">
        <v>1.599</v>
      </c>
      <c r="I453" s="34">
        <v>-0.9944</v>
      </c>
      <c r="J453" s="34">
        <v>0.0</v>
      </c>
      <c r="K453" s="34">
        <v>0.0</v>
      </c>
      <c r="L453" s="113">
        <v>1.0078</v>
      </c>
    </row>
    <row r="454" ht="22.5" customHeight="1">
      <c r="A454" s="111" t="s">
        <v>28</v>
      </c>
      <c r="B454" s="112">
        <v>46059.0</v>
      </c>
      <c r="C454" s="111">
        <v>890.0</v>
      </c>
      <c r="D454" s="111" t="s">
        <v>117</v>
      </c>
      <c r="E454" s="34">
        <v>447.55</v>
      </c>
      <c r="F454" s="34">
        <v>449.43</v>
      </c>
      <c r="G454" s="34">
        <v>451.3</v>
      </c>
      <c r="H454" s="113">
        <v>1.6224</v>
      </c>
      <c r="I454" s="34">
        <v>-0.9945</v>
      </c>
      <c r="J454" s="34">
        <v>0.0</v>
      </c>
      <c r="K454" s="34">
        <v>0.0</v>
      </c>
      <c r="L454" s="113">
        <v>1.0306</v>
      </c>
    </row>
    <row r="455" ht="22.5" customHeight="1">
      <c r="A455" s="111" t="s">
        <v>28</v>
      </c>
      <c r="B455" s="112">
        <v>46059.0</v>
      </c>
      <c r="C455" s="111">
        <v>900.0</v>
      </c>
      <c r="D455" s="111" t="s">
        <v>117</v>
      </c>
      <c r="E455" s="34">
        <v>457.75</v>
      </c>
      <c r="F455" s="34">
        <v>459.43</v>
      </c>
      <c r="G455" s="34">
        <v>461.1</v>
      </c>
      <c r="H455" s="113">
        <v>1.6454</v>
      </c>
      <c r="I455" s="34">
        <v>-0.9945</v>
      </c>
      <c r="J455" s="34">
        <v>0.0</v>
      </c>
      <c r="K455" s="34">
        <v>0.0</v>
      </c>
      <c r="L455" s="113">
        <v>1.0534000000000001</v>
      </c>
    </row>
    <row r="456" ht="22.5" customHeight="1">
      <c r="A456" s="111" t="s">
        <v>28</v>
      </c>
      <c r="B456" s="112">
        <v>46059.0</v>
      </c>
      <c r="C456" s="111">
        <v>910.0</v>
      </c>
      <c r="D456" s="111" t="s">
        <v>117</v>
      </c>
      <c r="E456" s="34">
        <v>467.55</v>
      </c>
      <c r="F456" s="34">
        <v>469.43</v>
      </c>
      <c r="G456" s="34">
        <v>471.3</v>
      </c>
      <c r="H456" s="113">
        <v>1.6682</v>
      </c>
      <c r="I456" s="34">
        <v>-0.9945</v>
      </c>
      <c r="J456" s="34">
        <v>0.0</v>
      </c>
      <c r="K456" s="34">
        <v>0.0</v>
      </c>
      <c r="L456" s="113">
        <v>1.0762</v>
      </c>
    </row>
    <row r="457" ht="22.5" customHeight="1">
      <c r="A457" s="111" t="s">
        <v>28</v>
      </c>
      <c r="B457" s="112">
        <v>46059.0</v>
      </c>
      <c r="C457" s="111">
        <v>920.0</v>
      </c>
      <c r="D457" s="111" t="s">
        <v>117</v>
      </c>
      <c r="E457" s="34">
        <v>477.55</v>
      </c>
      <c r="F457" s="34">
        <v>479.43</v>
      </c>
      <c r="G457" s="34">
        <v>481.3</v>
      </c>
      <c r="H457" s="113">
        <v>1.6908</v>
      </c>
      <c r="I457" s="34">
        <v>-0.9945</v>
      </c>
      <c r="J457" s="34">
        <v>0.0</v>
      </c>
      <c r="K457" s="34">
        <v>0.0</v>
      </c>
      <c r="L457" s="113">
        <v>1.099</v>
      </c>
    </row>
    <row r="458" ht="22.5" customHeight="1">
      <c r="A458" s="111" t="s">
        <v>28</v>
      </c>
      <c r="B458" s="112">
        <v>46059.0</v>
      </c>
      <c r="C458" s="111">
        <v>930.0</v>
      </c>
      <c r="D458" s="111" t="s">
        <v>117</v>
      </c>
      <c r="E458" s="34">
        <v>487.55</v>
      </c>
      <c r="F458" s="34">
        <v>489.43</v>
      </c>
      <c r="G458" s="34">
        <v>491.3</v>
      </c>
      <c r="H458" s="113">
        <v>1.713</v>
      </c>
      <c r="I458" s="34">
        <v>-0.9946</v>
      </c>
      <c r="J458" s="34">
        <v>0.0</v>
      </c>
      <c r="K458" s="34">
        <v>0.0</v>
      </c>
      <c r="L458" s="113">
        <v>1.1218000000000001</v>
      </c>
    </row>
    <row r="459" ht="22.5" customHeight="1">
      <c r="A459" s="111" t="s">
        <v>28</v>
      </c>
      <c r="B459" s="112">
        <v>46059.0</v>
      </c>
      <c r="C459" s="111">
        <v>940.0</v>
      </c>
      <c r="D459" s="111" t="s">
        <v>117</v>
      </c>
      <c r="E459" s="34">
        <v>497.55</v>
      </c>
      <c r="F459" s="34">
        <v>499.43</v>
      </c>
      <c r="G459" s="34">
        <v>501.3</v>
      </c>
      <c r="H459" s="113">
        <v>1.735</v>
      </c>
      <c r="I459" s="34">
        <v>-0.9946</v>
      </c>
      <c r="J459" s="34">
        <v>0.0</v>
      </c>
      <c r="K459" s="34">
        <v>0.0</v>
      </c>
      <c r="L459" s="113">
        <v>1.1445999999999998</v>
      </c>
    </row>
    <row r="460" ht="22.5" customHeight="1">
      <c r="A460" s="111" t="s">
        <v>28</v>
      </c>
      <c r="B460" s="112">
        <v>46059.0</v>
      </c>
      <c r="C460" s="111">
        <v>950.0</v>
      </c>
      <c r="D460" s="111" t="s">
        <v>117</v>
      </c>
      <c r="E460" s="34">
        <v>507.75</v>
      </c>
      <c r="F460" s="34">
        <v>509.43</v>
      </c>
      <c r="G460" s="34">
        <v>511.1</v>
      </c>
      <c r="H460" s="113">
        <v>1.7568000000000001</v>
      </c>
      <c r="I460" s="34">
        <v>-0.9946</v>
      </c>
      <c r="J460" s="34">
        <v>0.0</v>
      </c>
      <c r="K460" s="34">
        <v>0.0</v>
      </c>
      <c r="L460" s="113">
        <v>1.1675</v>
      </c>
    </row>
    <row r="461" ht="22.5" customHeight="1">
      <c r="A461" s="111" t="s">
        <v>28</v>
      </c>
      <c r="B461" s="112">
        <v>46059.0</v>
      </c>
      <c r="C461" s="111">
        <v>960.0</v>
      </c>
      <c r="D461" s="111" t="s">
        <v>117</v>
      </c>
      <c r="E461" s="34">
        <v>517.55</v>
      </c>
      <c r="F461" s="34">
        <v>519.43</v>
      </c>
      <c r="G461" s="34">
        <v>521.3</v>
      </c>
      <c r="H461" s="113">
        <v>1.7783000000000002</v>
      </c>
      <c r="I461" s="34">
        <v>-0.9946</v>
      </c>
      <c r="J461" s="34">
        <v>0.0</v>
      </c>
      <c r="K461" s="34">
        <v>0.0</v>
      </c>
      <c r="L461" s="113">
        <v>1.1903</v>
      </c>
    </row>
    <row r="462" ht="22.5" customHeight="1">
      <c r="A462" s="111" t="s">
        <v>28</v>
      </c>
      <c r="B462" s="112">
        <v>46059.0</v>
      </c>
      <c r="C462" s="111">
        <v>970.0</v>
      </c>
      <c r="D462" s="111" t="s">
        <v>117</v>
      </c>
      <c r="E462" s="34">
        <v>527.55</v>
      </c>
      <c r="F462" s="34">
        <v>529.43</v>
      </c>
      <c r="G462" s="34">
        <v>531.3</v>
      </c>
      <c r="H462" s="113">
        <v>1.7996</v>
      </c>
      <c r="I462" s="34">
        <v>-0.9947</v>
      </c>
      <c r="J462" s="34">
        <v>0.0</v>
      </c>
      <c r="K462" s="34">
        <v>0.0</v>
      </c>
      <c r="L462" s="113">
        <v>1.2131</v>
      </c>
    </row>
    <row r="463" ht="22.5" customHeight="1">
      <c r="A463" s="111" t="s">
        <v>28</v>
      </c>
      <c r="B463" s="112">
        <v>46059.0</v>
      </c>
      <c r="C463" s="111">
        <v>980.0</v>
      </c>
      <c r="D463" s="111" t="s">
        <v>117</v>
      </c>
      <c r="E463" s="34">
        <v>537.55</v>
      </c>
      <c r="F463" s="34">
        <v>539.43</v>
      </c>
      <c r="G463" s="34">
        <v>541.3</v>
      </c>
      <c r="H463" s="113">
        <v>1.8207</v>
      </c>
      <c r="I463" s="34">
        <v>-0.9947</v>
      </c>
      <c r="J463" s="34">
        <v>0.0</v>
      </c>
      <c r="K463" s="34">
        <v>0.0</v>
      </c>
      <c r="L463" s="113">
        <v>1.2359</v>
      </c>
    </row>
    <row r="464" ht="22.5" customHeight="1">
      <c r="A464" s="111" t="s">
        <v>28</v>
      </c>
      <c r="B464" s="112">
        <v>46920.0</v>
      </c>
      <c r="C464" s="111">
        <v>5.0</v>
      </c>
      <c r="D464" s="111" t="s">
        <v>116</v>
      </c>
      <c r="E464" s="34">
        <v>413.1</v>
      </c>
      <c r="F464" s="34">
        <v>414.85</v>
      </c>
      <c r="G464" s="34">
        <v>416.6</v>
      </c>
      <c r="H464" s="113">
        <v>0.0</v>
      </c>
      <c r="I464" s="34">
        <v>0.0</v>
      </c>
      <c r="J464" s="34">
        <v>0.0</v>
      </c>
      <c r="K464" s="34">
        <v>1558.0</v>
      </c>
      <c r="L464" s="113">
        <v>0.9882</v>
      </c>
    </row>
    <row r="465" ht="22.5" customHeight="1">
      <c r="A465" s="111" t="s">
        <v>28</v>
      </c>
      <c r="B465" s="112">
        <v>46920.0</v>
      </c>
      <c r="C465" s="111">
        <v>10.0</v>
      </c>
      <c r="D465" s="111" t="s">
        <v>116</v>
      </c>
      <c r="E465" s="34">
        <v>408.6</v>
      </c>
      <c r="F465" s="34">
        <v>412.6</v>
      </c>
      <c r="G465" s="34">
        <v>416.6</v>
      </c>
      <c r="H465" s="113">
        <v>1.4627000000000001</v>
      </c>
      <c r="I465" s="34">
        <v>0.9976</v>
      </c>
      <c r="J465" s="34">
        <v>0.0</v>
      </c>
      <c r="K465" s="34">
        <v>58.0</v>
      </c>
      <c r="L465" s="113">
        <v>0.9764</v>
      </c>
    </row>
    <row r="466" ht="22.5" customHeight="1">
      <c r="A466" s="111" t="s">
        <v>28</v>
      </c>
      <c r="B466" s="112">
        <v>46920.0</v>
      </c>
      <c r="C466" s="111">
        <v>15.0</v>
      </c>
      <c r="D466" s="111" t="s">
        <v>116</v>
      </c>
      <c r="E466" s="34">
        <v>404.15</v>
      </c>
      <c r="F466" s="34">
        <v>408.15</v>
      </c>
      <c r="G466" s="34">
        <v>412.15</v>
      </c>
      <c r="H466" s="113">
        <v>1.2787</v>
      </c>
      <c r="I466" s="34">
        <v>0.9967</v>
      </c>
      <c r="J466" s="34">
        <v>0.0</v>
      </c>
      <c r="K466" s="34">
        <v>29.0</v>
      </c>
      <c r="L466" s="113">
        <v>0.9645999999999999</v>
      </c>
    </row>
    <row r="467" ht="22.5" customHeight="1">
      <c r="A467" s="111" t="s">
        <v>28</v>
      </c>
      <c r="B467" s="112">
        <v>46920.0</v>
      </c>
      <c r="C467" s="111">
        <v>20.0</v>
      </c>
      <c r="D467" s="111" t="s">
        <v>116</v>
      </c>
      <c r="E467" s="34">
        <v>399.7</v>
      </c>
      <c r="F467" s="34">
        <v>403.7</v>
      </c>
      <c r="G467" s="34">
        <v>407.7</v>
      </c>
      <c r="H467" s="113">
        <v>1.1618000000000002</v>
      </c>
      <c r="I467" s="34">
        <v>0.9959</v>
      </c>
      <c r="J467" s="34">
        <v>0.0</v>
      </c>
      <c r="K467" s="34">
        <v>9.0</v>
      </c>
      <c r="L467" s="113">
        <v>0.9528</v>
      </c>
    </row>
    <row r="468" ht="22.5" customHeight="1">
      <c r="A468" s="111" t="s">
        <v>28</v>
      </c>
      <c r="B468" s="112">
        <v>46920.0</v>
      </c>
      <c r="C468" s="111">
        <v>25.0</v>
      </c>
      <c r="D468" s="111" t="s">
        <v>116</v>
      </c>
      <c r="E468" s="34">
        <v>395.3</v>
      </c>
      <c r="F468" s="34">
        <v>399.28</v>
      </c>
      <c r="G468" s="34">
        <v>403.25</v>
      </c>
      <c r="H468" s="113">
        <v>1.0798999999999999</v>
      </c>
      <c r="I468" s="34">
        <v>0.995</v>
      </c>
      <c r="J468" s="34">
        <v>0.0</v>
      </c>
      <c r="K468" s="34">
        <v>8.0</v>
      </c>
      <c r="L468" s="113">
        <v>0.941</v>
      </c>
    </row>
    <row r="469" ht="22.5" customHeight="1">
      <c r="A469" s="111" t="s">
        <v>28</v>
      </c>
      <c r="B469" s="112">
        <v>46920.0</v>
      </c>
      <c r="C469" s="111">
        <v>30.0</v>
      </c>
      <c r="D469" s="111" t="s">
        <v>116</v>
      </c>
      <c r="E469" s="34">
        <v>390.9</v>
      </c>
      <c r="F469" s="34">
        <v>394.9</v>
      </c>
      <c r="G469" s="34">
        <v>398.9</v>
      </c>
      <c r="H469" s="113">
        <v>1.0207</v>
      </c>
      <c r="I469" s="34">
        <v>0.9941</v>
      </c>
      <c r="J469" s="34">
        <v>0.0</v>
      </c>
      <c r="K469" s="34">
        <v>93.0</v>
      </c>
      <c r="L469" s="113">
        <v>0.9292</v>
      </c>
    </row>
    <row r="470" ht="22.5" customHeight="1">
      <c r="A470" s="111" t="s">
        <v>28</v>
      </c>
      <c r="B470" s="112">
        <v>46920.0</v>
      </c>
      <c r="C470" s="111">
        <v>35.0</v>
      </c>
      <c r="D470" s="111" t="s">
        <v>116</v>
      </c>
      <c r="E470" s="34">
        <v>386.5</v>
      </c>
      <c r="F470" s="34">
        <v>390.5</v>
      </c>
      <c r="G470" s="34">
        <v>394.5</v>
      </c>
      <c r="H470" s="113">
        <v>0.97</v>
      </c>
      <c r="I470" s="34">
        <v>0.9932</v>
      </c>
      <c r="J470" s="34">
        <v>0.0</v>
      </c>
      <c r="K470" s="34">
        <v>0.0</v>
      </c>
      <c r="L470" s="113">
        <v>0.9174</v>
      </c>
    </row>
    <row r="471" ht="22.5" customHeight="1">
      <c r="A471" s="111" t="s">
        <v>28</v>
      </c>
      <c r="B471" s="112">
        <v>46920.0</v>
      </c>
      <c r="C471" s="111">
        <v>40.0</v>
      </c>
      <c r="D471" s="111" t="s">
        <v>116</v>
      </c>
      <c r="E471" s="34">
        <v>382.15</v>
      </c>
      <c r="F471" s="34">
        <v>386.15</v>
      </c>
      <c r="G471" s="34">
        <v>390.15</v>
      </c>
      <c r="H471" s="113">
        <v>0.9306</v>
      </c>
      <c r="I471" s="34">
        <v>0.9921</v>
      </c>
      <c r="J471" s="34">
        <v>0.0</v>
      </c>
      <c r="K471" s="34">
        <v>2.0</v>
      </c>
      <c r="L471" s="113">
        <v>0.9056000000000001</v>
      </c>
    </row>
    <row r="472" ht="22.5" customHeight="1">
      <c r="A472" s="111" t="s">
        <v>28</v>
      </c>
      <c r="B472" s="112">
        <v>46920.0</v>
      </c>
      <c r="C472" s="111">
        <v>45.0</v>
      </c>
      <c r="D472" s="111" t="s">
        <v>116</v>
      </c>
      <c r="E472" s="34">
        <v>377.85</v>
      </c>
      <c r="F472" s="34">
        <v>381.85</v>
      </c>
      <c r="G472" s="34">
        <v>385.85</v>
      </c>
      <c r="H472" s="113">
        <v>0.8995000000000001</v>
      </c>
      <c r="I472" s="34">
        <v>0.991</v>
      </c>
      <c r="J472" s="34">
        <v>0.0</v>
      </c>
      <c r="K472" s="34">
        <v>10.0</v>
      </c>
      <c r="L472" s="113">
        <v>0.8937999999999999</v>
      </c>
    </row>
    <row r="473" ht="22.5" customHeight="1">
      <c r="A473" s="111" t="s">
        <v>28</v>
      </c>
      <c r="B473" s="112">
        <v>46920.0</v>
      </c>
      <c r="C473" s="111">
        <v>50.0</v>
      </c>
      <c r="D473" s="111" t="s">
        <v>116</v>
      </c>
      <c r="E473" s="34">
        <v>373.5</v>
      </c>
      <c r="F473" s="34">
        <v>377.5</v>
      </c>
      <c r="G473" s="34">
        <v>381.5</v>
      </c>
      <c r="H473" s="113">
        <v>0.8687</v>
      </c>
      <c r="I473" s="34">
        <v>0.9899</v>
      </c>
      <c r="J473" s="34">
        <v>0.0</v>
      </c>
      <c r="K473" s="34">
        <v>5.0</v>
      </c>
      <c r="L473" s="113">
        <v>0.882</v>
      </c>
    </row>
    <row r="474" ht="22.5" customHeight="1">
      <c r="A474" s="111" t="s">
        <v>28</v>
      </c>
      <c r="B474" s="112">
        <v>46920.0</v>
      </c>
      <c r="C474" s="111">
        <v>55.0</v>
      </c>
      <c r="D474" s="111" t="s">
        <v>116</v>
      </c>
      <c r="E474" s="34">
        <v>369.25</v>
      </c>
      <c r="F474" s="34">
        <v>373.23</v>
      </c>
      <c r="G474" s="34">
        <v>377.2</v>
      </c>
      <c r="H474" s="113">
        <v>0.8448</v>
      </c>
      <c r="I474" s="34">
        <v>0.9886</v>
      </c>
      <c r="J474" s="34">
        <v>0.0</v>
      </c>
      <c r="K474" s="34">
        <v>170.0</v>
      </c>
      <c r="L474" s="113">
        <v>0.8702</v>
      </c>
    </row>
    <row r="475" ht="22.5" customHeight="1">
      <c r="A475" s="111" t="s">
        <v>28</v>
      </c>
      <c r="B475" s="112">
        <v>46920.0</v>
      </c>
      <c r="C475" s="111">
        <v>60.0</v>
      </c>
      <c r="D475" s="111" t="s">
        <v>116</v>
      </c>
      <c r="E475" s="34">
        <v>364.95</v>
      </c>
      <c r="F475" s="34">
        <v>368.95</v>
      </c>
      <c r="G475" s="34">
        <v>372.95</v>
      </c>
      <c r="H475" s="113">
        <v>0.8227</v>
      </c>
      <c r="I475" s="34">
        <v>0.9873</v>
      </c>
      <c r="J475" s="34">
        <v>0.0</v>
      </c>
      <c r="K475" s="34">
        <v>280.0</v>
      </c>
      <c r="L475" s="113">
        <v>0.8584</v>
      </c>
    </row>
    <row r="476" ht="22.5" customHeight="1">
      <c r="A476" s="111" t="s">
        <v>28</v>
      </c>
      <c r="B476" s="112">
        <v>46920.0</v>
      </c>
      <c r="C476" s="111">
        <v>65.0</v>
      </c>
      <c r="D476" s="111" t="s">
        <v>116</v>
      </c>
      <c r="E476" s="34">
        <v>360.7</v>
      </c>
      <c r="F476" s="34">
        <v>364.7</v>
      </c>
      <c r="G476" s="34">
        <v>368.7</v>
      </c>
      <c r="H476" s="113">
        <v>0.8031999999999999</v>
      </c>
      <c r="I476" s="34">
        <v>0.9859</v>
      </c>
      <c r="J476" s="34">
        <v>0.0</v>
      </c>
      <c r="K476" s="34">
        <v>489.0</v>
      </c>
      <c r="L476" s="113">
        <v>0.8466</v>
      </c>
    </row>
    <row r="477" ht="22.5" customHeight="1">
      <c r="A477" s="111" t="s">
        <v>28</v>
      </c>
      <c r="B477" s="112">
        <v>46920.0</v>
      </c>
      <c r="C477" s="111">
        <v>70.0</v>
      </c>
      <c r="D477" s="111" t="s">
        <v>116</v>
      </c>
      <c r="E477" s="34">
        <v>356.5</v>
      </c>
      <c r="F477" s="34">
        <v>360.48</v>
      </c>
      <c r="G477" s="34">
        <v>364.45</v>
      </c>
      <c r="H477" s="113">
        <v>0.7859</v>
      </c>
      <c r="I477" s="34">
        <v>0.9844</v>
      </c>
      <c r="J477" s="34">
        <v>0.0</v>
      </c>
      <c r="K477" s="34">
        <v>0.0</v>
      </c>
      <c r="L477" s="113">
        <v>0.8348</v>
      </c>
    </row>
    <row r="478" ht="22.5" customHeight="1">
      <c r="A478" s="111" t="s">
        <v>28</v>
      </c>
      <c r="B478" s="112">
        <v>46920.0</v>
      </c>
      <c r="C478" s="111">
        <v>75.0</v>
      </c>
      <c r="D478" s="111" t="s">
        <v>116</v>
      </c>
      <c r="E478" s="34">
        <v>352.3</v>
      </c>
      <c r="F478" s="34">
        <v>356.28</v>
      </c>
      <c r="G478" s="34">
        <v>360.25</v>
      </c>
      <c r="H478" s="113">
        <v>0.7702</v>
      </c>
      <c r="I478" s="34">
        <v>0.9828</v>
      </c>
      <c r="J478" s="34">
        <v>0.0</v>
      </c>
      <c r="K478" s="34">
        <v>0.0</v>
      </c>
      <c r="L478" s="113">
        <v>0.823</v>
      </c>
    </row>
    <row r="479" ht="22.5" customHeight="1">
      <c r="A479" s="111" t="s">
        <v>28</v>
      </c>
      <c r="B479" s="112">
        <v>46920.0</v>
      </c>
      <c r="C479" s="111">
        <v>80.0</v>
      </c>
      <c r="D479" s="111" t="s">
        <v>116</v>
      </c>
      <c r="E479" s="34">
        <v>350.25</v>
      </c>
      <c r="F479" s="34">
        <v>352.48</v>
      </c>
      <c r="G479" s="34">
        <v>354.7</v>
      </c>
      <c r="H479" s="113">
        <v>0.7684000000000001</v>
      </c>
      <c r="I479" s="34">
        <v>0.9805</v>
      </c>
      <c r="J479" s="34">
        <v>0.0</v>
      </c>
      <c r="K479" s="34">
        <v>0.0</v>
      </c>
      <c r="L479" s="113">
        <v>0.8111</v>
      </c>
    </row>
    <row r="480" ht="22.5" customHeight="1">
      <c r="A480" s="111" t="s">
        <v>28</v>
      </c>
      <c r="B480" s="112">
        <v>46920.0</v>
      </c>
      <c r="C480" s="111">
        <v>85.0</v>
      </c>
      <c r="D480" s="111" t="s">
        <v>116</v>
      </c>
      <c r="E480" s="34">
        <v>346.1</v>
      </c>
      <c r="F480" s="34">
        <v>348.2</v>
      </c>
      <c r="G480" s="34">
        <v>350.3</v>
      </c>
      <c r="H480" s="113">
        <v>0.7508</v>
      </c>
      <c r="I480" s="34">
        <v>0.979</v>
      </c>
      <c r="J480" s="34">
        <v>0.0</v>
      </c>
      <c r="K480" s="34">
        <v>26.0</v>
      </c>
      <c r="L480" s="113">
        <v>0.7993000000000001</v>
      </c>
    </row>
    <row r="481" ht="22.5" customHeight="1">
      <c r="A481" s="111" t="s">
        <v>28</v>
      </c>
      <c r="B481" s="112">
        <v>46920.0</v>
      </c>
      <c r="C481" s="111">
        <v>90.0</v>
      </c>
      <c r="D481" s="111" t="s">
        <v>116</v>
      </c>
      <c r="E481" s="34">
        <v>339.85</v>
      </c>
      <c r="F481" s="34">
        <v>343.85</v>
      </c>
      <c r="G481" s="34">
        <v>347.85</v>
      </c>
      <c r="H481" s="113">
        <v>0.7319</v>
      </c>
      <c r="I481" s="34">
        <v>0.9775</v>
      </c>
      <c r="J481" s="34">
        <v>0.0</v>
      </c>
      <c r="K481" s="34">
        <v>77.0</v>
      </c>
      <c r="L481" s="113">
        <v>0.7875</v>
      </c>
    </row>
    <row r="482" ht="22.5" customHeight="1">
      <c r="A482" s="111" t="s">
        <v>28</v>
      </c>
      <c r="B482" s="112">
        <v>46920.0</v>
      </c>
      <c r="C482" s="111">
        <v>95.0</v>
      </c>
      <c r="D482" s="111" t="s">
        <v>116</v>
      </c>
      <c r="E482" s="34">
        <v>337.9</v>
      </c>
      <c r="F482" s="34">
        <v>339.9</v>
      </c>
      <c r="G482" s="34">
        <v>341.9</v>
      </c>
      <c r="H482" s="113">
        <v>0.7249</v>
      </c>
      <c r="I482" s="34">
        <v>0.9753</v>
      </c>
      <c r="J482" s="34">
        <v>0.0</v>
      </c>
      <c r="K482" s="34">
        <v>49.0</v>
      </c>
      <c r="L482" s="113">
        <v>0.7757</v>
      </c>
    </row>
    <row r="483" ht="22.5" customHeight="1">
      <c r="A483" s="111" t="s">
        <v>28</v>
      </c>
      <c r="B483" s="112">
        <v>46920.0</v>
      </c>
      <c r="C483" s="111">
        <v>100.0</v>
      </c>
      <c r="D483" s="111" t="s">
        <v>116</v>
      </c>
      <c r="E483" s="34">
        <v>333.8</v>
      </c>
      <c r="F483" s="34">
        <v>335.85</v>
      </c>
      <c r="G483" s="34">
        <v>337.9</v>
      </c>
      <c r="H483" s="113">
        <v>0.7611</v>
      </c>
      <c r="I483" s="34">
        <v>0.9701</v>
      </c>
      <c r="J483" s="34">
        <v>50.0</v>
      </c>
      <c r="K483" s="34">
        <v>211.0</v>
      </c>
      <c r="L483" s="113">
        <v>0.7639</v>
      </c>
    </row>
    <row r="484" ht="22.5" customHeight="1">
      <c r="A484" s="111" t="s">
        <v>28</v>
      </c>
      <c r="B484" s="112">
        <v>46920.0</v>
      </c>
      <c r="C484" s="111">
        <v>110.0</v>
      </c>
      <c r="D484" s="111" t="s">
        <v>116</v>
      </c>
      <c r="E484" s="34">
        <v>325.85</v>
      </c>
      <c r="F484" s="34">
        <v>327.7</v>
      </c>
      <c r="G484" s="34">
        <v>329.55</v>
      </c>
      <c r="H484" s="113">
        <v>0.6942</v>
      </c>
      <c r="I484" s="34">
        <v>0.969</v>
      </c>
      <c r="J484" s="34">
        <v>0.0</v>
      </c>
      <c r="K484" s="34">
        <v>14.0</v>
      </c>
      <c r="L484" s="113">
        <v>0.7403</v>
      </c>
    </row>
    <row r="485" ht="22.5" customHeight="1">
      <c r="A485" s="111" t="s">
        <v>28</v>
      </c>
      <c r="B485" s="112">
        <v>46920.0</v>
      </c>
      <c r="C485" s="111">
        <v>120.0</v>
      </c>
      <c r="D485" s="111" t="s">
        <v>116</v>
      </c>
      <c r="E485" s="34">
        <v>317.7</v>
      </c>
      <c r="F485" s="34">
        <v>319.78</v>
      </c>
      <c r="G485" s="34">
        <v>321.85</v>
      </c>
      <c r="H485" s="113">
        <v>0.6785</v>
      </c>
      <c r="I485" s="34">
        <v>0.9643</v>
      </c>
      <c r="J485" s="34">
        <v>0.0</v>
      </c>
      <c r="K485" s="34">
        <v>6.0</v>
      </c>
      <c r="L485" s="113">
        <v>0.7167</v>
      </c>
    </row>
    <row r="486" ht="22.5" customHeight="1">
      <c r="A486" s="111" t="s">
        <v>28</v>
      </c>
      <c r="B486" s="112">
        <v>46920.0</v>
      </c>
      <c r="C486" s="111">
        <v>130.0</v>
      </c>
      <c r="D486" s="111" t="s">
        <v>116</v>
      </c>
      <c r="E486" s="34">
        <v>310.05</v>
      </c>
      <c r="F486" s="34">
        <v>311.93</v>
      </c>
      <c r="G486" s="34">
        <v>313.8</v>
      </c>
      <c r="H486" s="113">
        <v>0.6638</v>
      </c>
      <c r="I486" s="34">
        <v>0.9592</v>
      </c>
      <c r="J486" s="34">
        <v>0.0</v>
      </c>
      <c r="K486" s="34">
        <v>22.0</v>
      </c>
      <c r="L486" s="113">
        <v>0.6931</v>
      </c>
    </row>
    <row r="487" ht="22.5" customHeight="1">
      <c r="A487" s="111" t="s">
        <v>28</v>
      </c>
      <c r="B487" s="112">
        <v>46920.0</v>
      </c>
      <c r="C487" s="111">
        <v>140.0</v>
      </c>
      <c r="D487" s="111" t="s">
        <v>116</v>
      </c>
      <c r="E487" s="34">
        <v>302.3</v>
      </c>
      <c r="F487" s="34">
        <v>304.1</v>
      </c>
      <c r="G487" s="34">
        <v>305.9</v>
      </c>
      <c r="H487" s="113">
        <v>0.6492</v>
      </c>
      <c r="I487" s="34">
        <v>0.9539</v>
      </c>
      <c r="J487" s="34">
        <v>0.0</v>
      </c>
      <c r="K487" s="34">
        <v>11.0</v>
      </c>
      <c r="L487" s="113">
        <v>0.6695</v>
      </c>
    </row>
    <row r="488" ht="22.5" customHeight="1">
      <c r="A488" s="111" t="s">
        <v>28</v>
      </c>
      <c r="B488" s="112">
        <v>46920.0</v>
      </c>
      <c r="C488" s="111">
        <v>150.0</v>
      </c>
      <c r="D488" s="111" t="s">
        <v>116</v>
      </c>
      <c r="E488" s="34">
        <v>294.9</v>
      </c>
      <c r="F488" s="34">
        <v>296.6</v>
      </c>
      <c r="G488" s="34">
        <v>298.3</v>
      </c>
      <c r="H488" s="113">
        <v>0.6392</v>
      </c>
      <c r="I488" s="34">
        <v>0.9479</v>
      </c>
      <c r="J488" s="34">
        <v>0.0</v>
      </c>
      <c r="K488" s="34">
        <v>75.0</v>
      </c>
      <c r="L488" s="113">
        <v>0.6459</v>
      </c>
    </row>
    <row r="489" ht="22.5" customHeight="1">
      <c r="A489" s="111" t="s">
        <v>28</v>
      </c>
      <c r="B489" s="112">
        <v>46920.0</v>
      </c>
      <c r="C489" s="111">
        <v>160.0</v>
      </c>
      <c r="D489" s="111" t="s">
        <v>116</v>
      </c>
      <c r="E489" s="34">
        <v>287.45</v>
      </c>
      <c r="F489" s="34">
        <v>289.05</v>
      </c>
      <c r="G489" s="34">
        <v>290.65</v>
      </c>
      <c r="H489" s="113">
        <v>0.6277</v>
      </c>
      <c r="I489" s="34">
        <v>0.9418</v>
      </c>
      <c r="J489" s="34">
        <v>0.0</v>
      </c>
      <c r="K489" s="34">
        <v>36.0</v>
      </c>
      <c r="L489" s="113">
        <v>0.6223</v>
      </c>
    </row>
    <row r="490" ht="22.5" customHeight="1">
      <c r="A490" s="111" t="s">
        <v>28</v>
      </c>
      <c r="B490" s="112">
        <v>46920.0</v>
      </c>
      <c r="C490" s="111">
        <v>170.0</v>
      </c>
      <c r="D490" s="111" t="s">
        <v>116</v>
      </c>
      <c r="E490" s="34">
        <v>280.05</v>
      </c>
      <c r="F490" s="34">
        <v>281.83</v>
      </c>
      <c r="G490" s="34">
        <v>283.6</v>
      </c>
      <c r="H490" s="113">
        <v>0.6198</v>
      </c>
      <c r="I490" s="34">
        <v>0.935</v>
      </c>
      <c r="J490" s="34">
        <v>0.0</v>
      </c>
      <c r="K490" s="34">
        <v>115.0</v>
      </c>
      <c r="L490" s="113">
        <v>0.5987</v>
      </c>
    </row>
    <row r="491" ht="22.5" customHeight="1">
      <c r="A491" s="111" t="s">
        <v>28</v>
      </c>
      <c r="B491" s="112">
        <v>46920.0</v>
      </c>
      <c r="C491" s="111">
        <v>180.0</v>
      </c>
      <c r="D491" s="111" t="s">
        <v>116</v>
      </c>
      <c r="E491" s="34">
        <v>272.7</v>
      </c>
      <c r="F491" s="34">
        <v>274.58</v>
      </c>
      <c r="G491" s="34">
        <v>276.45</v>
      </c>
      <c r="H491" s="113">
        <v>0.6107</v>
      </c>
      <c r="I491" s="34">
        <v>0.9281</v>
      </c>
      <c r="J491" s="34">
        <v>0.0</v>
      </c>
      <c r="K491" s="34">
        <v>100.0</v>
      </c>
      <c r="L491" s="113">
        <v>0.5751</v>
      </c>
    </row>
    <row r="492" ht="22.5" customHeight="1">
      <c r="A492" s="111" t="s">
        <v>28</v>
      </c>
      <c r="B492" s="112">
        <v>46920.0</v>
      </c>
      <c r="C492" s="111">
        <v>190.0</v>
      </c>
      <c r="D492" s="111" t="s">
        <v>116</v>
      </c>
      <c r="E492" s="34">
        <v>266.1</v>
      </c>
      <c r="F492" s="34">
        <v>267.7</v>
      </c>
      <c r="G492" s="34">
        <v>269.3</v>
      </c>
      <c r="H492" s="113">
        <v>0.6048</v>
      </c>
      <c r="I492" s="34">
        <v>0.9206</v>
      </c>
      <c r="J492" s="34">
        <v>0.0</v>
      </c>
      <c r="K492" s="34">
        <v>51.0</v>
      </c>
      <c r="L492" s="113">
        <v>0.5515</v>
      </c>
    </row>
    <row r="493" ht="22.5" customHeight="1">
      <c r="A493" s="111" t="s">
        <v>28</v>
      </c>
      <c r="B493" s="112">
        <v>46920.0</v>
      </c>
      <c r="C493" s="111">
        <v>200.0</v>
      </c>
      <c r="D493" s="111" t="s">
        <v>116</v>
      </c>
      <c r="E493" s="34">
        <v>260.0</v>
      </c>
      <c r="F493" s="34">
        <v>261.23</v>
      </c>
      <c r="G493" s="34">
        <v>262.45</v>
      </c>
      <c r="H493" s="113">
        <v>0.6019</v>
      </c>
      <c r="I493" s="34">
        <v>0.9125</v>
      </c>
      <c r="J493" s="34">
        <v>2.0</v>
      </c>
      <c r="K493" s="34">
        <v>171.0</v>
      </c>
      <c r="L493" s="113">
        <v>0.5279</v>
      </c>
    </row>
    <row r="494" ht="22.5" customHeight="1">
      <c r="A494" s="111" t="s">
        <v>28</v>
      </c>
      <c r="B494" s="112">
        <v>46920.0</v>
      </c>
      <c r="C494" s="111">
        <v>210.0</v>
      </c>
      <c r="D494" s="111" t="s">
        <v>116</v>
      </c>
      <c r="E494" s="34">
        <v>252.6</v>
      </c>
      <c r="F494" s="34">
        <v>254.1</v>
      </c>
      <c r="G494" s="34">
        <v>255.6</v>
      </c>
      <c r="H494" s="113">
        <v>0.5919</v>
      </c>
      <c r="I494" s="34">
        <v>0.9049</v>
      </c>
      <c r="J494" s="34">
        <v>0.0</v>
      </c>
      <c r="K494" s="34">
        <v>54.0</v>
      </c>
      <c r="L494" s="113">
        <v>0.5043</v>
      </c>
    </row>
    <row r="495" ht="22.5" customHeight="1">
      <c r="A495" s="111" t="s">
        <v>28</v>
      </c>
      <c r="B495" s="112">
        <v>46920.0</v>
      </c>
      <c r="C495" s="111">
        <v>220.0</v>
      </c>
      <c r="D495" s="111" t="s">
        <v>116</v>
      </c>
      <c r="E495" s="34">
        <v>246.35</v>
      </c>
      <c r="F495" s="34">
        <v>247.68</v>
      </c>
      <c r="G495" s="34">
        <v>249.0</v>
      </c>
      <c r="H495" s="113">
        <v>0.5876</v>
      </c>
      <c r="I495" s="34">
        <v>0.8965</v>
      </c>
      <c r="J495" s="34">
        <v>1.0</v>
      </c>
      <c r="K495" s="34">
        <v>69.0</v>
      </c>
      <c r="L495" s="113">
        <v>0.4807</v>
      </c>
    </row>
    <row r="496" ht="22.5" customHeight="1">
      <c r="A496" s="111" t="s">
        <v>28</v>
      </c>
      <c r="B496" s="112">
        <v>46920.0</v>
      </c>
      <c r="C496" s="111">
        <v>230.0</v>
      </c>
      <c r="D496" s="111" t="s">
        <v>116</v>
      </c>
      <c r="E496" s="34">
        <v>239.8</v>
      </c>
      <c r="F496" s="34">
        <v>241.23</v>
      </c>
      <c r="G496" s="34">
        <v>242.65</v>
      </c>
      <c r="H496" s="113">
        <v>0.5821000000000001</v>
      </c>
      <c r="I496" s="34">
        <v>0.8879</v>
      </c>
      <c r="J496" s="34">
        <v>2.0</v>
      </c>
      <c r="K496" s="34">
        <v>20.0</v>
      </c>
      <c r="L496" s="113">
        <v>0.457</v>
      </c>
    </row>
    <row r="497" ht="22.5" customHeight="1">
      <c r="A497" s="111" t="s">
        <v>28</v>
      </c>
      <c r="B497" s="112">
        <v>46920.0</v>
      </c>
      <c r="C497" s="111">
        <v>240.0</v>
      </c>
      <c r="D497" s="111" t="s">
        <v>116</v>
      </c>
      <c r="E497" s="34">
        <v>233.65</v>
      </c>
      <c r="F497" s="34">
        <v>235.05</v>
      </c>
      <c r="G497" s="34">
        <v>236.45</v>
      </c>
      <c r="H497" s="113">
        <v>0.5781000000000001</v>
      </c>
      <c r="I497" s="34">
        <v>0.879</v>
      </c>
      <c r="J497" s="34">
        <v>0.0</v>
      </c>
      <c r="K497" s="34">
        <v>87.0</v>
      </c>
      <c r="L497" s="113">
        <v>0.4334</v>
      </c>
    </row>
    <row r="498" ht="22.5" customHeight="1">
      <c r="A498" s="111" t="s">
        <v>28</v>
      </c>
      <c r="B498" s="112">
        <v>46920.0</v>
      </c>
      <c r="C498" s="111">
        <v>250.0</v>
      </c>
      <c r="D498" s="111" t="s">
        <v>116</v>
      </c>
      <c r="E498" s="34">
        <v>227.5</v>
      </c>
      <c r="F498" s="34">
        <v>228.93</v>
      </c>
      <c r="G498" s="34">
        <v>230.35</v>
      </c>
      <c r="H498" s="113">
        <v>0.5736</v>
      </c>
      <c r="I498" s="34">
        <v>0.8699</v>
      </c>
      <c r="J498" s="34">
        <v>0.0</v>
      </c>
      <c r="K498" s="34">
        <v>301.0</v>
      </c>
      <c r="L498" s="113">
        <v>0.40979999999999994</v>
      </c>
    </row>
    <row r="499" ht="22.5" customHeight="1">
      <c r="A499" s="111" t="s">
        <v>28</v>
      </c>
      <c r="B499" s="112">
        <v>46920.0</v>
      </c>
      <c r="C499" s="111">
        <v>260.0</v>
      </c>
      <c r="D499" s="111" t="s">
        <v>116</v>
      </c>
      <c r="E499" s="34">
        <v>221.85</v>
      </c>
      <c r="F499" s="34">
        <v>223.15</v>
      </c>
      <c r="G499" s="34">
        <v>224.45</v>
      </c>
      <c r="H499" s="113">
        <v>0.5709000000000001</v>
      </c>
      <c r="I499" s="34">
        <v>0.8605</v>
      </c>
      <c r="J499" s="34">
        <v>0.0</v>
      </c>
      <c r="K499" s="34">
        <v>95.0</v>
      </c>
      <c r="L499" s="113">
        <v>0.3862</v>
      </c>
    </row>
    <row r="500" ht="22.5" customHeight="1">
      <c r="A500" s="111" t="s">
        <v>28</v>
      </c>
      <c r="B500" s="112">
        <v>46920.0</v>
      </c>
      <c r="C500" s="111">
        <v>270.0</v>
      </c>
      <c r="D500" s="111" t="s">
        <v>116</v>
      </c>
      <c r="E500" s="34">
        <v>216.2</v>
      </c>
      <c r="F500" s="34">
        <v>217.5</v>
      </c>
      <c r="G500" s="34">
        <v>218.8</v>
      </c>
      <c r="H500" s="113">
        <v>0.5682</v>
      </c>
      <c r="I500" s="34">
        <v>0.851</v>
      </c>
      <c r="J500" s="34">
        <v>0.0</v>
      </c>
      <c r="K500" s="34">
        <v>70.0</v>
      </c>
      <c r="L500" s="113">
        <v>0.3626</v>
      </c>
    </row>
    <row r="501" ht="22.5" customHeight="1">
      <c r="A501" s="111" t="s">
        <v>28</v>
      </c>
      <c r="B501" s="112">
        <v>46920.0</v>
      </c>
      <c r="C501" s="111">
        <v>280.0</v>
      </c>
      <c r="D501" s="111" t="s">
        <v>116</v>
      </c>
      <c r="E501" s="34">
        <v>210.7</v>
      </c>
      <c r="F501" s="34">
        <v>211.98</v>
      </c>
      <c r="G501" s="34">
        <v>213.25</v>
      </c>
      <c r="H501" s="113">
        <v>0.5656</v>
      </c>
      <c r="I501" s="34">
        <v>0.8413</v>
      </c>
      <c r="J501" s="34">
        <v>5.0</v>
      </c>
      <c r="K501" s="34">
        <v>102.0</v>
      </c>
      <c r="L501" s="113">
        <v>0.33899999999999997</v>
      </c>
    </row>
    <row r="502" ht="22.5" customHeight="1">
      <c r="A502" s="111" t="s">
        <v>28</v>
      </c>
      <c r="B502" s="112">
        <v>46920.0</v>
      </c>
      <c r="C502" s="111">
        <v>290.0</v>
      </c>
      <c r="D502" s="111" t="s">
        <v>116</v>
      </c>
      <c r="E502" s="34">
        <v>205.4</v>
      </c>
      <c r="F502" s="34">
        <v>206.63</v>
      </c>
      <c r="G502" s="34">
        <v>207.85</v>
      </c>
      <c r="H502" s="113">
        <v>0.5633</v>
      </c>
      <c r="I502" s="34">
        <v>0.8314</v>
      </c>
      <c r="J502" s="34">
        <v>0.0</v>
      </c>
      <c r="K502" s="34">
        <v>177.0</v>
      </c>
      <c r="L502" s="113">
        <v>0.3154</v>
      </c>
    </row>
    <row r="503" ht="22.5" customHeight="1">
      <c r="A503" s="111" t="s">
        <v>28</v>
      </c>
      <c r="B503" s="112">
        <v>46920.0</v>
      </c>
      <c r="C503" s="111">
        <v>300.0</v>
      </c>
      <c r="D503" s="111" t="s">
        <v>116</v>
      </c>
      <c r="E503" s="34">
        <v>200.1</v>
      </c>
      <c r="F503" s="34">
        <v>201.38</v>
      </c>
      <c r="G503" s="34">
        <v>202.65</v>
      </c>
      <c r="H503" s="113">
        <v>0.5609000000000001</v>
      </c>
      <c r="I503" s="34">
        <v>0.8215</v>
      </c>
      <c r="J503" s="34">
        <v>2.0</v>
      </c>
      <c r="K503" s="34">
        <v>352.0</v>
      </c>
      <c r="L503" s="113">
        <v>0.2918</v>
      </c>
    </row>
    <row r="504" ht="22.5" customHeight="1">
      <c r="A504" s="111" t="s">
        <v>28</v>
      </c>
      <c r="B504" s="112">
        <v>46920.0</v>
      </c>
      <c r="C504" s="111">
        <v>310.0</v>
      </c>
      <c r="D504" s="111" t="s">
        <v>116</v>
      </c>
      <c r="E504" s="34">
        <v>195.0</v>
      </c>
      <c r="F504" s="34">
        <v>196.28</v>
      </c>
      <c r="G504" s="34">
        <v>197.55</v>
      </c>
      <c r="H504" s="113">
        <v>0.5588000000000001</v>
      </c>
      <c r="I504" s="34">
        <v>0.8114</v>
      </c>
      <c r="J504" s="34">
        <v>8.0</v>
      </c>
      <c r="K504" s="34">
        <v>84.0</v>
      </c>
      <c r="L504" s="113">
        <v>0.2682</v>
      </c>
    </row>
    <row r="505" ht="22.5" customHeight="1">
      <c r="A505" s="111" t="s">
        <v>28</v>
      </c>
      <c r="B505" s="112">
        <v>46920.0</v>
      </c>
      <c r="C505" s="111">
        <v>320.0</v>
      </c>
      <c r="D505" s="111" t="s">
        <v>116</v>
      </c>
      <c r="E505" s="34">
        <v>190.0</v>
      </c>
      <c r="F505" s="34">
        <v>191.3</v>
      </c>
      <c r="G505" s="34">
        <v>192.6</v>
      </c>
      <c r="H505" s="113">
        <v>0.5567</v>
      </c>
      <c r="I505" s="34">
        <v>0.8013</v>
      </c>
      <c r="J505" s="34">
        <v>4.0</v>
      </c>
      <c r="K505" s="34">
        <v>263.0</v>
      </c>
      <c r="L505" s="113">
        <v>0.2446</v>
      </c>
    </row>
    <row r="506" ht="22.5" customHeight="1">
      <c r="A506" s="111" t="s">
        <v>28</v>
      </c>
      <c r="B506" s="112">
        <v>46920.0</v>
      </c>
      <c r="C506" s="111">
        <v>330.0</v>
      </c>
      <c r="D506" s="111" t="s">
        <v>116</v>
      </c>
      <c r="E506" s="34">
        <v>185.5</v>
      </c>
      <c r="F506" s="34">
        <v>186.65</v>
      </c>
      <c r="G506" s="34">
        <v>187.8</v>
      </c>
      <c r="H506" s="113">
        <v>0.5569</v>
      </c>
      <c r="I506" s="34">
        <v>0.7912</v>
      </c>
      <c r="J506" s="34">
        <v>28.0</v>
      </c>
      <c r="K506" s="34">
        <v>378.0</v>
      </c>
      <c r="L506" s="113">
        <v>0.221</v>
      </c>
    </row>
    <row r="507" ht="22.5" customHeight="1">
      <c r="A507" s="111" t="s">
        <v>28</v>
      </c>
      <c r="B507" s="112">
        <v>46920.0</v>
      </c>
      <c r="C507" s="111">
        <v>340.0</v>
      </c>
      <c r="D507" s="111" t="s">
        <v>116</v>
      </c>
      <c r="E507" s="34">
        <v>180.7</v>
      </c>
      <c r="F507" s="34">
        <v>181.93</v>
      </c>
      <c r="G507" s="34">
        <v>183.15</v>
      </c>
      <c r="H507" s="113">
        <v>0.5538000000000001</v>
      </c>
      <c r="I507" s="34">
        <v>0.7809</v>
      </c>
      <c r="J507" s="34">
        <v>0.0</v>
      </c>
      <c r="K507" s="34">
        <v>112.0</v>
      </c>
      <c r="L507" s="113">
        <v>0.1974</v>
      </c>
    </row>
    <row r="508" ht="22.5" customHeight="1">
      <c r="A508" s="111" t="s">
        <v>28</v>
      </c>
      <c r="B508" s="112">
        <v>46920.0</v>
      </c>
      <c r="C508" s="111">
        <v>350.0</v>
      </c>
      <c r="D508" s="111" t="s">
        <v>116</v>
      </c>
      <c r="E508" s="34">
        <v>176.25</v>
      </c>
      <c r="F508" s="34">
        <v>177.48</v>
      </c>
      <c r="G508" s="34">
        <v>178.7</v>
      </c>
      <c r="H508" s="113">
        <v>0.5528</v>
      </c>
      <c r="I508" s="34">
        <v>0.7707</v>
      </c>
      <c r="J508" s="34">
        <v>18.0</v>
      </c>
      <c r="K508" s="34">
        <v>270.0</v>
      </c>
      <c r="L508" s="113">
        <v>0.17379999999999998</v>
      </c>
    </row>
    <row r="509" ht="22.5" customHeight="1">
      <c r="A509" s="111" t="s">
        <v>28</v>
      </c>
      <c r="B509" s="112">
        <v>46920.0</v>
      </c>
      <c r="C509" s="111">
        <v>360.0</v>
      </c>
      <c r="D509" s="111" t="s">
        <v>116</v>
      </c>
      <c r="E509" s="34">
        <v>171.95</v>
      </c>
      <c r="F509" s="34">
        <v>173.15</v>
      </c>
      <c r="G509" s="34">
        <v>174.35</v>
      </c>
      <c r="H509" s="113">
        <v>0.5517</v>
      </c>
      <c r="I509" s="34">
        <v>0.7605</v>
      </c>
      <c r="J509" s="34">
        <v>0.0</v>
      </c>
      <c r="K509" s="34">
        <v>183.0</v>
      </c>
      <c r="L509" s="113">
        <v>0.1502</v>
      </c>
    </row>
    <row r="510" ht="22.5" customHeight="1">
      <c r="A510" s="111" t="s">
        <v>28</v>
      </c>
      <c r="B510" s="112">
        <v>46920.0</v>
      </c>
      <c r="C510" s="111">
        <v>370.0</v>
      </c>
      <c r="D510" s="111" t="s">
        <v>116</v>
      </c>
      <c r="E510" s="34">
        <v>167.85</v>
      </c>
      <c r="F510" s="34">
        <v>169.08</v>
      </c>
      <c r="G510" s="34">
        <v>170.3</v>
      </c>
      <c r="H510" s="113">
        <v>0.5514</v>
      </c>
      <c r="I510" s="34">
        <v>0.7503</v>
      </c>
      <c r="J510" s="34">
        <v>1.0</v>
      </c>
      <c r="K510" s="34">
        <v>326.0</v>
      </c>
      <c r="L510" s="113">
        <v>0.1266</v>
      </c>
    </row>
    <row r="511" ht="22.5" customHeight="1">
      <c r="A511" s="111" t="s">
        <v>28</v>
      </c>
      <c r="B511" s="112">
        <v>46920.0</v>
      </c>
      <c r="C511" s="111">
        <v>380.0</v>
      </c>
      <c r="D511" s="111" t="s">
        <v>116</v>
      </c>
      <c r="E511" s="34">
        <v>163.7</v>
      </c>
      <c r="F511" s="34">
        <v>164.85</v>
      </c>
      <c r="G511" s="34">
        <v>166.0</v>
      </c>
      <c r="H511" s="113">
        <v>0.5498</v>
      </c>
      <c r="I511" s="34">
        <v>0.7401</v>
      </c>
      <c r="J511" s="34">
        <v>0.0</v>
      </c>
      <c r="K511" s="34">
        <v>106.0</v>
      </c>
      <c r="L511" s="113">
        <v>0.10289999999999999</v>
      </c>
    </row>
    <row r="512" ht="22.5" customHeight="1">
      <c r="A512" s="111" t="s">
        <v>28</v>
      </c>
      <c r="B512" s="112">
        <v>46920.0</v>
      </c>
      <c r="C512" s="111">
        <v>390.0</v>
      </c>
      <c r="D512" s="111" t="s">
        <v>116</v>
      </c>
      <c r="E512" s="34">
        <v>159.85</v>
      </c>
      <c r="F512" s="34">
        <v>161.05</v>
      </c>
      <c r="G512" s="34">
        <v>162.25</v>
      </c>
      <c r="H512" s="113">
        <v>0.5498</v>
      </c>
      <c r="I512" s="34">
        <v>0.7301</v>
      </c>
      <c r="J512" s="34">
        <v>3.0</v>
      </c>
      <c r="K512" s="34">
        <v>92.0</v>
      </c>
      <c r="L512" s="113">
        <v>0.0793</v>
      </c>
    </row>
    <row r="513" ht="22.5" customHeight="1">
      <c r="A513" s="111" t="s">
        <v>28</v>
      </c>
      <c r="B513" s="112">
        <v>46920.0</v>
      </c>
      <c r="C513" s="111">
        <v>400.0</v>
      </c>
      <c r="D513" s="111" t="s">
        <v>116</v>
      </c>
      <c r="E513" s="34">
        <v>156.1</v>
      </c>
      <c r="F513" s="34">
        <v>157.23</v>
      </c>
      <c r="G513" s="34">
        <v>158.35</v>
      </c>
      <c r="H513" s="113">
        <v>0.5481</v>
      </c>
      <c r="I513" s="34">
        <v>0.7198</v>
      </c>
      <c r="J513" s="34">
        <v>18.0</v>
      </c>
      <c r="K513" s="34">
        <v>1326.0</v>
      </c>
      <c r="L513" s="113">
        <v>0.0557</v>
      </c>
    </row>
    <row r="514" ht="22.5" customHeight="1">
      <c r="A514" s="111" t="s">
        <v>28</v>
      </c>
      <c r="B514" s="112">
        <v>46920.0</v>
      </c>
      <c r="C514" s="111">
        <v>410.0</v>
      </c>
      <c r="D514" s="111" t="s">
        <v>116</v>
      </c>
      <c r="E514" s="34">
        <v>152.35</v>
      </c>
      <c r="F514" s="34">
        <v>153.52</v>
      </c>
      <c r="G514" s="34">
        <v>154.7</v>
      </c>
      <c r="H514" s="113">
        <v>0.5486</v>
      </c>
      <c r="I514" s="34">
        <v>0.71</v>
      </c>
      <c r="J514" s="34">
        <v>6.0</v>
      </c>
      <c r="K514" s="34">
        <v>194.0</v>
      </c>
      <c r="L514" s="113">
        <v>0.0321</v>
      </c>
    </row>
    <row r="515" ht="22.5" customHeight="1">
      <c r="A515" s="111" t="s">
        <v>28</v>
      </c>
      <c r="B515" s="112">
        <v>46920.0</v>
      </c>
      <c r="C515" s="111">
        <v>420.0</v>
      </c>
      <c r="D515" s="111" t="s">
        <v>116</v>
      </c>
      <c r="E515" s="34">
        <v>148.8</v>
      </c>
      <c r="F515" s="34">
        <v>149.93</v>
      </c>
      <c r="G515" s="34">
        <v>151.05</v>
      </c>
      <c r="H515" s="113">
        <v>0.5481</v>
      </c>
      <c r="I515" s="34">
        <v>0.7001</v>
      </c>
      <c r="J515" s="34">
        <v>3.0</v>
      </c>
      <c r="K515" s="34">
        <v>290.0</v>
      </c>
      <c r="L515" s="113">
        <v>0.0085</v>
      </c>
    </row>
    <row r="516" ht="22.5" customHeight="1">
      <c r="A516" s="111" t="s">
        <v>28</v>
      </c>
      <c r="B516" s="112">
        <v>46920.0</v>
      </c>
      <c r="C516" s="111">
        <v>430.0</v>
      </c>
      <c r="D516" s="111" t="s">
        <v>116</v>
      </c>
      <c r="E516" s="34">
        <v>145.3</v>
      </c>
      <c r="F516" s="34">
        <v>146.43</v>
      </c>
      <c r="G516" s="34">
        <v>147.55</v>
      </c>
      <c r="H516" s="113">
        <v>0.5476</v>
      </c>
      <c r="I516" s="34">
        <v>0.6902</v>
      </c>
      <c r="J516" s="34">
        <v>12.0</v>
      </c>
      <c r="K516" s="34">
        <v>230.0</v>
      </c>
      <c r="L516" s="113">
        <v>-0.0151</v>
      </c>
    </row>
    <row r="517" ht="22.5" customHeight="1">
      <c r="A517" s="111" t="s">
        <v>28</v>
      </c>
      <c r="B517" s="112">
        <v>46920.0</v>
      </c>
      <c r="C517" s="111">
        <v>440.0</v>
      </c>
      <c r="D517" s="111" t="s">
        <v>116</v>
      </c>
      <c r="E517" s="34">
        <v>141.95</v>
      </c>
      <c r="F517" s="34">
        <v>143.1</v>
      </c>
      <c r="G517" s="34">
        <v>144.25</v>
      </c>
      <c r="H517" s="113">
        <v>0.5474</v>
      </c>
      <c r="I517" s="34">
        <v>0.6805</v>
      </c>
      <c r="J517" s="34">
        <v>20.0</v>
      </c>
      <c r="K517" s="34">
        <v>208.0</v>
      </c>
      <c r="L517" s="113">
        <v>-0.0387</v>
      </c>
    </row>
    <row r="518" ht="22.5" customHeight="1">
      <c r="A518" s="111" t="s">
        <v>28</v>
      </c>
      <c r="B518" s="112">
        <v>46920.0</v>
      </c>
      <c r="C518" s="111">
        <v>450.0</v>
      </c>
      <c r="D518" s="111" t="s">
        <v>116</v>
      </c>
      <c r="E518" s="34">
        <v>138.7</v>
      </c>
      <c r="F518" s="34">
        <v>139.77</v>
      </c>
      <c r="G518" s="34">
        <v>140.85</v>
      </c>
      <c r="H518" s="113">
        <v>0.5471</v>
      </c>
      <c r="I518" s="34">
        <v>0.6709</v>
      </c>
      <c r="J518" s="34">
        <v>16.0</v>
      </c>
      <c r="K518" s="34">
        <v>943.0</v>
      </c>
      <c r="L518" s="113">
        <v>-0.0623</v>
      </c>
    </row>
    <row r="519" ht="22.5" customHeight="1">
      <c r="A519" s="111" t="s">
        <v>28</v>
      </c>
      <c r="B519" s="112">
        <v>46920.0</v>
      </c>
      <c r="C519" s="111">
        <v>460.0</v>
      </c>
      <c r="D519" s="111" t="s">
        <v>116</v>
      </c>
      <c r="E519" s="34">
        <v>135.55</v>
      </c>
      <c r="F519" s="34">
        <v>136.63</v>
      </c>
      <c r="G519" s="34">
        <v>137.7</v>
      </c>
      <c r="H519" s="113">
        <v>0.5494</v>
      </c>
      <c r="I519" s="34">
        <v>0.662</v>
      </c>
      <c r="J519" s="34">
        <v>7.0</v>
      </c>
      <c r="K519" s="34">
        <v>419.0</v>
      </c>
      <c r="L519" s="113">
        <v>-0.0859</v>
      </c>
    </row>
    <row r="520" ht="22.5" customHeight="1">
      <c r="A520" s="111" t="s">
        <v>28</v>
      </c>
      <c r="B520" s="112">
        <v>46920.0</v>
      </c>
      <c r="C520" s="111">
        <v>470.0</v>
      </c>
      <c r="D520" s="111" t="s">
        <v>116</v>
      </c>
      <c r="E520" s="34">
        <v>132.85</v>
      </c>
      <c r="F520" s="34">
        <v>133.65</v>
      </c>
      <c r="G520" s="34">
        <v>134.45</v>
      </c>
      <c r="H520" s="113">
        <v>0.547</v>
      </c>
      <c r="I520" s="34">
        <v>0.652</v>
      </c>
      <c r="J520" s="34">
        <v>36.0</v>
      </c>
      <c r="K520" s="34">
        <v>318.0</v>
      </c>
      <c r="L520" s="113">
        <v>-0.10949999999999999</v>
      </c>
    </row>
    <row r="521" ht="22.5" customHeight="1">
      <c r="A521" s="111" t="s">
        <v>28</v>
      </c>
      <c r="B521" s="112">
        <v>46920.0</v>
      </c>
      <c r="C521" s="111">
        <v>480.0</v>
      </c>
      <c r="D521" s="111" t="s">
        <v>116</v>
      </c>
      <c r="E521" s="34">
        <v>129.5</v>
      </c>
      <c r="F521" s="34">
        <v>130.55</v>
      </c>
      <c r="G521" s="34">
        <v>131.6</v>
      </c>
      <c r="H521" s="113">
        <v>0.5463</v>
      </c>
      <c r="I521" s="34">
        <v>0.6425</v>
      </c>
      <c r="J521" s="34">
        <v>9.0</v>
      </c>
      <c r="K521" s="34">
        <v>403.0</v>
      </c>
      <c r="L521" s="113">
        <v>-0.1331</v>
      </c>
    </row>
    <row r="522" ht="22.5" customHeight="1">
      <c r="A522" s="111" t="s">
        <v>28</v>
      </c>
      <c r="B522" s="112">
        <v>46920.0</v>
      </c>
      <c r="C522" s="111">
        <v>490.0</v>
      </c>
      <c r="D522" s="111" t="s">
        <v>116</v>
      </c>
      <c r="E522" s="34">
        <v>126.7</v>
      </c>
      <c r="F522" s="34">
        <v>127.7</v>
      </c>
      <c r="G522" s="34">
        <v>128.7</v>
      </c>
      <c r="H522" s="113">
        <v>0.5464</v>
      </c>
      <c r="I522" s="34">
        <v>0.6334</v>
      </c>
      <c r="J522" s="34">
        <v>150.0</v>
      </c>
      <c r="K522" s="34">
        <v>494.0</v>
      </c>
      <c r="L522" s="113">
        <v>-0.1567</v>
      </c>
    </row>
    <row r="523" ht="22.5" customHeight="1">
      <c r="A523" s="111" t="s">
        <v>28</v>
      </c>
      <c r="B523" s="112">
        <v>46920.0</v>
      </c>
      <c r="C523" s="111">
        <v>500.0</v>
      </c>
      <c r="D523" s="111" t="s">
        <v>116</v>
      </c>
      <c r="E523" s="34">
        <v>123.85</v>
      </c>
      <c r="F523" s="34">
        <v>124.85</v>
      </c>
      <c r="G523" s="34">
        <v>125.85</v>
      </c>
      <c r="H523" s="113">
        <v>0.5459</v>
      </c>
      <c r="I523" s="34">
        <v>0.6241</v>
      </c>
      <c r="J523" s="34">
        <v>27.0</v>
      </c>
      <c r="K523" s="34">
        <v>2065.0</v>
      </c>
      <c r="L523" s="113">
        <v>-0.18030000000000002</v>
      </c>
    </row>
    <row r="524" ht="22.5" customHeight="1">
      <c r="A524" s="111" t="s">
        <v>28</v>
      </c>
      <c r="B524" s="112">
        <v>46920.0</v>
      </c>
      <c r="C524" s="111">
        <v>510.0</v>
      </c>
      <c r="D524" s="111" t="s">
        <v>116</v>
      </c>
      <c r="E524" s="34">
        <v>121.1</v>
      </c>
      <c r="F524" s="34">
        <v>122.2</v>
      </c>
      <c r="G524" s="34">
        <v>123.3</v>
      </c>
      <c r="H524" s="113">
        <v>0.5464</v>
      </c>
      <c r="I524" s="34">
        <v>0.6153</v>
      </c>
      <c r="J524" s="34">
        <v>0.0</v>
      </c>
      <c r="K524" s="34">
        <v>359.0</v>
      </c>
      <c r="L524" s="113">
        <v>-0.2039</v>
      </c>
    </row>
    <row r="525" ht="22.5" customHeight="1">
      <c r="A525" s="111" t="s">
        <v>28</v>
      </c>
      <c r="B525" s="112">
        <v>46920.0</v>
      </c>
      <c r="C525" s="111">
        <v>520.0</v>
      </c>
      <c r="D525" s="111" t="s">
        <v>116</v>
      </c>
      <c r="E525" s="34">
        <v>118.5</v>
      </c>
      <c r="F525" s="34">
        <v>119.58</v>
      </c>
      <c r="G525" s="34">
        <v>120.65</v>
      </c>
      <c r="H525" s="113">
        <v>0.5464</v>
      </c>
      <c r="I525" s="34">
        <v>0.6065</v>
      </c>
      <c r="J525" s="34">
        <v>0.0</v>
      </c>
      <c r="K525" s="34">
        <v>281.0</v>
      </c>
      <c r="L525" s="113">
        <v>-0.2275</v>
      </c>
    </row>
    <row r="526" ht="22.5" customHeight="1">
      <c r="A526" s="111" t="s">
        <v>28</v>
      </c>
      <c r="B526" s="112">
        <v>46920.0</v>
      </c>
      <c r="C526" s="111">
        <v>530.0</v>
      </c>
      <c r="D526" s="111" t="s">
        <v>116</v>
      </c>
      <c r="E526" s="34">
        <v>116.05</v>
      </c>
      <c r="F526" s="34">
        <v>117.05</v>
      </c>
      <c r="G526" s="34">
        <v>118.05</v>
      </c>
      <c r="H526" s="113">
        <v>0.5466</v>
      </c>
      <c r="I526" s="34">
        <v>0.5979</v>
      </c>
      <c r="J526" s="34">
        <v>16.0</v>
      </c>
      <c r="K526" s="34">
        <v>171.0</v>
      </c>
      <c r="L526" s="113">
        <v>-0.25120000000000003</v>
      </c>
    </row>
    <row r="527" ht="22.5" customHeight="1">
      <c r="A527" s="111" t="s">
        <v>28</v>
      </c>
      <c r="B527" s="112">
        <v>46920.0</v>
      </c>
      <c r="C527" s="111">
        <v>540.0</v>
      </c>
      <c r="D527" s="111" t="s">
        <v>116</v>
      </c>
      <c r="E527" s="34">
        <v>114.3</v>
      </c>
      <c r="F527" s="34">
        <v>114.8</v>
      </c>
      <c r="G527" s="34">
        <v>115.3</v>
      </c>
      <c r="H527" s="113">
        <v>0.5476</v>
      </c>
      <c r="I527" s="34">
        <v>0.5897</v>
      </c>
      <c r="J527" s="34">
        <v>3.0</v>
      </c>
      <c r="K527" s="34">
        <v>116.0</v>
      </c>
      <c r="L527" s="113">
        <v>-0.2748</v>
      </c>
    </row>
    <row r="528" ht="22.5" customHeight="1">
      <c r="A528" s="111" t="s">
        <v>28</v>
      </c>
      <c r="B528" s="112">
        <v>46920.0</v>
      </c>
      <c r="C528" s="111">
        <v>550.0</v>
      </c>
      <c r="D528" s="111" t="s">
        <v>116</v>
      </c>
      <c r="E528" s="34">
        <v>111.9</v>
      </c>
      <c r="F528" s="34">
        <v>112.38</v>
      </c>
      <c r="G528" s="34">
        <v>112.85</v>
      </c>
      <c r="H528" s="113">
        <v>0.5476</v>
      </c>
      <c r="I528" s="34">
        <v>0.5813</v>
      </c>
      <c r="J528" s="34">
        <v>7.0</v>
      </c>
      <c r="K528" s="34">
        <v>474.0</v>
      </c>
      <c r="L528" s="113">
        <v>-0.2984</v>
      </c>
    </row>
    <row r="529" ht="22.5" customHeight="1">
      <c r="A529" s="111" t="s">
        <v>28</v>
      </c>
      <c r="B529" s="112">
        <v>46920.0</v>
      </c>
      <c r="C529" s="111">
        <v>560.0</v>
      </c>
      <c r="D529" s="111" t="s">
        <v>116</v>
      </c>
      <c r="E529" s="34">
        <v>109.6</v>
      </c>
      <c r="F529" s="34">
        <v>110.07</v>
      </c>
      <c r="G529" s="34">
        <v>110.55</v>
      </c>
      <c r="H529" s="113">
        <v>0.5478000000000001</v>
      </c>
      <c r="I529" s="34">
        <v>0.573</v>
      </c>
      <c r="J529" s="34">
        <v>3.0</v>
      </c>
      <c r="K529" s="34">
        <v>183.0</v>
      </c>
      <c r="L529" s="113">
        <v>-0.322</v>
      </c>
    </row>
    <row r="530" ht="22.5" customHeight="1">
      <c r="A530" s="111" t="s">
        <v>28</v>
      </c>
      <c r="B530" s="112">
        <v>46920.0</v>
      </c>
      <c r="C530" s="111">
        <v>570.0</v>
      </c>
      <c r="D530" s="111" t="s">
        <v>116</v>
      </c>
      <c r="E530" s="34">
        <v>107.35</v>
      </c>
      <c r="F530" s="34">
        <v>107.82</v>
      </c>
      <c r="G530" s="34">
        <v>108.3</v>
      </c>
      <c r="H530" s="113">
        <v>0.5479999999999999</v>
      </c>
      <c r="I530" s="34">
        <v>0.5649</v>
      </c>
      <c r="J530" s="34">
        <v>1.0</v>
      </c>
      <c r="K530" s="34">
        <v>254.0</v>
      </c>
      <c r="L530" s="113">
        <v>-0.3456</v>
      </c>
    </row>
    <row r="531" ht="22.5" customHeight="1">
      <c r="A531" s="111" t="s">
        <v>28</v>
      </c>
      <c r="B531" s="112">
        <v>46920.0</v>
      </c>
      <c r="C531" s="111">
        <v>580.0</v>
      </c>
      <c r="D531" s="111" t="s">
        <v>116</v>
      </c>
      <c r="E531" s="34">
        <v>105.25</v>
      </c>
      <c r="F531" s="34">
        <v>105.68</v>
      </c>
      <c r="G531" s="34">
        <v>106.1</v>
      </c>
      <c r="H531" s="113">
        <v>0.5484</v>
      </c>
      <c r="I531" s="34">
        <v>0.557</v>
      </c>
      <c r="J531" s="34">
        <v>5.0</v>
      </c>
      <c r="K531" s="34">
        <v>263.0</v>
      </c>
      <c r="L531" s="113">
        <v>-0.36920000000000003</v>
      </c>
    </row>
    <row r="532" ht="22.5" customHeight="1">
      <c r="A532" s="111" t="s">
        <v>28</v>
      </c>
      <c r="B532" s="112">
        <v>46920.0</v>
      </c>
      <c r="C532" s="111">
        <v>590.0</v>
      </c>
      <c r="D532" s="111" t="s">
        <v>116</v>
      </c>
      <c r="E532" s="34">
        <v>103.05</v>
      </c>
      <c r="F532" s="34">
        <v>103.5</v>
      </c>
      <c r="G532" s="34">
        <v>103.95</v>
      </c>
      <c r="H532" s="113">
        <v>0.5484</v>
      </c>
      <c r="I532" s="34">
        <v>0.549</v>
      </c>
      <c r="J532" s="34">
        <v>2.0</v>
      </c>
      <c r="K532" s="34">
        <v>72.0</v>
      </c>
      <c r="L532" s="113">
        <v>-0.39280000000000004</v>
      </c>
    </row>
    <row r="533" ht="22.5" customHeight="1">
      <c r="A533" s="111" t="s">
        <v>28</v>
      </c>
      <c r="B533" s="112">
        <v>46920.0</v>
      </c>
      <c r="C533" s="111">
        <v>600.0</v>
      </c>
      <c r="D533" s="111" t="s">
        <v>116</v>
      </c>
      <c r="E533" s="34">
        <v>100.95</v>
      </c>
      <c r="F533" s="34">
        <v>101.4</v>
      </c>
      <c r="G533" s="34">
        <v>101.85</v>
      </c>
      <c r="H533" s="113">
        <v>0.547</v>
      </c>
      <c r="I533" s="34">
        <v>0.5403</v>
      </c>
      <c r="J533" s="34">
        <v>62.0</v>
      </c>
      <c r="K533" s="34">
        <v>1000.0</v>
      </c>
      <c r="L533" s="113">
        <v>-0.4164</v>
      </c>
    </row>
    <row r="534" ht="22.5" customHeight="1">
      <c r="A534" s="111" t="s">
        <v>28</v>
      </c>
      <c r="B534" s="112">
        <v>46920.0</v>
      </c>
      <c r="C534" s="111">
        <v>610.0</v>
      </c>
      <c r="D534" s="111" t="s">
        <v>116</v>
      </c>
      <c r="E534" s="34">
        <v>98.95</v>
      </c>
      <c r="F534" s="34">
        <v>99.4</v>
      </c>
      <c r="G534" s="34">
        <v>99.85</v>
      </c>
      <c r="H534" s="113">
        <v>0.5488000000000001</v>
      </c>
      <c r="I534" s="34">
        <v>0.5336</v>
      </c>
      <c r="J534" s="34">
        <v>4.0</v>
      </c>
      <c r="K534" s="34">
        <v>340.0</v>
      </c>
      <c r="L534" s="113">
        <v>-0.44</v>
      </c>
    </row>
    <row r="535" ht="22.5" customHeight="1">
      <c r="A535" s="111" t="s">
        <v>28</v>
      </c>
      <c r="B535" s="112">
        <v>46920.0</v>
      </c>
      <c r="C535" s="111">
        <v>620.0</v>
      </c>
      <c r="D535" s="111" t="s">
        <v>116</v>
      </c>
      <c r="E535" s="34">
        <v>97.0</v>
      </c>
      <c r="F535" s="34">
        <v>97.45</v>
      </c>
      <c r="G535" s="34">
        <v>97.9</v>
      </c>
      <c r="H535" s="113">
        <v>0.5490999999999999</v>
      </c>
      <c r="I535" s="34">
        <v>0.5261</v>
      </c>
      <c r="J535" s="34">
        <v>2.0</v>
      </c>
      <c r="K535" s="34">
        <v>426.0</v>
      </c>
      <c r="L535" s="113">
        <v>-0.4636</v>
      </c>
    </row>
    <row r="536" ht="22.5" customHeight="1">
      <c r="A536" s="111" t="s">
        <v>28</v>
      </c>
      <c r="B536" s="112">
        <v>46920.0</v>
      </c>
      <c r="C536" s="111">
        <v>630.0</v>
      </c>
      <c r="D536" s="111" t="s">
        <v>116</v>
      </c>
      <c r="E536" s="34">
        <v>95.15</v>
      </c>
      <c r="F536" s="34">
        <v>95.58</v>
      </c>
      <c r="G536" s="34">
        <v>96.0</v>
      </c>
      <c r="H536" s="113">
        <v>0.5495</v>
      </c>
      <c r="I536" s="34">
        <v>0.5188</v>
      </c>
      <c r="J536" s="34">
        <v>0.0</v>
      </c>
      <c r="K536" s="34">
        <v>247.0</v>
      </c>
      <c r="L536" s="113">
        <v>-0.48719999999999997</v>
      </c>
    </row>
    <row r="537" ht="22.5" customHeight="1">
      <c r="A537" s="111" t="s">
        <v>28</v>
      </c>
      <c r="B537" s="112">
        <v>46920.0</v>
      </c>
      <c r="C537" s="111">
        <v>640.0</v>
      </c>
      <c r="D537" s="111" t="s">
        <v>116</v>
      </c>
      <c r="E537" s="34">
        <v>93.35</v>
      </c>
      <c r="F537" s="34">
        <v>93.78</v>
      </c>
      <c r="G537" s="34">
        <v>94.2</v>
      </c>
      <c r="H537" s="113">
        <v>0.5499</v>
      </c>
      <c r="I537" s="34">
        <v>0.5116</v>
      </c>
      <c r="J537" s="34">
        <v>1.0</v>
      </c>
      <c r="K537" s="34">
        <v>222.0</v>
      </c>
      <c r="L537" s="113">
        <v>-0.5108</v>
      </c>
    </row>
    <row r="538" ht="22.5" customHeight="1">
      <c r="A538" s="111" t="s">
        <v>28</v>
      </c>
      <c r="B538" s="112">
        <v>46920.0</v>
      </c>
      <c r="C538" s="111">
        <v>650.0</v>
      </c>
      <c r="D538" s="111" t="s">
        <v>116</v>
      </c>
      <c r="E538" s="34">
        <v>91.55</v>
      </c>
      <c r="F538" s="34">
        <v>91.98</v>
      </c>
      <c r="G538" s="34">
        <v>92.4</v>
      </c>
      <c r="H538" s="113">
        <v>0.5502</v>
      </c>
      <c r="I538" s="34">
        <v>0.5045</v>
      </c>
      <c r="J538" s="34">
        <v>0.0</v>
      </c>
      <c r="K538" s="34">
        <v>284.0</v>
      </c>
      <c r="L538" s="113">
        <v>-0.5344</v>
      </c>
    </row>
    <row r="539" ht="22.5" customHeight="1">
      <c r="A539" s="111" t="s">
        <v>28</v>
      </c>
      <c r="B539" s="112">
        <v>46920.0</v>
      </c>
      <c r="C539" s="111">
        <v>660.0</v>
      </c>
      <c r="D539" s="111" t="s">
        <v>116</v>
      </c>
      <c r="E539" s="34">
        <v>89.8</v>
      </c>
      <c r="F539" s="34">
        <v>90.23</v>
      </c>
      <c r="G539" s="34">
        <v>90.65</v>
      </c>
      <c r="H539" s="113">
        <v>0.5505</v>
      </c>
      <c r="I539" s="34">
        <v>0.4975</v>
      </c>
      <c r="J539" s="34">
        <v>0.0</v>
      </c>
      <c r="K539" s="34">
        <v>129.0</v>
      </c>
      <c r="L539" s="113">
        <v>-0.5579999999999999</v>
      </c>
    </row>
    <row r="540" ht="22.5" customHeight="1">
      <c r="A540" s="111" t="s">
        <v>28</v>
      </c>
      <c r="B540" s="112">
        <v>46920.0</v>
      </c>
      <c r="C540" s="111">
        <v>670.0</v>
      </c>
      <c r="D540" s="111" t="s">
        <v>116</v>
      </c>
      <c r="E540" s="34">
        <v>88.15</v>
      </c>
      <c r="F540" s="34">
        <v>88.55</v>
      </c>
      <c r="G540" s="34">
        <v>88.95</v>
      </c>
      <c r="H540" s="113">
        <v>0.5509000000000001</v>
      </c>
      <c r="I540" s="34">
        <v>0.4907</v>
      </c>
      <c r="J540" s="34">
        <v>0.0</v>
      </c>
      <c r="K540" s="34">
        <v>228.0</v>
      </c>
      <c r="L540" s="113">
        <v>-0.5816</v>
      </c>
    </row>
    <row r="541" ht="22.5" customHeight="1">
      <c r="A541" s="111" t="s">
        <v>28</v>
      </c>
      <c r="B541" s="112">
        <v>46920.0</v>
      </c>
      <c r="C541" s="111">
        <v>680.0</v>
      </c>
      <c r="D541" s="111" t="s">
        <v>116</v>
      </c>
      <c r="E541" s="34">
        <v>86.45</v>
      </c>
      <c r="F541" s="34">
        <v>86.88</v>
      </c>
      <c r="G541" s="34">
        <v>87.3</v>
      </c>
      <c r="H541" s="113">
        <v>0.5511</v>
      </c>
      <c r="I541" s="34">
        <v>0.4839</v>
      </c>
      <c r="J541" s="34">
        <v>0.0</v>
      </c>
      <c r="K541" s="34">
        <v>245.0</v>
      </c>
      <c r="L541" s="113">
        <v>-0.6053000000000001</v>
      </c>
    </row>
    <row r="542" ht="22.5" customHeight="1">
      <c r="A542" s="111" t="s">
        <v>28</v>
      </c>
      <c r="B542" s="112">
        <v>46920.0</v>
      </c>
      <c r="C542" s="111">
        <v>690.0</v>
      </c>
      <c r="D542" s="111" t="s">
        <v>116</v>
      </c>
      <c r="E542" s="34">
        <v>84.9</v>
      </c>
      <c r="F542" s="34">
        <v>85.3</v>
      </c>
      <c r="G542" s="34">
        <v>85.7</v>
      </c>
      <c r="H542" s="113">
        <v>0.5515</v>
      </c>
      <c r="I542" s="34">
        <v>0.4774</v>
      </c>
      <c r="J542" s="34">
        <v>0.0</v>
      </c>
      <c r="K542" s="34">
        <v>370.0</v>
      </c>
      <c r="L542" s="113">
        <v>-0.6289</v>
      </c>
    </row>
    <row r="543" ht="22.5" customHeight="1">
      <c r="A543" s="111" t="s">
        <v>28</v>
      </c>
      <c r="B543" s="112">
        <v>46920.0</v>
      </c>
      <c r="C543" s="111">
        <v>700.0</v>
      </c>
      <c r="D543" s="111" t="s">
        <v>116</v>
      </c>
      <c r="E543" s="34">
        <v>83.35</v>
      </c>
      <c r="F543" s="34">
        <v>83.75</v>
      </c>
      <c r="G543" s="34">
        <v>84.15</v>
      </c>
      <c r="H543" s="113">
        <v>0.5519</v>
      </c>
      <c r="I543" s="34">
        <v>0.4709</v>
      </c>
      <c r="J543" s="34">
        <v>1.0</v>
      </c>
      <c r="K543" s="34">
        <v>1080.0</v>
      </c>
      <c r="L543" s="113">
        <v>-0.6525</v>
      </c>
    </row>
    <row r="544" ht="22.5" customHeight="1">
      <c r="A544" s="111" t="s">
        <v>28</v>
      </c>
      <c r="B544" s="112">
        <v>46920.0</v>
      </c>
      <c r="C544" s="111">
        <v>710.0</v>
      </c>
      <c r="D544" s="111" t="s">
        <v>116</v>
      </c>
      <c r="E544" s="34">
        <v>81.8</v>
      </c>
      <c r="F544" s="34">
        <v>82.23</v>
      </c>
      <c r="G544" s="34">
        <v>82.65</v>
      </c>
      <c r="H544" s="113">
        <v>0.5523</v>
      </c>
      <c r="I544" s="34">
        <v>0.4645</v>
      </c>
      <c r="J544" s="34">
        <v>0.0</v>
      </c>
      <c r="K544" s="34">
        <v>99.0</v>
      </c>
      <c r="L544" s="113">
        <v>-0.6761</v>
      </c>
    </row>
    <row r="545" ht="22.5" customHeight="1">
      <c r="A545" s="111" t="s">
        <v>28</v>
      </c>
      <c r="B545" s="112">
        <v>46920.0</v>
      </c>
      <c r="C545" s="111">
        <v>720.0</v>
      </c>
      <c r="D545" s="111" t="s">
        <v>116</v>
      </c>
      <c r="E545" s="34">
        <v>80.4</v>
      </c>
      <c r="F545" s="34">
        <v>80.78</v>
      </c>
      <c r="G545" s="34">
        <v>81.15</v>
      </c>
      <c r="H545" s="113">
        <v>0.5527000000000001</v>
      </c>
      <c r="I545" s="34">
        <v>0.4583</v>
      </c>
      <c r="J545" s="34">
        <v>0.0</v>
      </c>
      <c r="K545" s="34">
        <v>119.0</v>
      </c>
      <c r="L545" s="113">
        <v>-0.6997</v>
      </c>
    </row>
    <row r="546" ht="22.5" customHeight="1">
      <c r="A546" s="111" t="s">
        <v>28</v>
      </c>
      <c r="B546" s="112">
        <v>46920.0</v>
      </c>
      <c r="C546" s="111">
        <v>730.0</v>
      </c>
      <c r="D546" s="111" t="s">
        <v>116</v>
      </c>
      <c r="E546" s="34">
        <v>78.95</v>
      </c>
      <c r="F546" s="34">
        <v>79.33</v>
      </c>
      <c r="G546" s="34">
        <v>79.7</v>
      </c>
      <c r="H546" s="113">
        <v>0.5531</v>
      </c>
      <c r="I546" s="34">
        <v>0.4521</v>
      </c>
      <c r="J546" s="34">
        <v>0.0</v>
      </c>
      <c r="K546" s="34">
        <v>713.0</v>
      </c>
      <c r="L546" s="113">
        <v>-0.7232999999999999</v>
      </c>
    </row>
    <row r="547" ht="22.5" customHeight="1">
      <c r="A547" s="111" t="s">
        <v>28</v>
      </c>
      <c r="B547" s="112">
        <v>46920.0</v>
      </c>
      <c r="C547" s="111">
        <v>740.0</v>
      </c>
      <c r="D547" s="111" t="s">
        <v>116</v>
      </c>
      <c r="E547" s="34">
        <v>77.55</v>
      </c>
      <c r="F547" s="34">
        <v>77.93</v>
      </c>
      <c r="G547" s="34">
        <v>78.3</v>
      </c>
      <c r="H547" s="113">
        <v>0.5534</v>
      </c>
      <c r="I547" s="34">
        <v>0.4461</v>
      </c>
      <c r="J547" s="34">
        <v>0.0</v>
      </c>
      <c r="K547" s="34">
        <v>80.0</v>
      </c>
      <c r="L547" s="113">
        <v>-0.7469</v>
      </c>
    </row>
    <row r="548" ht="22.5" customHeight="1">
      <c r="A548" s="111" t="s">
        <v>28</v>
      </c>
      <c r="B548" s="112">
        <v>46920.0</v>
      </c>
      <c r="C548" s="111">
        <v>750.0</v>
      </c>
      <c r="D548" s="111" t="s">
        <v>116</v>
      </c>
      <c r="E548" s="34">
        <v>76.2</v>
      </c>
      <c r="F548" s="34">
        <v>76.58</v>
      </c>
      <c r="G548" s="34">
        <v>76.95</v>
      </c>
      <c r="H548" s="113">
        <v>0.5539000000000001</v>
      </c>
      <c r="I548" s="34">
        <v>0.4402</v>
      </c>
      <c r="J548" s="34">
        <v>0.0</v>
      </c>
      <c r="K548" s="34">
        <v>257.0</v>
      </c>
      <c r="L548" s="113">
        <v>-0.7705</v>
      </c>
    </row>
    <row r="549" ht="22.5" customHeight="1">
      <c r="A549" s="111" t="s">
        <v>28</v>
      </c>
      <c r="B549" s="112">
        <v>46920.0</v>
      </c>
      <c r="C549" s="111">
        <v>760.0</v>
      </c>
      <c r="D549" s="111" t="s">
        <v>116</v>
      </c>
      <c r="E549" s="34">
        <v>74.85</v>
      </c>
      <c r="F549" s="34">
        <v>75.18</v>
      </c>
      <c r="G549" s="34">
        <v>75.5</v>
      </c>
      <c r="H549" s="113">
        <v>0.5539999999999999</v>
      </c>
      <c r="I549" s="34">
        <v>0.4341</v>
      </c>
      <c r="J549" s="34">
        <v>33.0</v>
      </c>
      <c r="K549" s="34">
        <v>2547.0</v>
      </c>
      <c r="L549" s="113">
        <v>-0.7940999999999999</v>
      </c>
    </row>
    <row r="550" ht="22.5" customHeight="1">
      <c r="A550" s="111" t="s">
        <v>28</v>
      </c>
      <c r="B550" s="112">
        <v>46920.0</v>
      </c>
      <c r="C550" s="111">
        <v>770.0</v>
      </c>
      <c r="D550" s="111" t="s">
        <v>116</v>
      </c>
      <c r="E550" s="34">
        <v>73.55</v>
      </c>
      <c r="F550" s="34">
        <v>73.93</v>
      </c>
      <c r="G550" s="34">
        <v>74.3</v>
      </c>
      <c r="H550" s="113">
        <v>0.5545</v>
      </c>
      <c r="I550" s="34">
        <v>0.4286</v>
      </c>
      <c r="J550" s="34">
        <v>0.0</v>
      </c>
      <c r="K550" s="34">
        <v>2018.0</v>
      </c>
      <c r="L550" s="113">
        <v>-0.8177</v>
      </c>
    </row>
    <row r="551" ht="22.5" customHeight="1">
      <c r="A551" s="111" t="s">
        <v>28</v>
      </c>
      <c r="B551" s="112">
        <v>46920.0</v>
      </c>
      <c r="C551" s="111">
        <v>780.0</v>
      </c>
      <c r="D551" s="111" t="s">
        <v>116</v>
      </c>
      <c r="E551" s="34">
        <v>72.3</v>
      </c>
      <c r="F551" s="34">
        <v>72.7</v>
      </c>
      <c r="G551" s="34">
        <v>73.1</v>
      </c>
      <c r="H551" s="113">
        <v>0.5550999999999999</v>
      </c>
      <c r="I551" s="34">
        <v>0.423</v>
      </c>
      <c r="J551" s="34">
        <v>0.0</v>
      </c>
      <c r="K551" s="34">
        <v>304.0</v>
      </c>
      <c r="L551" s="113">
        <v>-0.8412999999999999</v>
      </c>
    </row>
    <row r="552" ht="22.5" customHeight="1">
      <c r="A552" s="111" t="s">
        <v>28</v>
      </c>
      <c r="B552" s="112">
        <v>46920.0</v>
      </c>
      <c r="C552" s="111">
        <v>790.0</v>
      </c>
      <c r="D552" s="111" t="s">
        <v>116</v>
      </c>
      <c r="E552" s="34">
        <v>71.1</v>
      </c>
      <c r="F552" s="34">
        <v>71.48</v>
      </c>
      <c r="G552" s="34">
        <v>71.85</v>
      </c>
      <c r="H552" s="113">
        <v>0.5555</v>
      </c>
      <c r="I552" s="34">
        <v>0.4175</v>
      </c>
      <c r="J552" s="34">
        <v>1.0</v>
      </c>
      <c r="K552" s="34">
        <v>40.0</v>
      </c>
      <c r="L552" s="113">
        <v>-0.8649</v>
      </c>
    </row>
    <row r="553" ht="22.5" customHeight="1">
      <c r="A553" s="111" t="s">
        <v>28</v>
      </c>
      <c r="B553" s="112">
        <v>46920.0</v>
      </c>
      <c r="C553" s="111">
        <v>800.0</v>
      </c>
      <c r="D553" s="111" t="s">
        <v>116</v>
      </c>
      <c r="E553" s="34">
        <v>69.95</v>
      </c>
      <c r="F553" s="34">
        <v>70.25</v>
      </c>
      <c r="G553" s="34">
        <v>70.55</v>
      </c>
      <c r="H553" s="113">
        <v>0.5558</v>
      </c>
      <c r="I553" s="34">
        <v>0.4121</v>
      </c>
      <c r="J553" s="34">
        <v>20.0</v>
      </c>
      <c r="K553" s="34">
        <v>1243.0</v>
      </c>
      <c r="L553" s="113">
        <v>-0.8885</v>
      </c>
    </row>
    <row r="554" ht="22.5" customHeight="1">
      <c r="A554" s="111" t="s">
        <v>28</v>
      </c>
      <c r="B554" s="112">
        <v>46920.0</v>
      </c>
      <c r="C554" s="111">
        <v>810.0</v>
      </c>
      <c r="D554" s="111" t="s">
        <v>116</v>
      </c>
      <c r="E554" s="34">
        <v>68.75</v>
      </c>
      <c r="F554" s="34">
        <v>69.13</v>
      </c>
      <c r="G554" s="34">
        <v>69.5</v>
      </c>
      <c r="H554" s="113">
        <v>0.5564</v>
      </c>
      <c r="I554" s="34">
        <v>0.4069</v>
      </c>
      <c r="J554" s="34">
        <v>10.0</v>
      </c>
      <c r="K554" s="34">
        <v>78.0</v>
      </c>
      <c r="L554" s="113">
        <v>-0.9120999999999999</v>
      </c>
    </row>
    <row r="555" ht="22.5" customHeight="1">
      <c r="A555" s="111" t="s">
        <v>28</v>
      </c>
      <c r="B555" s="112">
        <v>46920.0</v>
      </c>
      <c r="C555" s="111">
        <v>820.0</v>
      </c>
      <c r="D555" s="111" t="s">
        <v>116</v>
      </c>
      <c r="E555" s="34">
        <v>67.6</v>
      </c>
      <c r="F555" s="34">
        <v>67.93</v>
      </c>
      <c r="G555" s="34">
        <v>68.25</v>
      </c>
      <c r="H555" s="113">
        <v>0.5566</v>
      </c>
      <c r="I555" s="34">
        <v>0.4015</v>
      </c>
      <c r="J555" s="34">
        <v>33.0</v>
      </c>
      <c r="K555" s="34">
        <v>2740.0</v>
      </c>
      <c r="L555" s="113">
        <v>-0.9357</v>
      </c>
    </row>
    <row r="556" ht="22.5" customHeight="1">
      <c r="A556" s="111" t="s">
        <v>28</v>
      </c>
      <c r="B556" s="112">
        <v>46920.0</v>
      </c>
      <c r="C556" s="111">
        <v>830.0</v>
      </c>
      <c r="D556" s="111" t="s">
        <v>116</v>
      </c>
      <c r="E556" s="34">
        <v>66.5</v>
      </c>
      <c r="F556" s="34">
        <v>66.85</v>
      </c>
      <c r="G556" s="34">
        <v>67.2</v>
      </c>
      <c r="H556" s="113">
        <v>0.5571</v>
      </c>
      <c r="I556" s="34">
        <v>0.3964</v>
      </c>
      <c r="J556" s="34">
        <v>33.0</v>
      </c>
      <c r="K556" s="34">
        <v>3175.0</v>
      </c>
      <c r="L556" s="113">
        <v>-0.9593</v>
      </c>
    </row>
    <row r="557" ht="22.5" customHeight="1">
      <c r="A557" s="111" t="s">
        <v>28</v>
      </c>
      <c r="B557" s="112">
        <v>46920.0</v>
      </c>
      <c r="C557" s="111">
        <v>840.0</v>
      </c>
      <c r="D557" s="111" t="s">
        <v>116</v>
      </c>
      <c r="E557" s="34">
        <v>65.45</v>
      </c>
      <c r="F557" s="34">
        <v>65.83</v>
      </c>
      <c r="G557" s="34">
        <v>66.2</v>
      </c>
      <c r="H557" s="113">
        <v>0.5578</v>
      </c>
      <c r="I557" s="34">
        <v>0.3916</v>
      </c>
      <c r="J557" s="34">
        <v>0.0</v>
      </c>
      <c r="K557" s="34">
        <v>77.0</v>
      </c>
      <c r="L557" s="113">
        <v>-0.983</v>
      </c>
    </row>
    <row r="558" ht="22.5" customHeight="1">
      <c r="A558" s="111" t="s">
        <v>28</v>
      </c>
      <c r="B558" s="112">
        <v>46920.0</v>
      </c>
      <c r="C558" s="111">
        <v>850.0</v>
      </c>
      <c r="D558" s="111" t="s">
        <v>116</v>
      </c>
      <c r="E558" s="34">
        <v>64.4</v>
      </c>
      <c r="F558" s="34">
        <v>64.73</v>
      </c>
      <c r="G558" s="34">
        <v>65.05</v>
      </c>
      <c r="H558" s="113">
        <v>0.5582</v>
      </c>
      <c r="I558" s="34">
        <v>0.3867</v>
      </c>
      <c r="J558" s="34">
        <v>33.0</v>
      </c>
      <c r="K558" s="34">
        <v>1081.0</v>
      </c>
      <c r="L558" s="113">
        <v>-1.0066</v>
      </c>
    </row>
    <row r="559" ht="22.5" customHeight="1">
      <c r="A559" s="111" t="s">
        <v>28</v>
      </c>
      <c r="B559" s="112">
        <v>46920.0</v>
      </c>
      <c r="C559" s="111">
        <v>860.0</v>
      </c>
      <c r="D559" s="111" t="s">
        <v>116</v>
      </c>
      <c r="E559" s="34">
        <v>63.4</v>
      </c>
      <c r="F559" s="34">
        <v>63.75</v>
      </c>
      <c r="G559" s="34">
        <v>64.1</v>
      </c>
      <c r="H559" s="113">
        <v>0.5587</v>
      </c>
      <c r="I559" s="34">
        <v>0.3819</v>
      </c>
      <c r="J559" s="34">
        <v>0.0</v>
      </c>
      <c r="K559" s="34">
        <v>22.0</v>
      </c>
      <c r="L559" s="113">
        <v>-1.0302</v>
      </c>
    </row>
    <row r="560" ht="22.5" customHeight="1">
      <c r="A560" s="111" t="s">
        <v>28</v>
      </c>
      <c r="B560" s="112">
        <v>46920.0</v>
      </c>
      <c r="C560" s="111">
        <v>870.0</v>
      </c>
      <c r="D560" s="111" t="s">
        <v>116</v>
      </c>
      <c r="E560" s="34">
        <v>62.4</v>
      </c>
      <c r="F560" s="34">
        <v>62.75</v>
      </c>
      <c r="G560" s="34">
        <v>63.1</v>
      </c>
      <c r="H560" s="113">
        <v>0.5590999999999999</v>
      </c>
      <c r="I560" s="34">
        <v>0.3771</v>
      </c>
      <c r="J560" s="34">
        <v>0.0</v>
      </c>
      <c r="K560" s="34">
        <v>106.0</v>
      </c>
      <c r="L560" s="113">
        <v>-1.0537999999999998</v>
      </c>
    </row>
    <row r="561" ht="22.5" customHeight="1">
      <c r="A561" s="111" t="s">
        <v>28</v>
      </c>
      <c r="B561" s="112">
        <v>46920.0</v>
      </c>
      <c r="C561" s="111">
        <v>880.0</v>
      </c>
      <c r="D561" s="111" t="s">
        <v>116</v>
      </c>
      <c r="E561" s="34">
        <v>61.4</v>
      </c>
      <c r="F561" s="34">
        <v>61.78</v>
      </c>
      <c r="G561" s="34">
        <v>62.15</v>
      </c>
      <c r="H561" s="113">
        <v>0.5596</v>
      </c>
      <c r="I561" s="34">
        <v>0.3725</v>
      </c>
      <c r="J561" s="34">
        <v>0.0</v>
      </c>
      <c r="K561" s="34">
        <v>153.0</v>
      </c>
      <c r="L561" s="113">
        <v>-1.0774</v>
      </c>
    </row>
    <row r="562" ht="22.5" customHeight="1">
      <c r="A562" s="111" t="s">
        <v>28</v>
      </c>
      <c r="B562" s="112">
        <v>46920.0</v>
      </c>
      <c r="C562" s="111">
        <v>890.0</v>
      </c>
      <c r="D562" s="111" t="s">
        <v>116</v>
      </c>
      <c r="E562" s="34">
        <v>60.45</v>
      </c>
      <c r="F562" s="34">
        <v>60.83</v>
      </c>
      <c r="G562" s="34">
        <v>61.2</v>
      </c>
      <c r="H562" s="113">
        <v>0.5600999999999999</v>
      </c>
      <c r="I562" s="34">
        <v>0.3679</v>
      </c>
      <c r="J562" s="34">
        <v>0.0</v>
      </c>
      <c r="K562" s="34">
        <v>82.0</v>
      </c>
      <c r="L562" s="113">
        <v>-1.101</v>
      </c>
    </row>
    <row r="563" ht="22.5" customHeight="1">
      <c r="A563" s="111" t="s">
        <v>28</v>
      </c>
      <c r="B563" s="112">
        <v>46920.0</v>
      </c>
      <c r="C563" s="111">
        <v>900.0</v>
      </c>
      <c r="D563" s="111" t="s">
        <v>116</v>
      </c>
      <c r="E563" s="34">
        <v>59.55</v>
      </c>
      <c r="F563" s="34">
        <v>59.9</v>
      </c>
      <c r="G563" s="34">
        <v>60.25</v>
      </c>
      <c r="H563" s="113">
        <v>0.5607</v>
      </c>
      <c r="I563" s="34">
        <v>0.3635</v>
      </c>
      <c r="J563" s="34">
        <v>33.0</v>
      </c>
      <c r="K563" s="34">
        <v>953.0</v>
      </c>
      <c r="L563" s="113">
        <v>-1.1246</v>
      </c>
    </row>
    <row r="564" ht="22.5" customHeight="1">
      <c r="A564" s="111" t="s">
        <v>28</v>
      </c>
      <c r="B564" s="112">
        <v>46920.0</v>
      </c>
      <c r="C564" s="111">
        <v>910.0</v>
      </c>
      <c r="D564" s="111" t="s">
        <v>116</v>
      </c>
      <c r="E564" s="34">
        <v>58.65</v>
      </c>
      <c r="F564" s="34">
        <v>59.0</v>
      </c>
      <c r="G564" s="34">
        <v>59.35</v>
      </c>
      <c r="H564" s="113">
        <v>0.561</v>
      </c>
      <c r="I564" s="34">
        <v>0.359</v>
      </c>
      <c r="J564" s="34">
        <v>0.0</v>
      </c>
      <c r="K564" s="34">
        <v>74.0</v>
      </c>
      <c r="L564" s="113">
        <v>-1.1481999999999999</v>
      </c>
    </row>
    <row r="565" ht="22.5" customHeight="1">
      <c r="A565" s="111" t="s">
        <v>28</v>
      </c>
      <c r="B565" s="112">
        <v>46920.0</v>
      </c>
      <c r="C565" s="111">
        <v>920.0</v>
      </c>
      <c r="D565" s="111" t="s">
        <v>116</v>
      </c>
      <c r="E565" s="34">
        <v>57.75</v>
      </c>
      <c r="F565" s="34">
        <v>58.1</v>
      </c>
      <c r="G565" s="34">
        <v>58.45</v>
      </c>
      <c r="H565" s="113">
        <v>0.5614</v>
      </c>
      <c r="I565" s="34">
        <v>0.3547</v>
      </c>
      <c r="J565" s="34">
        <v>0.0</v>
      </c>
      <c r="K565" s="34">
        <v>28.0</v>
      </c>
      <c r="L565" s="113">
        <v>-1.1718000000000002</v>
      </c>
    </row>
    <row r="566" ht="22.5" customHeight="1">
      <c r="A566" s="111" t="s">
        <v>28</v>
      </c>
      <c r="B566" s="112">
        <v>46920.0</v>
      </c>
      <c r="C566" s="111">
        <v>930.0</v>
      </c>
      <c r="D566" s="111" t="s">
        <v>116</v>
      </c>
      <c r="E566" s="34">
        <v>56.9</v>
      </c>
      <c r="F566" s="34">
        <v>57.25</v>
      </c>
      <c r="G566" s="34">
        <v>57.6</v>
      </c>
      <c r="H566" s="113">
        <v>0.562</v>
      </c>
      <c r="I566" s="34">
        <v>0.3505</v>
      </c>
      <c r="J566" s="34">
        <v>0.0</v>
      </c>
      <c r="K566" s="34">
        <v>13.0</v>
      </c>
      <c r="L566" s="113">
        <v>-1.1954</v>
      </c>
    </row>
    <row r="567" ht="22.5" customHeight="1">
      <c r="A567" s="111" t="s">
        <v>28</v>
      </c>
      <c r="B567" s="112">
        <v>46920.0</v>
      </c>
      <c r="C567" s="111">
        <v>940.0</v>
      </c>
      <c r="D567" s="111" t="s">
        <v>116</v>
      </c>
      <c r="E567" s="34">
        <v>56.05</v>
      </c>
      <c r="F567" s="34">
        <v>56.38</v>
      </c>
      <c r="G567" s="34">
        <v>56.7</v>
      </c>
      <c r="H567" s="113">
        <v>0.5623</v>
      </c>
      <c r="I567" s="34">
        <v>0.3462</v>
      </c>
      <c r="J567" s="34">
        <v>102.0</v>
      </c>
      <c r="K567" s="34">
        <v>269.0</v>
      </c>
      <c r="L567" s="113">
        <v>-1.219</v>
      </c>
    </row>
    <row r="568" ht="22.5" customHeight="1">
      <c r="A568" s="111" t="s">
        <v>28</v>
      </c>
      <c r="B568" s="112">
        <v>46920.0</v>
      </c>
      <c r="C568" s="111">
        <v>950.0</v>
      </c>
      <c r="D568" s="111" t="s">
        <v>116</v>
      </c>
      <c r="E568" s="34">
        <v>55.2</v>
      </c>
      <c r="F568" s="34">
        <v>55.55</v>
      </c>
      <c r="G568" s="34">
        <v>55.9</v>
      </c>
      <c r="H568" s="113">
        <v>0.5628</v>
      </c>
      <c r="I568" s="34">
        <v>0.3421</v>
      </c>
      <c r="J568" s="34">
        <v>45.0</v>
      </c>
      <c r="K568" s="34">
        <v>457.0</v>
      </c>
      <c r="L568" s="113">
        <v>-1.2426000000000001</v>
      </c>
    </row>
    <row r="569" ht="22.5" customHeight="1">
      <c r="A569" s="111" t="s">
        <v>28</v>
      </c>
      <c r="B569" s="112">
        <v>46920.0</v>
      </c>
      <c r="C569" s="111">
        <v>960.0</v>
      </c>
      <c r="D569" s="111" t="s">
        <v>116</v>
      </c>
      <c r="E569" s="34">
        <v>54.45</v>
      </c>
      <c r="F569" s="34">
        <v>54.78</v>
      </c>
      <c r="G569" s="34">
        <v>55.1</v>
      </c>
      <c r="H569" s="113">
        <v>0.5634</v>
      </c>
      <c r="I569" s="34">
        <v>0.3382</v>
      </c>
      <c r="J569" s="34">
        <v>1.0</v>
      </c>
      <c r="K569" s="34">
        <v>266.0</v>
      </c>
      <c r="L569" s="113">
        <v>-1.2662</v>
      </c>
    </row>
    <row r="570" ht="22.5" customHeight="1">
      <c r="A570" s="111" t="s">
        <v>28</v>
      </c>
      <c r="B570" s="112">
        <v>46920.0</v>
      </c>
      <c r="C570" s="111">
        <v>970.0</v>
      </c>
      <c r="D570" s="111" t="s">
        <v>116</v>
      </c>
      <c r="E570" s="34">
        <v>53.65</v>
      </c>
      <c r="F570" s="34">
        <v>54.0</v>
      </c>
      <c r="G570" s="34">
        <v>54.35</v>
      </c>
      <c r="H570" s="113">
        <v>0.5639</v>
      </c>
      <c r="I570" s="34">
        <v>0.3343</v>
      </c>
      <c r="J570" s="34">
        <v>0.0</v>
      </c>
      <c r="K570" s="34">
        <v>125.0</v>
      </c>
      <c r="L570" s="113">
        <v>-1.2897999999999998</v>
      </c>
    </row>
    <row r="571" ht="22.5" customHeight="1">
      <c r="A571" s="111" t="s">
        <v>28</v>
      </c>
      <c r="B571" s="112">
        <v>46920.0</v>
      </c>
      <c r="C571" s="111">
        <v>980.0</v>
      </c>
      <c r="D571" s="111" t="s">
        <v>116</v>
      </c>
      <c r="E571" s="34">
        <v>52.9</v>
      </c>
      <c r="F571" s="34">
        <v>53.22</v>
      </c>
      <c r="G571" s="34">
        <v>53.55</v>
      </c>
      <c r="H571" s="113">
        <v>0.5644</v>
      </c>
      <c r="I571" s="34">
        <v>0.3304</v>
      </c>
      <c r="J571" s="34">
        <v>0.0</v>
      </c>
      <c r="K571" s="34">
        <v>487.0</v>
      </c>
      <c r="L571" s="113">
        <v>-1.3134000000000001</v>
      </c>
    </row>
    <row r="572" ht="22.5" customHeight="1">
      <c r="A572" s="111" t="s">
        <v>28</v>
      </c>
      <c r="B572" s="112">
        <v>46920.0</v>
      </c>
      <c r="C572" s="111">
        <v>990.0</v>
      </c>
      <c r="D572" s="111" t="s">
        <v>116</v>
      </c>
      <c r="E572" s="34">
        <v>52.1</v>
      </c>
      <c r="F572" s="34">
        <v>52.45</v>
      </c>
      <c r="G572" s="34">
        <v>52.8</v>
      </c>
      <c r="H572" s="113">
        <v>0.5646</v>
      </c>
      <c r="I572" s="34">
        <v>0.3263</v>
      </c>
      <c r="J572" s="34">
        <v>813.0</v>
      </c>
      <c r="K572" s="34">
        <v>2857.0</v>
      </c>
      <c r="L572" s="113">
        <v>-1.3371000000000002</v>
      </c>
    </row>
    <row r="573" ht="22.5" customHeight="1">
      <c r="A573" s="111" t="s">
        <v>28</v>
      </c>
      <c r="B573" s="112">
        <v>46920.0</v>
      </c>
      <c r="C573" s="111">
        <v>5.0</v>
      </c>
      <c r="D573" s="111" t="s">
        <v>117</v>
      </c>
      <c r="E573" s="34">
        <v>0.03</v>
      </c>
      <c r="F573" s="34">
        <v>0.04</v>
      </c>
      <c r="G573" s="34">
        <v>0.05</v>
      </c>
      <c r="H573" s="113">
        <v>1.0654000000000001</v>
      </c>
      <c r="I573" s="34">
        <v>-2.0E-4</v>
      </c>
      <c r="J573" s="34">
        <v>4.0</v>
      </c>
      <c r="K573" s="34">
        <v>1353.0</v>
      </c>
      <c r="L573" s="113">
        <v>-0.9882</v>
      </c>
    </row>
    <row r="574" ht="22.5" customHeight="1">
      <c r="A574" s="111" t="s">
        <v>28</v>
      </c>
      <c r="B574" s="112">
        <v>46920.0</v>
      </c>
      <c r="C574" s="111">
        <v>10.0</v>
      </c>
      <c r="D574" s="111" t="s">
        <v>117</v>
      </c>
      <c r="E574" s="34">
        <v>0.05</v>
      </c>
      <c r="F574" s="34">
        <v>0.21</v>
      </c>
      <c r="G574" s="34">
        <v>0.37</v>
      </c>
      <c r="H574" s="113">
        <v>1.032</v>
      </c>
      <c r="I574" s="34">
        <v>-7.0E-4</v>
      </c>
      <c r="J574" s="34">
        <v>0.0</v>
      </c>
      <c r="K574" s="34">
        <v>322.0</v>
      </c>
      <c r="L574" s="113">
        <v>-0.9764</v>
      </c>
    </row>
    <row r="575" ht="22.5" customHeight="1">
      <c r="A575" s="111" t="s">
        <v>28</v>
      </c>
      <c r="B575" s="112">
        <v>46920.0</v>
      </c>
      <c r="C575" s="111">
        <v>15.0</v>
      </c>
      <c r="D575" s="111" t="s">
        <v>117</v>
      </c>
      <c r="E575" s="34">
        <v>0.0</v>
      </c>
      <c r="F575" s="34">
        <v>0.25</v>
      </c>
      <c r="G575" s="34">
        <v>0.49</v>
      </c>
      <c r="H575" s="113">
        <v>1.0162</v>
      </c>
      <c r="I575" s="34">
        <v>-0.0015</v>
      </c>
      <c r="J575" s="34">
        <v>0.0</v>
      </c>
      <c r="K575" s="34">
        <v>18.0</v>
      </c>
      <c r="L575" s="113">
        <v>-0.9645999999999999</v>
      </c>
    </row>
    <row r="576" ht="22.5" customHeight="1">
      <c r="A576" s="111" t="s">
        <v>28</v>
      </c>
      <c r="B576" s="112">
        <v>46920.0</v>
      </c>
      <c r="C576" s="111">
        <v>20.0</v>
      </c>
      <c r="D576" s="111" t="s">
        <v>117</v>
      </c>
      <c r="E576" s="34">
        <v>0.1</v>
      </c>
      <c r="F576" s="34">
        <v>0.37</v>
      </c>
      <c r="G576" s="34">
        <v>0.64</v>
      </c>
      <c r="H576" s="113">
        <v>0.8825</v>
      </c>
      <c r="I576" s="34">
        <v>-0.0015</v>
      </c>
      <c r="J576" s="34">
        <v>0.0</v>
      </c>
      <c r="K576" s="34">
        <v>52.0</v>
      </c>
      <c r="L576" s="113">
        <v>-0.9528</v>
      </c>
    </row>
    <row r="577" ht="22.5" customHeight="1">
      <c r="A577" s="111" t="s">
        <v>28</v>
      </c>
      <c r="B577" s="112">
        <v>46920.0</v>
      </c>
      <c r="C577" s="111">
        <v>25.0</v>
      </c>
      <c r="D577" s="111" t="s">
        <v>117</v>
      </c>
      <c r="E577" s="34">
        <v>0.2</v>
      </c>
      <c r="F577" s="34">
        <v>0.45</v>
      </c>
      <c r="G577" s="34">
        <v>0.7</v>
      </c>
      <c r="H577" s="113">
        <v>0.8344</v>
      </c>
      <c r="I577" s="34">
        <v>-0.0019</v>
      </c>
      <c r="J577" s="34">
        <v>0.0</v>
      </c>
      <c r="K577" s="34">
        <v>92.0</v>
      </c>
      <c r="L577" s="113">
        <v>-0.941</v>
      </c>
    </row>
    <row r="578" ht="22.5" customHeight="1">
      <c r="A578" s="111" t="s">
        <v>28</v>
      </c>
      <c r="B578" s="112">
        <v>46920.0</v>
      </c>
      <c r="C578" s="111">
        <v>30.0</v>
      </c>
      <c r="D578" s="111" t="s">
        <v>117</v>
      </c>
      <c r="E578" s="34">
        <v>0.31</v>
      </c>
      <c r="F578" s="34">
        <v>0.51</v>
      </c>
      <c r="G578" s="34">
        <v>0.7</v>
      </c>
      <c r="H578" s="113">
        <v>0.7895</v>
      </c>
      <c r="I578" s="34">
        <v>-0.0023</v>
      </c>
      <c r="J578" s="34">
        <v>0.0</v>
      </c>
      <c r="K578" s="34">
        <v>327.0</v>
      </c>
      <c r="L578" s="113">
        <v>-0.9292</v>
      </c>
    </row>
    <row r="579" ht="22.5" customHeight="1">
      <c r="A579" s="111" t="s">
        <v>28</v>
      </c>
      <c r="B579" s="112">
        <v>46920.0</v>
      </c>
      <c r="C579" s="111">
        <v>35.0</v>
      </c>
      <c r="D579" s="111" t="s">
        <v>117</v>
      </c>
      <c r="E579" s="34">
        <v>0.57</v>
      </c>
      <c r="F579" s="34">
        <v>0.67</v>
      </c>
      <c r="G579" s="34">
        <v>0.77</v>
      </c>
      <c r="H579" s="113">
        <v>0.7716</v>
      </c>
      <c r="I579" s="34">
        <v>-0.003</v>
      </c>
      <c r="J579" s="34">
        <v>0.0</v>
      </c>
      <c r="K579" s="34">
        <v>174.0</v>
      </c>
      <c r="L579" s="113">
        <v>-0.9174</v>
      </c>
    </row>
    <row r="580" ht="22.5" customHeight="1">
      <c r="A580" s="111" t="s">
        <v>28</v>
      </c>
      <c r="B580" s="112">
        <v>46920.0</v>
      </c>
      <c r="C580" s="111">
        <v>40.0</v>
      </c>
      <c r="D580" s="111" t="s">
        <v>117</v>
      </c>
      <c r="E580" s="34">
        <v>0.8</v>
      </c>
      <c r="F580" s="34">
        <v>1.0</v>
      </c>
      <c r="G580" s="34">
        <v>1.2</v>
      </c>
      <c r="H580" s="113">
        <v>0.7976000000000001</v>
      </c>
      <c r="I580" s="34">
        <v>-0.0048</v>
      </c>
      <c r="J580" s="34">
        <v>1.0</v>
      </c>
      <c r="K580" s="34">
        <v>75.0</v>
      </c>
      <c r="L580" s="113">
        <v>-0.9056000000000001</v>
      </c>
    </row>
    <row r="581" ht="22.5" customHeight="1">
      <c r="A581" s="111" t="s">
        <v>28</v>
      </c>
      <c r="B581" s="112">
        <v>46920.0</v>
      </c>
      <c r="C581" s="111">
        <v>45.0</v>
      </c>
      <c r="D581" s="111" t="s">
        <v>117</v>
      </c>
      <c r="E581" s="34">
        <v>1.04</v>
      </c>
      <c r="F581" s="34">
        <v>1.27</v>
      </c>
      <c r="G581" s="34">
        <v>1.5</v>
      </c>
      <c r="H581" s="113">
        <v>0.7631999999999999</v>
      </c>
      <c r="I581" s="34">
        <v>-0.0054</v>
      </c>
      <c r="J581" s="34">
        <v>0.0</v>
      </c>
      <c r="K581" s="34">
        <v>27.0</v>
      </c>
      <c r="L581" s="113">
        <v>-0.8937999999999999</v>
      </c>
    </row>
    <row r="582" ht="22.5" customHeight="1">
      <c r="A582" s="111" t="s">
        <v>28</v>
      </c>
      <c r="B582" s="112">
        <v>46920.0</v>
      </c>
      <c r="C582" s="111">
        <v>50.0</v>
      </c>
      <c r="D582" s="111" t="s">
        <v>117</v>
      </c>
      <c r="E582" s="34">
        <v>1.3</v>
      </c>
      <c r="F582" s="34">
        <v>1.57</v>
      </c>
      <c r="G582" s="34">
        <v>1.83</v>
      </c>
      <c r="H582" s="113">
        <v>0.7525</v>
      </c>
      <c r="I582" s="34">
        <v>-0.0066</v>
      </c>
      <c r="J582" s="34">
        <v>0.0</v>
      </c>
      <c r="K582" s="34">
        <v>234.0</v>
      </c>
      <c r="L582" s="113">
        <v>-0.882</v>
      </c>
    </row>
    <row r="583" ht="22.5" customHeight="1">
      <c r="A583" s="111" t="s">
        <v>28</v>
      </c>
      <c r="B583" s="112">
        <v>46920.0</v>
      </c>
      <c r="C583" s="111">
        <v>55.0</v>
      </c>
      <c r="D583" s="111" t="s">
        <v>117</v>
      </c>
      <c r="E583" s="34">
        <v>1.58</v>
      </c>
      <c r="F583" s="34">
        <v>1.85</v>
      </c>
      <c r="G583" s="34">
        <v>2.11</v>
      </c>
      <c r="H583" s="113">
        <v>0.7394</v>
      </c>
      <c r="I583" s="34">
        <v>-0.0077</v>
      </c>
      <c r="J583" s="34">
        <v>0.0</v>
      </c>
      <c r="K583" s="34">
        <v>3.0</v>
      </c>
      <c r="L583" s="113">
        <v>-0.8702</v>
      </c>
    </row>
    <row r="584" ht="22.5" customHeight="1">
      <c r="A584" s="111" t="s">
        <v>28</v>
      </c>
      <c r="B584" s="112">
        <v>46920.0</v>
      </c>
      <c r="C584" s="111">
        <v>60.0</v>
      </c>
      <c r="D584" s="111" t="s">
        <v>117</v>
      </c>
      <c r="E584" s="34">
        <v>1.89</v>
      </c>
      <c r="F584" s="34">
        <v>2.15</v>
      </c>
      <c r="G584" s="34">
        <v>2.41</v>
      </c>
      <c r="H584" s="113">
        <v>0.7276</v>
      </c>
      <c r="I584" s="34">
        <v>-0.009</v>
      </c>
      <c r="J584" s="34">
        <v>0.0</v>
      </c>
      <c r="K584" s="34">
        <v>34.0</v>
      </c>
      <c r="L584" s="113">
        <v>-0.8584</v>
      </c>
    </row>
    <row r="585" ht="22.5" customHeight="1">
      <c r="A585" s="111" t="s">
        <v>28</v>
      </c>
      <c r="B585" s="112">
        <v>46920.0</v>
      </c>
      <c r="C585" s="111">
        <v>65.0</v>
      </c>
      <c r="D585" s="111" t="s">
        <v>117</v>
      </c>
      <c r="E585" s="34">
        <v>2.37</v>
      </c>
      <c r="F585" s="34">
        <v>2.49</v>
      </c>
      <c r="G585" s="34">
        <v>2.6</v>
      </c>
      <c r="H585" s="113">
        <v>0.7171</v>
      </c>
      <c r="I585" s="34">
        <v>-0.0105</v>
      </c>
      <c r="J585" s="34">
        <v>0.0</v>
      </c>
      <c r="K585" s="34">
        <v>112.0</v>
      </c>
      <c r="L585" s="113">
        <v>-0.8466</v>
      </c>
    </row>
    <row r="586" ht="22.5" customHeight="1">
      <c r="A586" s="111" t="s">
        <v>28</v>
      </c>
      <c r="B586" s="112">
        <v>46920.0</v>
      </c>
      <c r="C586" s="111">
        <v>70.0</v>
      </c>
      <c r="D586" s="111" t="s">
        <v>117</v>
      </c>
      <c r="E586" s="34">
        <v>2.72</v>
      </c>
      <c r="F586" s="34">
        <v>2.84</v>
      </c>
      <c r="G586" s="34">
        <v>2.96</v>
      </c>
      <c r="H586" s="113">
        <v>0.7071</v>
      </c>
      <c r="I586" s="34">
        <v>-0.0119</v>
      </c>
      <c r="J586" s="34">
        <v>0.0</v>
      </c>
      <c r="K586" s="34">
        <v>21.0</v>
      </c>
      <c r="L586" s="113">
        <v>-0.8348</v>
      </c>
    </row>
    <row r="587" ht="22.5" customHeight="1">
      <c r="A587" s="111" t="s">
        <v>28</v>
      </c>
      <c r="B587" s="112">
        <v>46920.0</v>
      </c>
      <c r="C587" s="111">
        <v>75.0</v>
      </c>
      <c r="D587" s="111" t="s">
        <v>117</v>
      </c>
      <c r="E587" s="34">
        <v>3.1</v>
      </c>
      <c r="F587" s="34">
        <v>3.23</v>
      </c>
      <c r="G587" s="34">
        <v>3.35</v>
      </c>
      <c r="H587" s="113">
        <v>0.6981</v>
      </c>
      <c r="I587" s="34">
        <v>-0.0136</v>
      </c>
      <c r="J587" s="34">
        <v>0.0</v>
      </c>
      <c r="K587" s="34">
        <v>76.0</v>
      </c>
      <c r="L587" s="113">
        <v>-0.823</v>
      </c>
    </row>
    <row r="588" ht="22.5" customHeight="1">
      <c r="A588" s="111" t="s">
        <v>28</v>
      </c>
      <c r="B588" s="112">
        <v>46920.0</v>
      </c>
      <c r="C588" s="111">
        <v>80.0</v>
      </c>
      <c r="D588" s="111" t="s">
        <v>117</v>
      </c>
      <c r="E588" s="34">
        <v>3.5</v>
      </c>
      <c r="F588" s="34">
        <v>3.63</v>
      </c>
      <c r="G588" s="34">
        <v>3.75</v>
      </c>
      <c r="H588" s="113">
        <v>0.6861</v>
      </c>
      <c r="I588" s="34">
        <v>-0.0151</v>
      </c>
      <c r="J588" s="34">
        <v>6.0</v>
      </c>
      <c r="K588" s="34">
        <v>62.0</v>
      </c>
      <c r="L588" s="113">
        <v>-0.8111</v>
      </c>
    </row>
    <row r="589" ht="22.5" customHeight="1">
      <c r="A589" s="111" t="s">
        <v>28</v>
      </c>
      <c r="B589" s="112">
        <v>46920.0</v>
      </c>
      <c r="C589" s="111">
        <v>85.0</v>
      </c>
      <c r="D589" s="111" t="s">
        <v>117</v>
      </c>
      <c r="E589" s="34">
        <v>3.9</v>
      </c>
      <c r="F589" s="34">
        <v>4.03</v>
      </c>
      <c r="G589" s="34">
        <v>4.15</v>
      </c>
      <c r="H589" s="113">
        <v>0.6799</v>
      </c>
      <c r="I589" s="34">
        <v>-0.017</v>
      </c>
      <c r="J589" s="34">
        <v>0.0</v>
      </c>
      <c r="K589" s="34">
        <v>164.0</v>
      </c>
      <c r="L589" s="113">
        <v>-0.7993000000000001</v>
      </c>
    </row>
    <row r="590" ht="22.5" customHeight="1">
      <c r="A590" s="111" t="s">
        <v>28</v>
      </c>
      <c r="B590" s="112">
        <v>46920.0</v>
      </c>
      <c r="C590" s="111">
        <v>90.0</v>
      </c>
      <c r="D590" s="111" t="s">
        <v>117</v>
      </c>
      <c r="E590" s="34">
        <v>4.35</v>
      </c>
      <c r="F590" s="34">
        <v>4.48</v>
      </c>
      <c r="G590" s="34">
        <v>4.6</v>
      </c>
      <c r="H590" s="113">
        <v>0.6720999999999999</v>
      </c>
      <c r="I590" s="34">
        <v>-0.0189</v>
      </c>
      <c r="J590" s="34">
        <v>10.0</v>
      </c>
      <c r="K590" s="34">
        <v>68.0</v>
      </c>
      <c r="L590" s="113">
        <v>-0.7875</v>
      </c>
    </row>
    <row r="591" ht="22.5" customHeight="1">
      <c r="A591" s="111" t="s">
        <v>28</v>
      </c>
      <c r="B591" s="112">
        <v>46920.0</v>
      </c>
      <c r="C591" s="111">
        <v>95.0</v>
      </c>
      <c r="D591" s="111" t="s">
        <v>117</v>
      </c>
      <c r="E591" s="34">
        <v>4.8</v>
      </c>
      <c r="F591" s="34">
        <v>4.9</v>
      </c>
      <c r="G591" s="34">
        <v>5.0</v>
      </c>
      <c r="H591" s="113">
        <v>0.6631999999999999</v>
      </c>
      <c r="I591" s="34">
        <v>-0.0207</v>
      </c>
      <c r="J591" s="34">
        <v>1.0</v>
      </c>
      <c r="K591" s="34">
        <v>99.0</v>
      </c>
      <c r="L591" s="113">
        <v>-0.7757</v>
      </c>
    </row>
    <row r="592" ht="22.5" customHeight="1">
      <c r="A592" s="111" t="s">
        <v>28</v>
      </c>
      <c r="B592" s="112">
        <v>46920.0</v>
      </c>
      <c r="C592" s="111">
        <v>100.0</v>
      </c>
      <c r="D592" s="111" t="s">
        <v>117</v>
      </c>
      <c r="E592" s="34">
        <v>5.3</v>
      </c>
      <c r="F592" s="34">
        <v>5.45</v>
      </c>
      <c r="G592" s="34">
        <v>5.6</v>
      </c>
      <c r="H592" s="113">
        <v>0.6577</v>
      </c>
      <c r="I592" s="34">
        <v>-0.0229</v>
      </c>
      <c r="J592" s="34">
        <v>0.0</v>
      </c>
      <c r="K592" s="34">
        <v>335.0</v>
      </c>
      <c r="L592" s="113">
        <v>-0.7639</v>
      </c>
    </row>
    <row r="593" ht="22.5" customHeight="1">
      <c r="A593" s="111" t="s">
        <v>28</v>
      </c>
      <c r="B593" s="112">
        <v>46920.0</v>
      </c>
      <c r="C593" s="111">
        <v>110.0</v>
      </c>
      <c r="D593" s="111" t="s">
        <v>117</v>
      </c>
      <c r="E593" s="34">
        <v>6.35</v>
      </c>
      <c r="F593" s="34">
        <v>6.5</v>
      </c>
      <c r="G593" s="34">
        <v>6.65</v>
      </c>
      <c r="H593" s="113">
        <v>0.6439</v>
      </c>
      <c r="I593" s="34">
        <v>-0.0273</v>
      </c>
      <c r="J593" s="34">
        <v>0.0</v>
      </c>
      <c r="K593" s="34">
        <v>50.0</v>
      </c>
      <c r="L593" s="113">
        <v>-0.7403</v>
      </c>
    </row>
    <row r="594" ht="22.5" customHeight="1">
      <c r="A594" s="111" t="s">
        <v>28</v>
      </c>
      <c r="B594" s="112">
        <v>46920.0</v>
      </c>
      <c r="C594" s="111">
        <v>120.0</v>
      </c>
      <c r="D594" s="111" t="s">
        <v>117</v>
      </c>
      <c r="E594" s="34">
        <v>7.55</v>
      </c>
      <c r="F594" s="34">
        <v>7.7</v>
      </c>
      <c r="G594" s="34">
        <v>7.85</v>
      </c>
      <c r="H594" s="113">
        <v>0.6324000000000001</v>
      </c>
      <c r="I594" s="34">
        <v>-0.0322</v>
      </c>
      <c r="J594" s="34">
        <v>0.0</v>
      </c>
      <c r="K594" s="34">
        <v>63.0</v>
      </c>
      <c r="L594" s="113">
        <v>-0.7167</v>
      </c>
    </row>
    <row r="595" ht="22.5" customHeight="1">
      <c r="A595" s="111" t="s">
        <v>28</v>
      </c>
      <c r="B595" s="112">
        <v>46920.0</v>
      </c>
      <c r="C595" s="111">
        <v>130.0</v>
      </c>
      <c r="D595" s="111" t="s">
        <v>117</v>
      </c>
      <c r="E595" s="34">
        <v>8.85</v>
      </c>
      <c r="F595" s="34">
        <v>9.0</v>
      </c>
      <c r="G595" s="34">
        <v>9.15</v>
      </c>
      <c r="H595" s="113">
        <v>0.6217</v>
      </c>
      <c r="I595" s="34">
        <v>-0.0375</v>
      </c>
      <c r="J595" s="34">
        <v>0.0</v>
      </c>
      <c r="K595" s="34">
        <v>90.0</v>
      </c>
      <c r="L595" s="113">
        <v>-0.6931</v>
      </c>
    </row>
    <row r="596" ht="22.5" customHeight="1">
      <c r="A596" s="111" t="s">
        <v>28</v>
      </c>
      <c r="B596" s="112">
        <v>46920.0</v>
      </c>
      <c r="C596" s="111">
        <v>140.0</v>
      </c>
      <c r="D596" s="111" t="s">
        <v>117</v>
      </c>
      <c r="E596" s="34">
        <v>10.3</v>
      </c>
      <c r="F596" s="34">
        <v>10.45</v>
      </c>
      <c r="G596" s="34">
        <v>10.6</v>
      </c>
      <c r="H596" s="113">
        <v>0.6123</v>
      </c>
      <c r="I596" s="34">
        <v>-0.0433</v>
      </c>
      <c r="J596" s="34">
        <v>0.0</v>
      </c>
      <c r="K596" s="34">
        <v>194.0</v>
      </c>
      <c r="L596" s="113">
        <v>-0.6695</v>
      </c>
    </row>
    <row r="597" ht="22.5" customHeight="1">
      <c r="A597" s="111" t="s">
        <v>28</v>
      </c>
      <c r="B597" s="112">
        <v>46920.0</v>
      </c>
      <c r="C597" s="111">
        <v>150.0</v>
      </c>
      <c r="D597" s="111" t="s">
        <v>117</v>
      </c>
      <c r="E597" s="34">
        <v>11.85</v>
      </c>
      <c r="F597" s="34">
        <v>12.02</v>
      </c>
      <c r="G597" s="34">
        <v>12.2</v>
      </c>
      <c r="H597" s="113">
        <v>0.6037</v>
      </c>
      <c r="I597" s="34">
        <v>-0.0494</v>
      </c>
      <c r="J597" s="34">
        <v>2.0</v>
      </c>
      <c r="K597" s="34">
        <v>170.0</v>
      </c>
      <c r="L597" s="113">
        <v>-0.6459</v>
      </c>
    </row>
    <row r="598" ht="22.5" customHeight="1">
      <c r="A598" s="111" t="s">
        <v>28</v>
      </c>
      <c r="B598" s="112">
        <v>46920.0</v>
      </c>
      <c r="C598" s="111">
        <v>160.0</v>
      </c>
      <c r="D598" s="111" t="s">
        <v>117</v>
      </c>
      <c r="E598" s="34">
        <v>13.6</v>
      </c>
      <c r="F598" s="34">
        <v>13.77</v>
      </c>
      <c r="G598" s="34">
        <v>13.95</v>
      </c>
      <c r="H598" s="113">
        <v>0.5964</v>
      </c>
      <c r="I598" s="34">
        <v>-0.0561</v>
      </c>
      <c r="J598" s="34">
        <v>0.0</v>
      </c>
      <c r="K598" s="34">
        <v>200.0</v>
      </c>
      <c r="L598" s="113">
        <v>-0.6223</v>
      </c>
    </row>
    <row r="599" ht="22.5" customHeight="1">
      <c r="A599" s="111" t="s">
        <v>28</v>
      </c>
      <c r="B599" s="112">
        <v>46920.0</v>
      </c>
      <c r="C599" s="111">
        <v>170.0</v>
      </c>
      <c r="D599" s="111" t="s">
        <v>117</v>
      </c>
      <c r="E599" s="34">
        <v>15.45</v>
      </c>
      <c r="F599" s="34">
        <v>15.65</v>
      </c>
      <c r="G599" s="34">
        <v>15.85</v>
      </c>
      <c r="H599" s="113">
        <v>0.5893999999999999</v>
      </c>
      <c r="I599" s="34">
        <v>-0.0632</v>
      </c>
      <c r="J599" s="34">
        <v>0.0</v>
      </c>
      <c r="K599" s="34">
        <v>66.0</v>
      </c>
      <c r="L599" s="113">
        <v>-0.5987</v>
      </c>
    </row>
    <row r="600" ht="22.5" customHeight="1">
      <c r="A600" s="111" t="s">
        <v>28</v>
      </c>
      <c r="B600" s="112">
        <v>46920.0</v>
      </c>
      <c r="C600" s="111">
        <v>180.0</v>
      </c>
      <c r="D600" s="111" t="s">
        <v>117</v>
      </c>
      <c r="E600" s="34">
        <v>17.5</v>
      </c>
      <c r="F600" s="34">
        <v>17.68</v>
      </c>
      <c r="G600" s="34">
        <v>17.85</v>
      </c>
      <c r="H600" s="113">
        <v>0.5831000000000001</v>
      </c>
      <c r="I600" s="34">
        <v>-0.0706</v>
      </c>
      <c r="J600" s="34">
        <v>0.0</v>
      </c>
      <c r="K600" s="34">
        <v>99.0</v>
      </c>
      <c r="L600" s="113">
        <v>-0.5751</v>
      </c>
    </row>
    <row r="601" ht="22.5" customHeight="1">
      <c r="A601" s="111" t="s">
        <v>28</v>
      </c>
      <c r="B601" s="112">
        <v>46920.0</v>
      </c>
      <c r="C601" s="111">
        <v>190.0</v>
      </c>
      <c r="D601" s="111" t="s">
        <v>117</v>
      </c>
      <c r="E601" s="34">
        <v>19.7</v>
      </c>
      <c r="F601" s="34">
        <v>19.9</v>
      </c>
      <c r="G601" s="34">
        <v>20.1</v>
      </c>
      <c r="H601" s="113">
        <v>0.5778</v>
      </c>
      <c r="I601" s="34">
        <v>-0.0786</v>
      </c>
      <c r="J601" s="34">
        <v>0.0</v>
      </c>
      <c r="K601" s="34">
        <v>65.0</v>
      </c>
      <c r="L601" s="113">
        <v>-0.5515</v>
      </c>
    </row>
    <row r="602" ht="22.5" customHeight="1">
      <c r="A602" s="111" t="s">
        <v>28</v>
      </c>
      <c r="B602" s="112">
        <v>46920.0</v>
      </c>
      <c r="C602" s="111">
        <v>200.0</v>
      </c>
      <c r="D602" s="111" t="s">
        <v>117</v>
      </c>
      <c r="E602" s="34">
        <v>22.05</v>
      </c>
      <c r="F602" s="34">
        <v>22.25</v>
      </c>
      <c r="G602" s="34">
        <v>22.45</v>
      </c>
      <c r="H602" s="113">
        <v>0.5726</v>
      </c>
      <c r="I602" s="34">
        <v>-0.0868</v>
      </c>
      <c r="J602" s="34">
        <v>11.0</v>
      </c>
      <c r="K602" s="34">
        <v>234.0</v>
      </c>
      <c r="L602" s="113">
        <v>-0.5279</v>
      </c>
    </row>
    <row r="603" ht="22.5" customHeight="1">
      <c r="A603" s="111" t="s">
        <v>28</v>
      </c>
      <c r="B603" s="112">
        <v>46920.0</v>
      </c>
      <c r="C603" s="111">
        <v>210.0</v>
      </c>
      <c r="D603" s="111" t="s">
        <v>117</v>
      </c>
      <c r="E603" s="34">
        <v>24.55</v>
      </c>
      <c r="F603" s="34">
        <v>24.78</v>
      </c>
      <c r="G603" s="34">
        <v>25.0</v>
      </c>
      <c r="H603" s="113">
        <v>0.568</v>
      </c>
      <c r="I603" s="34">
        <v>-0.0954</v>
      </c>
      <c r="J603" s="34">
        <v>2.0</v>
      </c>
      <c r="K603" s="34">
        <v>174.0</v>
      </c>
      <c r="L603" s="113">
        <v>-0.5043</v>
      </c>
    </row>
    <row r="604" ht="22.5" customHeight="1">
      <c r="A604" s="111" t="s">
        <v>28</v>
      </c>
      <c r="B604" s="112">
        <v>46920.0</v>
      </c>
      <c r="C604" s="111">
        <v>220.0</v>
      </c>
      <c r="D604" s="111" t="s">
        <v>117</v>
      </c>
      <c r="E604" s="34">
        <v>27.25</v>
      </c>
      <c r="F604" s="34">
        <v>27.48</v>
      </c>
      <c r="G604" s="34">
        <v>27.7</v>
      </c>
      <c r="H604" s="113">
        <v>0.5639</v>
      </c>
      <c r="I604" s="34">
        <v>-0.1044</v>
      </c>
      <c r="J604" s="34">
        <v>10.0</v>
      </c>
      <c r="K604" s="34">
        <v>293.0</v>
      </c>
      <c r="L604" s="113">
        <v>-0.4807</v>
      </c>
    </row>
    <row r="605" ht="22.5" customHeight="1">
      <c r="A605" s="111" t="s">
        <v>28</v>
      </c>
      <c r="B605" s="112">
        <v>46920.0</v>
      </c>
      <c r="C605" s="111">
        <v>230.0</v>
      </c>
      <c r="D605" s="111" t="s">
        <v>117</v>
      </c>
      <c r="E605" s="34">
        <v>30.1</v>
      </c>
      <c r="F605" s="34">
        <v>30.35</v>
      </c>
      <c r="G605" s="34">
        <v>30.6</v>
      </c>
      <c r="H605" s="113">
        <v>0.5602</v>
      </c>
      <c r="I605" s="34">
        <v>-0.1137</v>
      </c>
      <c r="J605" s="34">
        <v>1.0</v>
      </c>
      <c r="K605" s="34">
        <v>106.0</v>
      </c>
      <c r="L605" s="113">
        <v>-0.457</v>
      </c>
    </row>
    <row r="606" ht="22.5" customHeight="1">
      <c r="A606" s="111" t="s">
        <v>28</v>
      </c>
      <c r="B606" s="112">
        <v>46920.0</v>
      </c>
      <c r="C606" s="111">
        <v>240.0</v>
      </c>
      <c r="D606" s="111" t="s">
        <v>117</v>
      </c>
      <c r="E606" s="34">
        <v>33.15</v>
      </c>
      <c r="F606" s="34">
        <v>33.4</v>
      </c>
      <c r="G606" s="34">
        <v>33.65</v>
      </c>
      <c r="H606" s="113">
        <v>0.5569</v>
      </c>
      <c r="I606" s="34">
        <v>-0.1232</v>
      </c>
      <c r="J606" s="34">
        <v>0.0</v>
      </c>
      <c r="K606" s="34">
        <v>108.0</v>
      </c>
      <c r="L606" s="113">
        <v>-0.4334</v>
      </c>
    </row>
    <row r="607" ht="22.5" customHeight="1">
      <c r="A607" s="111" t="s">
        <v>28</v>
      </c>
      <c r="B607" s="112">
        <v>46920.0</v>
      </c>
      <c r="C607" s="111">
        <v>250.0</v>
      </c>
      <c r="D607" s="111" t="s">
        <v>117</v>
      </c>
      <c r="E607" s="34">
        <v>36.35</v>
      </c>
      <c r="F607" s="34">
        <v>36.63</v>
      </c>
      <c r="G607" s="34">
        <v>36.9</v>
      </c>
      <c r="H607" s="113">
        <v>0.5529999999999999</v>
      </c>
      <c r="I607" s="34">
        <v>-0.1331</v>
      </c>
      <c r="J607" s="34">
        <v>1.0</v>
      </c>
      <c r="K607" s="34">
        <v>680.0</v>
      </c>
      <c r="L607" s="113">
        <v>-0.40979999999999994</v>
      </c>
    </row>
    <row r="608" ht="22.5" customHeight="1">
      <c r="A608" s="111" t="s">
        <v>28</v>
      </c>
      <c r="B608" s="112">
        <v>46920.0</v>
      </c>
      <c r="C608" s="111">
        <v>260.0</v>
      </c>
      <c r="D608" s="111" t="s">
        <v>117</v>
      </c>
      <c r="E608" s="34">
        <v>39.75</v>
      </c>
      <c r="F608" s="34">
        <v>40.03</v>
      </c>
      <c r="G608" s="34">
        <v>40.3</v>
      </c>
      <c r="H608" s="113">
        <v>0.5512</v>
      </c>
      <c r="I608" s="34">
        <v>-0.1433</v>
      </c>
      <c r="J608" s="34">
        <v>0.0</v>
      </c>
      <c r="K608" s="34">
        <v>49.0</v>
      </c>
      <c r="L608" s="113">
        <v>-0.3862</v>
      </c>
    </row>
    <row r="609" ht="22.5" customHeight="1">
      <c r="A609" s="111" t="s">
        <v>28</v>
      </c>
      <c r="B609" s="112">
        <v>46920.0</v>
      </c>
      <c r="C609" s="111">
        <v>270.0</v>
      </c>
      <c r="D609" s="111" t="s">
        <v>117</v>
      </c>
      <c r="E609" s="34">
        <v>43.3</v>
      </c>
      <c r="F609" s="34">
        <v>43.58</v>
      </c>
      <c r="G609" s="34">
        <v>43.85</v>
      </c>
      <c r="H609" s="113">
        <v>0.5487</v>
      </c>
      <c r="I609" s="34">
        <v>-0.1538</v>
      </c>
      <c r="J609" s="34">
        <v>1.0</v>
      </c>
      <c r="K609" s="34">
        <v>72.0</v>
      </c>
      <c r="L609" s="113">
        <v>-0.3626</v>
      </c>
    </row>
    <row r="610" ht="22.5" customHeight="1">
      <c r="A610" s="111" t="s">
        <v>28</v>
      </c>
      <c r="B610" s="112">
        <v>46920.0</v>
      </c>
      <c r="C610" s="111">
        <v>280.0</v>
      </c>
      <c r="D610" s="111" t="s">
        <v>117</v>
      </c>
      <c r="E610" s="34">
        <v>47.05</v>
      </c>
      <c r="F610" s="34">
        <v>47.33</v>
      </c>
      <c r="G610" s="34">
        <v>47.6</v>
      </c>
      <c r="H610" s="113">
        <v>0.5466</v>
      </c>
      <c r="I610" s="34">
        <v>-0.1643</v>
      </c>
      <c r="J610" s="34">
        <v>0.0</v>
      </c>
      <c r="K610" s="34">
        <v>224.0</v>
      </c>
      <c r="L610" s="113">
        <v>-0.33899999999999997</v>
      </c>
    </row>
    <row r="611" ht="22.5" customHeight="1">
      <c r="A611" s="111" t="s">
        <v>28</v>
      </c>
      <c r="B611" s="112">
        <v>46920.0</v>
      </c>
      <c r="C611" s="111">
        <v>290.0</v>
      </c>
      <c r="D611" s="111" t="s">
        <v>117</v>
      </c>
      <c r="E611" s="34">
        <v>50.95</v>
      </c>
      <c r="F611" s="34">
        <v>51.25</v>
      </c>
      <c r="G611" s="34">
        <v>51.55</v>
      </c>
      <c r="H611" s="113">
        <v>0.5447</v>
      </c>
      <c r="I611" s="34">
        <v>-0.1752</v>
      </c>
      <c r="J611" s="34">
        <v>4.0</v>
      </c>
      <c r="K611" s="34">
        <v>287.0</v>
      </c>
      <c r="L611" s="113">
        <v>-0.3154</v>
      </c>
    </row>
    <row r="612" ht="22.5" customHeight="1">
      <c r="A612" s="111" t="s">
        <v>28</v>
      </c>
      <c r="B612" s="112">
        <v>46920.0</v>
      </c>
      <c r="C612" s="111">
        <v>300.0</v>
      </c>
      <c r="D612" s="111" t="s">
        <v>117</v>
      </c>
      <c r="E612" s="34">
        <v>55.1</v>
      </c>
      <c r="F612" s="34">
        <v>55.35</v>
      </c>
      <c r="G612" s="34">
        <v>55.6</v>
      </c>
      <c r="H612" s="113">
        <v>0.5431</v>
      </c>
      <c r="I612" s="34">
        <v>-0.1862</v>
      </c>
      <c r="J612" s="34">
        <v>7.0</v>
      </c>
      <c r="K612" s="34">
        <v>638.0</v>
      </c>
      <c r="L612" s="113">
        <v>-0.2918</v>
      </c>
    </row>
    <row r="613" ht="22.5" customHeight="1">
      <c r="A613" s="111" t="s">
        <v>28</v>
      </c>
      <c r="B613" s="112">
        <v>46920.0</v>
      </c>
      <c r="C613" s="111">
        <v>310.0</v>
      </c>
      <c r="D613" s="111" t="s">
        <v>117</v>
      </c>
      <c r="E613" s="34">
        <v>59.25</v>
      </c>
      <c r="F613" s="34">
        <v>59.58</v>
      </c>
      <c r="G613" s="34">
        <v>59.9</v>
      </c>
      <c r="H613" s="113">
        <v>0.5414</v>
      </c>
      <c r="I613" s="34">
        <v>-0.1971</v>
      </c>
      <c r="J613" s="34">
        <v>0.0</v>
      </c>
      <c r="K613" s="34">
        <v>139.0</v>
      </c>
      <c r="L613" s="113">
        <v>-0.2682</v>
      </c>
    </row>
    <row r="614" ht="22.5" customHeight="1">
      <c r="A614" s="111" t="s">
        <v>28</v>
      </c>
      <c r="B614" s="112">
        <v>46920.0</v>
      </c>
      <c r="C614" s="111">
        <v>320.0</v>
      </c>
      <c r="D614" s="111" t="s">
        <v>117</v>
      </c>
      <c r="E614" s="34">
        <v>63.65</v>
      </c>
      <c r="F614" s="34">
        <v>63.97</v>
      </c>
      <c r="G614" s="34">
        <v>64.3</v>
      </c>
      <c r="H614" s="113">
        <v>0.5399</v>
      </c>
      <c r="I614" s="34">
        <v>-0.2086</v>
      </c>
      <c r="J614" s="34">
        <v>13.0</v>
      </c>
      <c r="K614" s="34">
        <v>169.0</v>
      </c>
      <c r="L614" s="113">
        <v>-0.2446</v>
      </c>
    </row>
    <row r="615" ht="22.5" customHeight="1">
      <c r="A615" s="111" t="s">
        <v>28</v>
      </c>
      <c r="B615" s="112">
        <v>46920.0</v>
      </c>
      <c r="C615" s="111">
        <v>330.0</v>
      </c>
      <c r="D615" s="111" t="s">
        <v>117</v>
      </c>
      <c r="E615" s="34">
        <v>68.2</v>
      </c>
      <c r="F615" s="34">
        <v>68.53</v>
      </c>
      <c r="G615" s="34">
        <v>68.85</v>
      </c>
      <c r="H615" s="113">
        <v>0.5385</v>
      </c>
      <c r="I615" s="34">
        <v>-0.22</v>
      </c>
      <c r="J615" s="34">
        <v>4.0</v>
      </c>
      <c r="K615" s="34">
        <v>125.0</v>
      </c>
      <c r="L615" s="113">
        <v>-0.221</v>
      </c>
    </row>
    <row r="616" ht="22.5" customHeight="1">
      <c r="A616" s="111" t="s">
        <v>28</v>
      </c>
      <c r="B616" s="112">
        <v>46920.0</v>
      </c>
      <c r="C616" s="111">
        <v>340.0</v>
      </c>
      <c r="D616" s="111" t="s">
        <v>117</v>
      </c>
      <c r="E616" s="34">
        <v>72.9</v>
      </c>
      <c r="F616" s="34">
        <v>73.25</v>
      </c>
      <c r="G616" s="34">
        <v>73.6</v>
      </c>
      <c r="H616" s="113">
        <v>0.5374</v>
      </c>
      <c r="I616" s="34">
        <v>-0.2314</v>
      </c>
      <c r="J616" s="34">
        <v>0.0</v>
      </c>
      <c r="K616" s="34">
        <v>268.0</v>
      </c>
      <c r="L616" s="113">
        <v>-0.1974</v>
      </c>
    </row>
    <row r="617" ht="22.5" customHeight="1">
      <c r="A617" s="111" t="s">
        <v>28</v>
      </c>
      <c r="B617" s="112">
        <v>46920.0</v>
      </c>
      <c r="C617" s="111">
        <v>350.0</v>
      </c>
      <c r="D617" s="111" t="s">
        <v>117</v>
      </c>
      <c r="E617" s="34">
        <v>77.75</v>
      </c>
      <c r="F617" s="34">
        <v>78.13</v>
      </c>
      <c r="G617" s="34">
        <v>78.5</v>
      </c>
      <c r="H617" s="113">
        <v>0.5363</v>
      </c>
      <c r="I617" s="34">
        <v>-0.2426</v>
      </c>
      <c r="J617" s="34">
        <v>2.0</v>
      </c>
      <c r="K617" s="34">
        <v>378.0</v>
      </c>
      <c r="L617" s="113">
        <v>-0.17379999999999998</v>
      </c>
    </row>
    <row r="618" ht="22.5" customHeight="1">
      <c r="A618" s="111" t="s">
        <v>28</v>
      </c>
      <c r="B618" s="112">
        <v>46920.0</v>
      </c>
      <c r="C618" s="111">
        <v>360.0</v>
      </c>
      <c r="D618" s="111" t="s">
        <v>117</v>
      </c>
      <c r="E618" s="34">
        <v>82.75</v>
      </c>
      <c r="F618" s="34">
        <v>83.13</v>
      </c>
      <c r="G618" s="34">
        <v>83.5</v>
      </c>
      <c r="H618" s="113">
        <v>0.5353</v>
      </c>
      <c r="I618" s="34">
        <v>-0.254</v>
      </c>
      <c r="J618" s="34">
        <v>0.0</v>
      </c>
      <c r="K618" s="34">
        <v>317.0</v>
      </c>
      <c r="L618" s="113">
        <v>-0.1502</v>
      </c>
    </row>
    <row r="619" ht="22.5" customHeight="1">
      <c r="A619" s="111" t="s">
        <v>28</v>
      </c>
      <c r="B619" s="112">
        <v>46920.0</v>
      </c>
      <c r="C619" s="111">
        <v>370.0</v>
      </c>
      <c r="D619" s="111" t="s">
        <v>117</v>
      </c>
      <c r="E619" s="34">
        <v>87.9</v>
      </c>
      <c r="F619" s="34">
        <v>88.3</v>
      </c>
      <c r="G619" s="34">
        <v>88.7</v>
      </c>
      <c r="H619" s="113">
        <v>0.5345</v>
      </c>
      <c r="I619" s="34">
        <v>-0.2657</v>
      </c>
      <c r="J619" s="34">
        <v>1.0</v>
      </c>
      <c r="K619" s="34">
        <v>176.0</v>
      </c>
      <c r="L619" s="113">
        <v>-0.1266</v>
      </c>
    </row>
    <row r="620" ht="22.5" customHeight="1">
      <c r="A620" s="111" t="s">
        <v>28</v>
      </c>
      <c r="B620" s="112">
        <v>46920.0</v>
      </c>
      <c r="C620" s="111">
        <v>380.0</v>
      </c>
      <c r="D620" s="111" t="s">
        <v>117</v>
      </c>
      <c r="E620" s="34">
        <v>93.2</v>
      </c>
      <c r="F620" s="34">
        <v>93.6</v>
      </c>
      <c r="G620" s="34">
        <v>94.0</v>
      </c>
      <c r="H620" s="113">
        <v>0.5337</v>
      </c>
      <c r="I620" s="34">
        <v>-0.277</v>
      </c>
      <c r="J620" s="34">
        <v>3.0</v>
      </c>
      <c r="K620" s="34">
        <v>161.0</v>
      </c>
      <c r="L620" s="113">
        <v>-0.10289999999999999</v>
      </c>
    </row>
    <row r="621" ht="22.5" customHeight="1">
      <c r="A621" s="111" t="s">
        <v>28</v>
      </c>
      <c r="B621" s="112">
        <v>46920.0</v>
      </c>
      <c r="C621" s="111">
        <v>390.0</v>
      </c>
      <c r="D621" s="111" t="s">
        <v>117</v>
      </c>
      <c r="E621" s="34">
        <v>98.65</v>
      </c>
      <c r="F621" s="34">
        <v>99.05</v>
      </c>
      <c r="G621" s="34">
        <v>99.45</v>
      </c>
      <c r="H621" s="113">
        <v>0.5331</v>
      </c>
      <c r="I621" s="34">
        <v>-0.2886</v>
      </c>
      <c r="J621" s="34">
        <v>19.0</v>
      </c>
      <c r="K621" s="34">
        <v>214.0</v>
      </c>
      <c r="L621" s="113">
        <v>-0.0793</v>
      </c>
    </row>
    <row r="622" ht="22.5" customHeight="1">
      <c r="A622" s="111" t="s">
        <v>28</v>
      </c>
      <c r="B622" s="112">
        <v>46920.0</v>
      </c>
      <c r="C622" s="111">
        <v>400.0</v>
      </c>
      <c r="D622" s="111" t="s">
        <v>117</v>
      </c>
      <c r="E622" s="34">
        <v>104.25</v>
      </c>
      <c r="F622" s="34">
        <v>104.65</v>
      </c>
      <c r="G622" s="34">
        <v>105.05</v>
      </c>
      <c r="H622" s="113">
        <v>0.5318999999999999</v>
      </c>
      <c r="I622" s="34">
        <v>-0.3005</v>
      </c>
      <c r="J622" s="34">
        <v>20.0</v>
      </c>
      <c r="K622" s="34">
        <v>494.0</v>
      </c>
      <c r="L622" s="113">
        <v>-0.0557</v>
      </c>
    </row>
    <row r="623" ht="22.5" customHeight="1">
      <c r="A623" s="111" t="s">
        <v>28</v>
      </c>
      <c r="B623" s="112">
        <v>46920.0</v>
      </c>
      <c r="C623" s="111">
        <v>410.0</v>
      </c>
      <c r="D623" s="111" t="s">
        <v>117</v>
      </c>
      <c r="E623" s="34">
        <v>109.95</v>
      </c>
      <c r="F623" s="34">
        <v>110.18</v>
      </c>
      <c r="G623" s="34">
        <v>110.4</v>
      </c>
      <c r="H623" s="113">
        <v>0.5312</v>
      </c>
      <c r="I623" s="34">
        <v>-0.3115</v>
      </c>
      <c r="J623" s="34">
        <v>11.0</v>
      </c>
      <c r="K623" s="34">
        <v>211.0</v>
      </c>
      <c r="L623" s="113">
        <v>-0.0321</v>
      </c>
    </row>
    <row r="624" ht="22.5" customHeight="1">
      <c r="A624" s="111" t="s">
        <v>28</v>
      </c>
      <c r="B624" s="112">
        <v>46920.0</v>
      </c>
      <c r="C624" s="111">
        <v>420.0</v>
      </c>
      <c r="D624" s="111" t="s">
        <v>117</v>
      </c>
      <c r="E624" s="34">
        <v>115.8</v>
      </c>
      <c r="F624" s="34">
        <v>116.23</v>
      </c>
      <c r="G624" s="34">
        <v>116.65</v>
      </c>
      <c r="H624" s="113">
        <v>0.5317000000000001</v>
      </c>
      <c r="I624" s="34">
        <v>-0.3231</v>
      </c>
      <c r="J624" s="34">
        <v>0.0</v>
      </c>
      <c r="K624" s="34">
        <v>204.0</v>
      </c>
      <c r="L624" s="113">
        <v>-0.0085</v>
      </c>
    </row>
    <row r="625" ht="22.5" customHeight="1">
      <c r="A625" s="111" t="s">
        <v>28</v>
      </c>
      <c r="B625" s="112">
        <v>46920.0</v>
      </c>
      <c r="C625" s="111">
        <v>430.0</v>
      </c>
      <c r="D625" s="111" t="s">
        <v>117</v>
      </c>
      <c r="E625" s="34">
        <v>121.75</v>
      </c>
      <c r="F625" s="34">
        <v>122.2</v>
      </c>
      <c r="G625" s="34">
        <v>122.65</v>
      </c>
      <c r="H625" s="113">
        <v>0.5314</v>
      </c>
      <c r="I625" s="34">
        <v>-0.3339</v>
      </c>
      <c r="J625" s="34">
        <v>2.0</v>
      </c>
      <c r="K625" s="34">
        <v>411.0</v>
      </c>
      <c r="L625" s="113">
        <v>0.0151</v>
      </c>
    </row>
    <row r="626" ht="22.5" customHeight="1">
      <c r="A626" s="111" t="s">
        <v>28</v>
      </c>
      <c r="B626" s="112">
        <v>46920.0</v>
      </c>
      <c r="C626" s="111">
        <v>440.0</v>
      </c>
      <c r="D626" s="111" t="s">
        <v>117</v>
      </c>
      <c r="E626" s="34">
        <v>127.8</v>
      </c>
      <c r="F626" s="34">
        <v>128.25</v>
      </c>
      <c r="G626" s="34">
        <v>128.7</v>
      </c>
      <c r="H626" s="113">
        <v>0.5309</v>
      </c>
      <c r="I626" s="34">
        <v>-0.3456</v>
      </c>
      <c r="J626" s="34">
        <v>1.0</v>
      </c>
      <c r="K626" s="34">
        <v>437.0</v>
      </c>
      <c r="L626" s="113">
        <v>0.0387</v>
      </c>
    </row>
    <row r="627" ht="22.5" customHeight="1">
      <c r="A627" s="111" t="s">
        <v>28</v>
      </c>
      <c r="B627" s="112">
        <v>46920.0</v>
      </c>
      <c r="C627" s="111">
        <v>450.0</v>
      </c>
      <c r="D627" s="111" t="s">
        <v>117</v>
      </c>
      <c r="E627" s="34">
        <v>134.0</v>
      </c>
      <c r="F627" s="34">
        <v>134.48</v>
      </c>
      <c r="G627" s="34">
        <v>134.95</v>
      </c>
      <c r="H627" s="113">
        <v>0.5307</v>
      </c>
      <c r="I627" s="34">
        <v>-0.3577</v>
      </c>
      <c r="J627" s="34">
        <v>2.0</v>
      </c>
      <c r="K627" s="34">
        <v>688.0</v>
      </c>
      <c r="L627" s="113">
        <v>0.0623</v>
      </c>
    </row>
    <row r="628" ht="22.5" customHeight="1">
      <c r="A628" s="111" t="s">
        <v>28</v>
      </c>
      <c r="B628" s="112">
        <v>46920.0</v>
      </c>
      <c r="C628" s="111">
        <v>460.0</v>
      </c>
      <c r="D628" s="111" t="s">
        <v>117</v>
      </c>
      <c r="E628" s="34">
        <v>140.35</v>
      </c>
      <c r="F628" s="34">
        <v>140.83</v>
      </c>
      <c r="G628" s="34">
        <v>141.3</v>
      </c>
      <c r="H628" s="113">
        <v>0.5306000000000001</v>
      </c>
      <c r="I628" s="34">
        <v>-0.3688</v>
      </c>
      <c r="J628" s="34">
        <v>0.0</v>
      </c>
      <c r="K628" s="34">
        <v>314.0</v>
      </c>
      <c r="L628" s="113">
        <v>0.0859</v>
      </c>
    </row>
    <row r="629" ht="22.5" customHeight="1">
      <c r="A629" s="111" t="s">
        <v>28</v>
      </c>
      <c r="B629" s="112">
        <v>46920.0</v>
      </c>
      <c r="C629" s="111">
        <v>470.0</v>
      </c>
      <c r="D629" s="111" t="s">
        <v>117</v>
      </c>
      <c r="E629" s="34">
        <v>146.75</v>
      </c>
      <c r="F629" s="34">
        <v>147.25</v>
      </c>
      <c r="G629" s="34">
        <v>147.75</v>
      </c>
      <c r="H629" s="113">
        <v>0.5304</v>
      </c>
      <c r="I629" s="34">
        <v>-0.3792</v>
      </c>
      <c r="J629" s="34">
        <v>0.0</v>
      </c>
      <c r="K629" s="34">
        <v>185.0</v>
      </c>
      <c r="L629" s="113">
        <v>0.10949999999999999</v>
      </c>
    </row>
    <row r="630" ht="22.5" customHeight="1">
      <c r="A630" s="111" t="s">
        <v>28</v>
      </c>
      <c r="B630" s="112">
        <v>46920.0</v>
      </c>
      <c r="C630" s="111">
        <v>480.0</v>
      </c>
      <c r="D630" s="111" t="s">
        <v>117</v>
      </c>
      <c r="E630" s="34">
        <v>153.3</v>
      </c>
      <c r="F630" s="34">
        <v>153.8</v>
      </c>
      <c r="G630" s="34">
        <v>154.3</v>
      </c>
      <c r="H630" s="113">
        <v>0.5303</v>
      </c>
      <c r="I630" s="34">
        <v>-0.3905</v>
      </c>
      <c r="J630" s="34">
        <v>0.0</v>
      </c>
      <c r="K630" s="34">
        <v>201.0</v>
      </c>
      <c r="L630" s="113">
        <v>0.1331</v>
      </c>
    </row>
    <row r="631" ht="22.5" customHeight="1">
      <c r="A631" s="111" t="s">
        <v>28</v>
      </c>
      <c r="B631" s="112">
        <v>46920.0</v>
      </c>
      <c r="C631" s="111">
        <v>490.0</v>
      </c>
      <c r="D631" s="111" t="s">
        <v>117</v>
      </c>
      <c r="E631" s="34">
        <v>159.9</v>
      </c>
      <c r="F631" s="34">
        <v>160.43</v>
      </c>
      <c r="G631" s="34">
        <v>160.95</v>
      </c>
      <c r="H631" s="113">
        <v>0.5301</v>
      </c>
      <c r="I631" s="34">
        <v>-0.4007</v>
      </c>
      <c r="J631" s="34">
        <v>1.0</v>
      </c>
      <c r="K631" s="34">
        <v>162.0</v>
      </c>
      <c r="L631" s="113">
        <v>0.1567</v>
      </c>
    </row>
    <row r="632" ht="22.5" customHeight="1">
      <c r="A632" s="111" t="s">
        <v>28</v>
      </c>
      <c r="B632" s="112">
        <v>46920.0</v>
      </c>
      <c r="C632" s="111">
        <v>500.0</v>
      </c>
      <c r="D632" s="111" t="s">
        <v>117</v>
      </c>
      <c r="E632" s="34">
        <v>166.65</v>
      </c>
      <c r="F632" s="34">
        <v>167.18</v>
      </c>
      <c r="G632" s="34">
        <v>167.7</v>
      </c>
      <c r="H632" s="113">
        <v>0.5301</v>
      </c>
      <c r="I632" s="34">
        <v>-0.4112</v>
      </c>
      <c r="J632" s="34">
        <v>1.0</v>
      </c>
      <c r="K632" s="34">
        <v>491.0</v>
      </c>
      <c r="L632" s="113">
        <v>0.18030000000000002</v>
      </c>
    </row>
    <row r="633" ht="22.5" customHeight="1">
      <c r="A633" s="111" t="s">
        <v>28</v>
      </c>
      <c r="B633" s="112">
        <v>46920.0</v>
      </c>
      <c r="C633" s="111">
        <v>510.0</v>
      </c>
      <c r="D633" s="111" t="s">
        <v>117</v>
      </c>
      <c r="E633" s="34">
        <v>173.5</v>
      </c>
      <c r="F633" s="34">
        <v>174.03</v>
      </c>
      <c r="G633" s="34">
        <v>174.55</v>
      </c>
      <c r="H633" s="113">
        <v>0.5301</v>
      </c>
      <c r="I633" s="34">
        <v>-0.4223</v>
      </c>
      <c r="J633" s="34">
        <v>0.0</v>
      </c>
      <c r="K633" s="34">
        <v>22.0</v>
      </c>
      <c r="L633" s="113">
        <v>0.2039</v>
      </c>
    </row>
    <row r="634" ht="22.5" customHeight="1">
      <c r="A634" s="111" t="s">
        <v>28</v>
      </c>
      <c r="B634" s="112">
        <v>46920.0</v>
      </c>
      <c r="C634" s="111">
        <v>520.0</v>
      </c>
      <c r="D634" s="111" t="s">
        <v>117</v>
      </c>
      <c r="E634" s="34">
        <v>180.4</v>
      </c>
      <c r="F634" s="34">
        <v>180.95</v>
      </c>
      <c r="G634" s="34">
        <v>181.5</v>
      </c>
      <c r="H634" s="113">
        <v>0.5301</v>
      </c>
      <c r="I634" s="34">
        <v>-0.432</v>
      </c>
      <c r="J634" s="34">
        <v>0.0</v>
      </c>
      <c r="K634" s="34">
        <v>54.0</v>
      </c>
      <c r="L634" s="113">
        <v>0.2275</v>
      </c>
    </row>
    <row r="635" ht="22.5" customHeight="1">
      <c r="A635" s="111" t="s">
        <v>28</v>
      </c>
      <c r="B635" s="112">
        <v>46920.0</v>
      </c>
      <c r="C635" s="111">
        <v>530.0</v>
      </c>
      <c r="D635" s="111" t="s">
        <v>117</v>
      </c>
      <c r="E635" s="34">
        <v>187.45</v>
      </c>
      <c r="F635" s="34">
        <v>188.0</v>
      </c>
      <c r="G635" s="34">
        <v>188.55</v>
      </c>
      <c r="H635" s="113">
        <v>0.5302</v>
      </c>
      <c r="I635" s="34">
        <v>-0.4431</v>
      </c>
      <c r="J635" s="34">
        <v>20.0</v>
      </c>
      <c r="K635" s="34">
        <v>156.0</v>
      </c>
      <c r="L635" s="113">
        <v>0.25120000000000003</v>
      </c>
    </row>
    <row r="636" ht="22.5" customHeight="1">
      <c r="A636" s="111" t="s">
        <v>28</v>
      </c>
      <c r="B636" s="112">
        <v>46920.0</v>
      </c>
      <c r="C636" s="111">
        <v>540.0</v>
      </c>
      <c r="D636" s="111" t="s">
        <v>117</v>
      </c>
      <c r="E636" s="34">
        <v>194.55</v>
      </c>
      <c r="F636" s="34">
        <v>195.13</v>
      </c>
      <c r="G636" s="34">
        <v>195.7</v>
      </c>
      <c r="H636" s="113">
        <v>0.5303</v>
      </c>
      <c r="I636" s="34">
        <v>-0.4544</v>
      </c>
      <c r="J636" s="34">
        <v>0.0</v>
      </c>
      <c r="K636" s="34">
        <v>33.0</v>
      </c>
      <c r="L636" s="113">
        <v>0.2748</v>
      </c>
    </row>
    <row r="637" ht="22.5" customHeight="1">
      <c r="A637" s="111" t="s">
        <v>28</v>
      </c>
      <c r="B637" s="112">
        <v>46920.0</v>
      </c>
      <c r="C637" s="111">
        <v>550.0</v>
      </c>
      <c r="D637" s="111" t="s">
        <v>117</v>
      </c>
      <c r="E637" s="34">
        <v>201.75</v>
      </c>
      <c r="F637" s="34">
        <v>202.33</v>
      </c>
      <c r="G637" s="34">
        <v>202.9</v>
      </c>
      <c r="H637" s="113">
        <v>0.5303</v>
      </c>
      <c r="I637" s="34">
        <v>-0.469</v>
      </c>
      <c r="J637" s="34">
        <v>0.0</v>
      </c>
      <c r="K637" s="34">
        <v>283.0</v>
      </c>
      <c r="L637" s="113">
        <v>0.2984</v>
      </c>
    </row>
    <row r="638" ht="22.5" customHeight="1">
      <c r="A638" s="111" t="s">
        <v>28</v>
      </c>
      <c r="B638" s="112">
        <v>46920.0</v>
      </c>
      <c r="C638" s="111">
        <v>560.0</v>
      </c>
      <c r="D638" s="111" t="s">
        <v>117</v>
      </c>
      <c r="E638" s="34">
        <v>209.0</v>
      </c>
      <c r="F638" s="34">
        <v>209.6</v>
      </c>
      <c r="G638" s="34">
        <v>210.2</v>
      </c>
      <c r="H638" s="113">
        <v>0.5302</v>
      </c>
      <c r="I638" s="34">
        <v>-0.4783</v>
      </c>
      <c r="J638" s="34">
        <v>0.0</v>
      </c>
      <c r="K638" s="34">
        <v>34.0</v>
      </c>
      <c r="L638" s="113">
        <v>0.322</v>
      </c>
    </row>
    <row r="639" ht="22.5" customHeight="1">
      <c r="A639" s="111" t="s">
        <v>28</v>
      </c>
      <c r="B639" s="112">
        <v>46920.0</v>
      </c>
      <c r="C639" s="111">
        <v>570.0</v>
      </c>
      <c r="D639" s="111" t="s">
        <v>117</v>
      </c>
      <c r="E639" s="34">
        <v>216.4</v>
      </c>
      <c r="F639" s="34">
        <v>217.0</v>
      </c>
      <c r="G639" s="34">
        <v>217.6</v>
      </c>
      <c r="H639" s="113">
        <v>0.5303</v>
      </c>
      <c r="I639" s="34">
        <v>-0.4873</v>
      </c>
      <c r="J639" s="34">
        <v>0.0</v>
      </c>
      <c r="K639" s="34">
        <v>65.0</v>
      </c>
      <c r="L639" s="113">
        <v>0.3456</v>
      </c>
    </row>
    <row r="640" ht="22.5" customHeight="1">
      <c r="A640" s="111" t="s">
        <v>28</v>
      </c>
      <c r="B640" s="112">
        <v>46920.0</v>
      </c>
      <c r="C640" s="111">
        <v>580.0</v>
      </c>
      <c r="D640" s="111" t="s">
        <v>117</v>
      </c>
      <c r="E640" s="34">
        <v>223.8</v>
      </c>
      <c r="F640" s="34">
        <v>224.43</v>
      </c>
      <c r="G640" s="34">
        <v>225.05</v>
      </c>
      <c r="H640" s="113">
        <v>0.5303</v>
      </c>
      <c r="I640" s="34">
        <v>-0.4962</v>
      </c>
      <c r="J640" s="34">
        <v>0.0</v>
      </c>
      <c r="K640" s="34">
        <v>85.0</v>
      </c>
      <c r="L640" s="113">
        <v>0.36920000000000003</v>
      </c>
    </row>
    <row r="641" ht="22.5" customHeight="1">
      <c r="A641" s="111" t="s">
        <v>28</v>
      </c>
      <c r="B641" s="112">
        <v>46920.0</v>
      </c>
      <c r="C641" s="111">
        <v>590.0</v>
      </c>
      <c r="D641" s="111" t="s">
        <v>117</v>
      </c>
      <c r="E641" s="34">
        <v>231.35</v>
      </c>
      <c r="F641" s="34">
        <v>231.95</v>
      </c>
      <c r="G641" s="34">
        <v>232.55</v>
      </c>
      <c r="H641" s="113">
        <v>0.5304</v>
      </c>
      <c r="I641" s="34">
        <v>-0.5056</v>
      </c>
      <c r="J641" s="34">
        <v>0.0</v>
      </c>
      <c r="K641" s="34">
        <v>80.0</v>
      </c>
      <c r="L641" s="113">
        <v>0.39280000000000004</v>
      </c>
    </row>
    <row r="642" ht="22.5" customHeight="1">
      <c r="A642" s="111" t="s">
        <v>28</v>
      </c>
      <c r="B642" s="112">
        <v>46920.0</v>
      </c>
      <c r="C642" s="111">
        <v>600.0</v>
      </c>
      <c r="D642" s="111" t="s">
        <v>117</v>
      </c>
      <c r="E642" s="34">
        <v>238.95</v>
      </c>
      <c r="F642" s="34">
        <v>239.58</v>
      </c>
      <c r="G642" s="34">
        <v>240.2</v>
      </c>
      <c r="H642" s="113">
        <v>0.5307</v>
      </c>
      <c r="I642" s="34">
        <v>-0.5141</v>
      </c>
      <c r="J642" s="34">
        <v>0.0</v>
      </c>
      <c r="K642" s="34">
        <v>116.0</v>
      </c>
      <c r="L642" s="113">
        <v>0.4164</v>
      </c>
    </row>
    <row r="643" ht="22.5" customHeight="1">
      <c r="A643" s="111" t="s">
        <v>28</v>
      </c>
      <c r="B643" s="112">
        <v>46920.0</v>
      </c>
      <c r="C643" s="111">
        <v>610.0</v>
      </c>
      <c r="D643" s="111" t="s">
        <v>117</v>
      </c>
      <c r="E643" s="34">
        <v>246.6</v>
      </c>
      <c r="F643" s="34">
        <v>247.23</v>
      </c>
      <c r="G643" s="34">
        <v>247.85</v>
      </c>
      <c r="H643" s="113">
        <v>0.5307999999999999</v>
      </c>
      <c r="I643" s="34">
        <v>-0.5226</v>
      </c>
      <c r="J643" s="34">
        <v>0.0</v>
      </c>
      <c r="K643" s="34">
        <v>21.0</v>
      </c>
      <c r="L643" s="113">
        <v>0.44</v>
      </c>
    </row>
    <row r="644" ht="22.5" customHeight="1">
      <c r="A644" s="111" t="s">
        <v>28</v>
      </c>
      <c r="B644" s="112">
        <v>46920.0</v>
      </c>
      <c r="C644" s="111">
        <v>620.0</v>
      </c>
      <c r="D644" s="111" t="s">
        <v>117</v>
      </c>
      <c r="E644" s="34">
        <v>254.3</v>
      </c>
      <c r="F644" s="34">
        <v>254.95</v>
      </c>
      <c r="G644" s="34">
        <v>255.6</v>
      </c>
      <c r="H644" s="113">
        <v>0.531</v>
      </c>
      <c r="I644" s="34">
        <v>-0.5309</v>
      </c>
      <c r="J644" s="34">
        <v>0.0</v>
      </c>
      <c r="K644" s="34">
        <v>29.0</v>
      </c>
      <c r="L644" s="113">
        <v>0.4636</v>
      </c>
    </row>
    <row r="645" ht="22.5" customHeight="1">
      <c r="A645" s="111" t="s">
        <v>28</v>
      </c>
      <c r="B645" s="112">
        <v>46920.0</v>
      </c>
      <c r="C645" s="111">
        <v>630.0</v>
      </c>
      <c r="D645" s="111" t="s">
        <v>117</v>
      </c>
      <c r="E645" s="34">
        <v>262.1</v>
      </c>
      <c r="F645" s="34">
        <v>262.75</v>
      </c>
      <c r="G645" s="34">
        <v>263.4</v>
      </c>
      <c r="H645" s="113">
        <v>0.5312</v>
      </c>
      <c r="I645" s="34">
        <v>-0.539</v>
      </c>
      <c r="J645" s="34">
        <v>0.0</v>
      </c>
      <c r="K645" s="34">
        <v>25.0</v>
      </c>
      <c r="L645" s="113">
        <v>0.48719999999999997</v>
      </c>
    </row>
    <row r="646" ht="22.5" customHeight="1">
      <c r="A646" s="111" t="s">
        <v>28</v>
      </c>
      <c r="B646" s="112">
        <v>46920.0</v>
      </c>
      <c r="C646" s="111">
        <v>640.0</v>
      </c>
      <c r="D646" s="111" t="s">
        <v>117</v>
      </c>
      <c r="E646" s="34">
        <v>269.95</v>
      </c>
      <c r="F646" s="34">
        <v>270.63</v>
      </c>
      <c r="G646" s="34">
        <v>271.3</v>
      </c>
      <c r="H646" s="113">
        <v>0.5315</v>
      </c>
      <c r="I646" s="34">
        <v>-0.5478</v>
      </c>
      <c r="J646" s="34">
        <v>0.0</v>
      </c>
      <c r="K646" s="34">
        <v>17.0</v>
      </c>
      <c r="L646" s="113">
        <v>0.5108</v>
      </c>
    </row>
    <row r="647" ht="22.5" customHeight="1">
      <c r="A647" s="111" t="s">
        <v>28</v>
      </c>
      <c r="B647" s="112">
        <v>46920.0</v>
      </c>
      <c r="C647" s="111">
        <v>650.0</v>
      </c>
      <c r="D647" s="111" t="s">
        <v>117</v>
      </c>
      <c r="E647" s="34">
        <v>277.9</v>
      </c>
      <c r="F647" s="34">
        <v>278.58</v>
      </c>
      <c r="G647" s="34">
        <v>279.25</v>
      </c>
      <c r="H647" s="113">
        <v>0.5318999999999999</v>
      </c>
      <c r="I647" s="34">
        <v>-0.5555</v>
      </c>
      <c r="J647" s="34">
        <v>0.0</v>
      </c>
      <c r="K647" s="34">
        <v>117.0</v>
      </c>
      <c r="L647" s="113">
        <v>0.5344</v>
      </c>
    </row>
    <row r="648" ht="22.5" customHeight="1">
      <c r="A648" s="111" t="s">
        <v>28</v>
      </c>
      <c r="B648" s="112">
        <v>46920.0</v>
      </c>
      <c r="C648" s="111">
        <v>660.0</v>
      </c>
      <c r="D648" s="111" t="s">
        <v>117</v>
      </c>
      <c r="E648" s="34">
        <v>285.85</v>
      </c>
      <c r="F648" s="34">
        <v>286.55</v>
      </c>
      <c r="G648" s="34">
        <v>287.25</v>
      </c>
      <c r="H648" s="113">
        <v>0.532</v>
      </c>
      <c r="I648" s="34">
        <v>-0.5737</v>
      </c>
      <c r="J648" s="34">
        <v>0.0</v>
      </c>
      <c r="K648" s="34">
        <v>12.0</v>
      </c>
      <c r="L648" s="113">
        <v>0.5579999999999999</v>
      </c>
    </row>
    <row r="649" ht="22.5" customHeight="1">
      <c r="A649" s="111" t="s">
        <v>28</v>
      </c>
      <c r="B649" s="112">
        <v>46920.0</v>
      </c>
      <c r="C649" s="111">
        <v>670.0</v>
      </c>
      <c r="D649" s="111" t="s">
        <v>117</v>
      </c>
      <c r="E649" s="34">
        <v>293.9</v>
      </c>
      <c r="F649" s="34">
        <v>294.6</v>
      </c>
      <c r="G649" s="34">
        <v>295.3</v>
      </c>
      <c r="H649" s="113">
        <v>0.532</v>
      </c>
      <c r="I649" s="34">
        <v>-0.5917</v>
      </c>
      <c r="J649" s="34">
        <v>0.0</v>
      </c>
      <c r="K649" s="34">
        <v>24.0</v>
      </c>
      <c r="L649" s="113">
        <v>0.5816</v>
      </c>
    </row>
    <row r="650" ht="22.5" customHeight="1">
      <c r="A650" s="111" t="s">
        <v>28</v>
      </c>
      <c r="B650" s="112">
        <v>46920.0</v>
      </c>
      <c r="C650" s="111">
        <v>680.0</v>
      </c>
      <c r="D650" s="111" t="s">
        <v>117</v>
      </c>
      <c r="E650" s="34">
        <v>302.0</v>
      </c>
      <c r="F650" s="34">
        <v>302.73</v>
      </c>
      <c r="G650" s="34">
        <v>303.45</v>
      </c>
      <c r="H650" s="113">
        <v>0.532</v>
      </c>
      <c r="I650" s="34">
        <v>-0.5991</v>
      </c>
      <c r="J650" s="34">
        <v>0.0</v>
      </c>
      <c r="K650" s="34">
        <v>3.0</v>
      </c>
      <c r="L650" s="113">
        <v>0.6053000000000001</v>
      </c>
    </row>
    <row r="651" ht="22.5" customHeight="1">
      <c r="A651" s="111" t="s">
        <v>28</v>
      </c>
      <c r="B651" s="112">
        <v>46920.0</v>
      </c>
      <c r="C651" s="111">
        <v>690.0</v>
      </c>
      <c r="D651" s="111" t="s">
        <v>117</v>
      </c>
      <c r="E651" s="34">
        <v>310.2</v>
      </c>
      <c r="F651" s="34">
        <v>310.92</v>
      </c>
      <c r="G651" s="34">
        <v>311.65</v>
      </c>
      <c r="H651" s="113">
        <v>0.5321</v>
      </c>
      <c r="I651" s="34">
        <v>-0.6065</v>
      </c>
      <c r="J651" s="34">
        <v>0.0</v>
      </c>
      <c r="K651" s="34">
        <v>8.0</v>
      </c>
      <c r="L651" s="113">
        <v>0.6289</v>
      </c>
    </row>
    <row r="652" ht="22.5" customHeight="1">
      <c r="A652" s="111" t="s">
        <v>28</v>
      </c>
      <c r="B652" s="112">
        <v>46920.0</v>
      </c>
      <c r="C652" s="111">
        <v>700.0</v>
      </c>
      <c r="D652" s="111" t="s">
        <v>117</v>
      </c>
      <c r="E652" s="34">
        <v>318.4</v>
      </c>
      <c r="F652" s="34">
        <v>319.13</v>
      </c>
      <c r="G652" s="34">
        <v>319.85</v>
      </c>
      <c r="H652" s="113">
        <v>0.532</v>
      </c>
      <c r="I652" s="34">
        <v>-0.6137</v>
      </c>
      <c r="J652" s="34">
        <v>0.0</v>
      </c>
      <c r="K652" s="34">
        <v>135.0</v>
      </c>
      <c r="L652" s="113">
        <v>0.6525</v>
      </c>
    </row>
    <row r="653" ht="22.5" customHeight="1">
      <c r="A653" s="111" t="s">
        <v>28</v>
      </c>
      <c r="B653" s="112">
        <v>46920.0</v>
      </c>
      <c r="C653" s="111">
        <v>710.0</v>
      </c>
      <c r="D653" s="111" t="s">
        <v>117</v>
      </c>
      <c r="E653" s="34">
        <v>326.65</v>
      </c>
      <c r="F653" s="34">
        <v>327.38</v>
      </c>
      <c r="G653" s="34">
        <v>328.1</v>
      </c>
      <c r="H653" s="113">
        <v>0.532</v>
      </c>
      <c r="I653" s="34">
        <v>-0.6208</v>
      </c>
      <c r="J653" s="34">
        <v>0.0</v>
      </c>
      <c r="K653" s="34">
        <v>1.0</v>
      </c>
      <c r="L653" s="113">
        <v>0.6761</v>
      </c>
    </row>
    <row r="654" ht="22.5" customHeight="1">
      <c r="A654" s="111" t="s">
        <v>28</v>
      </c>
      <c r="B654" s="112">
        <v>46920.0</v>
      </c>
      <c r="C654" s="111">
        <v>720.0</v>
      </c>
      <c r="D654" s="111" t="s">
        <v>117</v>
      </c>
      <c r="E654" s="34">
        <v>334.95</v>
      </c>
      <c r="F654" s="34">
        <v>335.73</v>
      </c>
      <c r="G654" s="34">
        <v>336.5</v>
      </c>
      <c r="H654" s="113">
        <v>0.5322</v>
      </c>
      <c r="I654" s="34">
        <v>-0.6275</v>
      </c>
      <c r="J654" s="34">
        <v>0.0</v>
      </c>
      <c r="K654" s="34">
        <v>9.0</v>
      </c>
      <c r="L654" s="113">
        <v>0.6997</v>
      </c>
    </row>
    <row r="655" ht="22.5" customHeight="1">
      <c r="A655" s="111" t="s">
        <v>28</v>
      </c>
      <c r="B655" s="112">
        <v>46920.0</v>
      </c>
      <c r="C655" s="111">
        <v>730.0</v>
      </c>
      <c r="D655" s="111" t="s">
        <v>117</v>
      </c>
      <c r="E655" s="34">
        <v>343.35</v>
      </c>
      <c r="F655" s="34">
        <v>344.1</v>
      </c>
      <c r="G655" s="34">
        <v>344.85</v>
      </c>
      <c r="H655" s="113">
        <v>0.5323</v>
      </c>
      <c r="I655" s="34">
        <v>-0.6342</v>
      </c>
      <c r="J655" s="34">
        <v>0.0</v>
      </c>
      <c r="K655" s="34">
        <v>11.0</v>
      </c>
      <c r="L655" s="113">
        <v>0.7232999999999999</v>
      </c>
    </row>
    <row r="656" ht="22.5" customHeight="1">
      <c r="A656" s="111" t="s">
        <v>28</v>
      </c>
      <c r="B656" s="112">
        <v>46920.0</v>
      </c>
      <c r="C656" s="111">
        <v>740.0</v>
      </c>
      <c r="D656" s="111" t="s">
        <v>117</v>
      </c>
      <c r="E656" s="34">
        <v>351.75</v>
      </c>
      <c r="F656" s="34">
        <v>352.53</v>
      </c>
      <c r="G656" s="34">
        <v>353.3</v>
      </c>
      <c r="H656" s="113">
        <v>0.5325</v>
      </c>
      <c r="I656" s="34">
        <v>-0.6407</v>
      </c>
      <c r="J656" s="34">
        <v>0.0</v>
      </c>
      <c r="K656" s="34">
        <v>5.0</v>
      </c>
      <c r="L656" s="113">
        <v>0.7469</v>
      </c>
    </row>
    <row r="657" ht="22.5" customHeight="1">
      <c r="A657" s="111" t="s">
        <v>28</v>
      </c>
      <c r="B657" s="112">
        <v>46920.0</v>
      </c>
      <c r="C657" s="111">
        <v>750.0</v>
      </c>
      <c r="D657" s="111" t="s">
        <v>117</v>
      </c>
      <c r="E657" s="34">
        <v>360.25</v>
      </c>
      <c r="F657" s="34">
        <v>361.0</v>
      </c>
      <c r="G657" s="34">
        <v>361.75</v>
      </c>
      <c r="H657" s="113">
        <v>0.5327000000000001</v>
      </c>
      <c r="I657" s="34">
        <v>-0.647</v>
      </c>
      <c r="J657" s="34">
        <v>0.0</v>
      </c>
      <c r="K657" s="34">
        <v>2.0</v>
      </c>
      <c r="L657" s="113">
        <v>0.7705</v>
      </c>
    </row>
    <row r="658" ht="22.5" customHeight="1">
      <c r="A658" s="111" t="s">
        <v>28</v>
      </c>
      <c r="B658" s="112">
        <v>46920.0</v>
      </c>
      <c r="C658" s="111">
        <v>760.0</v>
      </c>
      <c r="D658" s="111" t="s">
        <v>117</v>
      </c>
      <c r="E658" s="34">
        <v>368.75</v>
      </c>
      <c r="F658" s="34">
        <v>369.53</v>
      </c>
      <c r="G658" s="34">
        <v>370.3</v>
      </c>
      <c r="H658" s="113">
        <v>0.5329999999999999</v>
      </c>
      <c r="I658" s="34">
        <v>-0.6532</v>
      </c>
      <c r="J658" s="34">
        <v>0.0</v>
      </c>
      <c r="K658" s="34">
        <v>43.0</v>
      </c>
      <c r="L658" s="113">
        <v>0.7940999999999999</v>
      </c>
    </row>
    <row r="659" ht="22.5" customHeight="1">
      <c r="A659" s="111" t="s">
        <v>28</v>
      </c>
      <c r="B659" s="112">
        <v>46920.0</v>
      </c>
      <c r="C659" s="111">
        <v>770.0</v>
      </c>
      <c r="D659" s="111" t="s">
        <v>117</v>
      </c>
      <c r="E659" s="34">
        <v>377.35</v>
      </c>
      <c r="F659" s="34">
        <v>378.1</v>
      </c>
      <c r="G659" s="34">
        <v>378.85</v>
      </c>
      <c r="H659" s="113">
        <v>0.5333</v>
      </c>
      <c r="I659" s="34">
        <v>-0.6697</v>
      </c>
      <c r="J659" s="34">
        <v>0.0</v>
      </c>
      <c r="K659" s="34">
        <v>0.0</v>
      </c>
      <c r="L659" s="113">
        <v>0.8177</v>
      </c>
    </row>
    <row r="660" ht="22.5" customHeight="1">
      <c r="A660" s="111" t="s">
        <v>28</v>
      </c>
      <c r="B660" s="112">
        <v>46920.0</v>
      </c>
      <c r="C660" s="111">
        <v>780.0</v>
      </c>
      <c r="D660" s="111" t="s">
        <v>117</v>
      </c>
      <c r="E660" s="34">
        <v>385.9</v>
      </c>
      <c r="F660" s="34">
        <v>386.7</v>
      </c>
      <c r="G660" s="34">
        <v>387.5</v>
      </c>
      <c r="H660" s="113">
        <v>0.5334</v>
      </c>
      <c r="I660" s="34">
        <v>-0.6757</v>
      </c>
      <c r="J660" s="34">
        <v>0.0</v>
      </c>
      <c r="K660" s="34">
        <v>19.0</v>
      </c>
      <c r="L660" s="113">
        <v>0.8412999999999999</v>
      </c>
    </row>
    <row r="661" ht="22.5" customHeight="1">
      <c r="A661" s="111" t="s">
        <v>28</v>
      </c>
      <c r="B661" s="112">
        <v>46920.0</v>
      </c>
      <c r="C661" s="111">
        <v>790.0</v>
      </c>
      <c r="D661" s="111" t="s">
        <v>117</v>
      </c>
      <c r="E661" s="34">
        <v>394.65</v>
      </c>
      <c r="F661" s="34">
        <v>395.4</v>
      </c>
      <c r="G661" s="34">
        <v>396.15</v>
      </c>
      <c r="H661" s="113">
        <v>0.5337</v>
      </c>
      <c r="I661" s="34">
        <v>-0.6886</v>
      </c>
      <c r="J661" s="34">
        <v>0.0</v>
      </c>
      <c r="K661" s="34">
        <v>11.0</v>
      </c>
      <c r="L661" s="113">
        <v>0.8649</v>
      </c>
    </row>
    <row r="662" ht="22.5" customHeight="1">
      <c r="A662" s="111" t="s">
        <v>28</v>
      </c>
      <c r="B662" s="112">
        <v>46920.0</v>
      </c>
      <c r="C662" s="111">
        <v>800.0</v>
      </c>
      <c r="D662" s="111" t="s">
        <v>117</v>
      </c>
      <c r="E662" s="34">
        <v>403.35</v>
      </c>
      <c r="F662" s="34">
        <v>404.1</v>
      </c>
      <c r="G662" s="34">
        <v>404.85</v>
      </c>
      <c r="H662" s="113">
        <v>0.5338</v>
      </c>
      <c r="I662" s="34">
        <v>-0.6942</v>
      </c>
      <c r="J662" s="34">
        <v>0.0</v>
      </c>
      <c r="K662" s="34">
        <v>91.0</v>
      </c>
      <c r="L662" s="113">
        <v>0.8885</v>
      </c>
    </row>
    <row r="663" ht="22.5" customHeight="1">
      <c r="A663" s="111" t="s">
        <v>28</v>
      </c>
      <c r="B663" s="112">
        <v>46920.0</v>
      </c>
      <c r="C663" s="111">
        <v>810.0</v>
      </c>
      <c r="D663" s="111" t="s">
        <v>117</v>
      </c>
      <c r="E663" s="34">
        <v>412.1</v>
      </c>
      <c r="F663" s="34">
        <v>412.85</v>
      </c>
      <c r="G663" s="34">
        <v>413.6</v>
      </c>
      <c r="H663" s="113">
        <v>0.5338</v>
      </c>
      <c r="I663" s="34">
        <v>-0.7048</v>
      </c>
      <c r="J663" s="34">
        <v>0.0</v>
      </c>
      <c r="K663" s="34">
        <v>56.0</v>
      </c>
      <c r="L663" s="113">
        <v>0.9120999999999999</v>
      </c>
    </row>
    <row r="664" ht="22.5" customHeight="1">
      <c r="A664" s="111" t="s">
        <v>28</v>
      </c>
      <c r="B664" s="112">
        <v>46920.0</v>
      </c>
      <c r="C664" s="111">
        <v>820.0</v>
      </c>
      <c r="D664" s="111" t="s">
        <v>117</v>
      </c>
      <c r="E664" s="34">
        <v>420.9</v>
      </c>
      <c r="F664" s="34">
        <v>421.65</v>
      </c>
      <c r="G664" s="34">
        <v>422.4</v>
      </c>
      <c r="H664" s="113">
        <v>0.534</v>
      </c>
      <c r="I664" s="34">
        <v>-0.7101</v>
      </c>
      <c r="J664" s="34">
        <v>0.0</v>
      </c>
      <c r="K664" s="34">
        <v>11.0</v>
      </c>
      <c r="L664" s="113">
        <v>0.9357</v>
      </c>
    </row>
    <row r="665" ht="22.5" customHeight="1">
      <c r="A665" s="111" t="s">
        <v>28</v>
      </c>
      <c r="B665" s="112">
        <v>46920.0</v>
      </c>
      <c r="C665" s="111">
        <v>830.0</v>
      </c>
      <c r="D665" s="111" t="s">
        <v>117</v>
      </c>
      <c r="E665" s="34">
        <v>429.7</v>
      </c>
      <c r="F665" s="34">
        <v>430.45</v>
      </c>
      <c r="G665" s="34">
        <v>431.2</v>
      </c>
      <c r="H665" s="113">
        <v>0.5339</v>
      </c>
      <c r="I665" s="34">
        <v>-0.719</v>
      </c>
      <c r="J665" s="34">
        <v>0.0</v>
      </c>
      <c r="K665" s="34">
        <v>74.0</v>
      </c>
      <c r="L665" s="113">
        <v>0.9593</v>
      </c>
    </row>
    <row r="666" ht="22.5" customHeight="1">
      <c r="A666" s="111" t="s">
        <v>28</v>
      </c>
      <c r="B666" s="112">
        <v>46920.0</v>
      </c>
      <c r="C666" s="111">
        <v>840.0</v>
      </c>
      <c r="D666" s="111" t="s">
        <v>117</v>
      </c>
      <c r="E666" s="34">
        <v>438.45</v>
      </c>
      <c r="F666" s="34">
        <v>439.85</v>
      </c>
      <c r="G666" s="34">
        <v>441.25</v>
      </c>
      <c r="H666" s="113">
        <v>0.5367999999999999</v>
      </c>
      <c r="I666" s="34">
        <v>-0.722</v>
      </c>
      <c r="J666" s="34">
        <v>0.0</v>
      </c>
      <c r="K666" s="34">
        <v>10.0</v>
      </c>
      <c r="L666" s="113">
        <v>0.983</v>
      </c>
    </row>
    <row r="667" ht="22.5" customHeight="1">
      <c r="A667" s="111" t="s">
        <v>28</v>
      </c>
      <c r="B667" s="112">
        <v>46920.0</v>
      </c>
      <c r="C667" s="111">
        <v>850.0</v>
      </c>
      <c r="D667" s="111" t="s">
        <v>117</v>
      </c>
      <c r="E667" s="34">
        <v>447.3</v>
      </c>
      <c r="F667" s="34">
        <v>448.75</v>
      </c>
      <c r="G667" s="34">
        <v>450.2</v>
      </c>
      <c r="H667" s="113">
        <v>0.537</v>
      </c>
      <c r="I667" s="34">
        <v>-0.7295</v>
      </c>
      <c r="J667" s="34">
        <v>0.0</v>
      </c>
      <c r="K667" s="34">
        <v>0.0</v>
      </c>
      <c r="L667" s="113">
        <v>1.0066</v>
      </c>
    </row>
    <row r="668" ht="22.5" customHeight="1">
      <c r="A668" s="111" t="s">
        <v>28</v>
      </c>
      <c r="B668" s="112">
        <v>46920.0</v>
      </c>
      <c r="C668" s="111">
        <v>860.0</v>
      </c>
      <c r="D668" s="111" t="s">
        <v>117</v>
      </c>
      <c r="E668" s="34">
        <v>456.25</v>
      </c>
      <c r="F668" s="34">
        <v>457.7</v>
      </c>
      <c r="G668" s="34">
        <v>459.15</v>
      </c>
      <c r="H668" s="113">
        <v>0.5372</v>
      </c>
      <c r="I668" s="34">
        <v>-0.7343</v>
      </c>
      <c r="J668" s="34">
        <v>0.0</v>
      </c>
      <c r="K668" s="34">
        <v>2.0</v>
      </c>
      <c r="L668" s="113">
        <v>1.0302</v>
      </c>
    </row>
    <row r="669" ht="22.5" customHeight="1">
      <c r="A669" s="111" t="s">
        <v>28</v>
      </c>
      <c r="B669" s="112">
        <v>46920.0</v>
      </c>
      <c r="C669" s="111">
        <v>870.0</v>
      </c>
      <c r="D669" s="111" t="s">
        <v>117</v>
      </c>
      <c r="E669" s="34">
        <v>465.2</v>
      </c>
      <c r="F669" s="34">
        <v>466.73</v>
      </c>
      <c r="G669" s="34">
        <v>468.25</v>
      </c>
      <c r="H669" s="113">
        <v>0.5378000000000001</v>
      </c>
      <c r="I669" s="34">
        <v>-0.7406</v>
      </c>
      <c r="J669" s="34">
        <v>0.0</v>
      </c>
      <c r="K669" s="34">
        <v>0.0</v>
      </c>
      <c r="L669" s="113">
        <v>1.0537999999999998</v>
      </c>
    </row>
    <row r="670" ht="22.5" customHeight="1">
      <c r="A670" s="111" t="s">
        <v>28</v>
      </c>
      <c r="B670" s="112">
        <v>46920.0</v>
      </c>
      <c r="C670" s="111">
        <v>880.0</v>
      </c>
      <c r="D670" s="111" t="s">
        <v>117</v>
      </c>
      <c r="E670" s="34">
        <v>474.2</v>
      </c>
      <c r="F670" s="34">
        <v>475.75</v>
      </c>
      <c r="G670" s="34">
        <v>477.3</v>
      </c>
      <c r="H670" s="113">
        <v>0.5382</v>
      </c>
      <c r="I670" s="34">
        <v>-0.7451</v>
      </c>
      <c r="J670" s="34">
        <v>0.0</v>
      </c>
      <c r="K670" s="34">
        <v>4.0</v>
      </c>
      <c r="L670" s="113">
        <v>1.0774</v>
      </c>
    </row>
    <row r="671" ht="22.5" customHeight="1">
      <c r="A671" s="111" t="s">
        <v>28</v>
      </c>
      <c r="B671" s="112">
        <v>46920.0</v>
      </c>
      <c r="C671" s="111">
        <v>890.0</v>
      </c>
      <c r="D671" s="111" t="s">
        <v>117</v>
      </c>
      <c r="E671" s="34">
        <v>483.3</v>
      </c>
      <c r="F671" s="34">
        <v>484.8</v>
      </c>
      <c r="G671" s="34">
        <v>486.3</v>
      </c>
      <c r="H671" s="113">
        <v>0.5386</v>
      </c>
      <c r="I671" s="34">
        <v>-0.7494</v>
      </c>
      <c r="J671" s="34">
        <v>0.0</v>
      </c>
      <c r="K671" s="34">
        <v>1.0</v>
      </c>
      <c r="L671" s="113">
        <v>1.101</v>
      </c>
    </row>
    <row r="672" ht="22.5" customHeight="1">
      <c r="A672" s="111" t="s">
        <v>28</v>
      </c>
      <c r="B672" s="112">
        <v>46920.0</v>
      </c>
      <c r="C672" s="111">
        <v>900.0</v>
      </c>
      <c r="D672" s="111" t="s">
        <v>117</v>
      </c>
      <c r="E672" s="34">
        <v>492.45</v>
      </c>
      <c r="F672" s="34">
        <v>493.7</v>
      </c>
      <c r="G672" s="34">
        <v>494.95</v>
      </c>
      <c r="H672" s="113">
        <v>0.5377000000000001</v>
      </c>
      <c r="I672" s="34">
        <v>-0.777</v>
      </c>
      <c r="J672" s="34">
        <v>0.0</v>
      </c>
      <c r="K672" s="34">
        <v>44.0</v>
      </c>
      <c r="L672" s="113">
        <v>1.1246</v>
      </c>
    </row>
    <row r="673" ht="22.5" customHeight="1">
      <c r="A673" s="111" t="s">
        <v>28</v>
      </c>
      <c r="B673" s="112">
        <v>46920.0</v>
      </c>
      <c r="C673" s="111">
        <v>910.0</v>
      </c>
      <c r="D673" s="111" t="s">
        <v>117</v>
      </c>
      <c r="E673" s="34">
        <v>501.55</v>
      </c>
      <c r="F673" s="34">
        <v>502.83</v>
      </c>
      <c r="G673" s="34">
        <v>504.1</v>
      </c>
      <c r="H673" s="113">
        <v>0.5377000000000001</v>
      </c>
      <c r="I673" s="34">
        <v>-0.7811</v>
      </c>
      <c r="J673" s="34">
        <v>0.0</v>
      </c>
      <c r="K673" s="34">
        <v>1.0</v>
      </c>
      <c r="L673" s="113">
        <v>1.1481999999999999</v>
      </c>
    </row>
    <row r="674" ht="22.5" customHeight="1">
      <c r="A674" s="111" t="s">
        <v>28</v>
      </c>
      <c r="B674" s="112">
        <v>46920.0</v>
      </c>
      <c r="C674" s="111">
        <v>920.0</v>
      </c>
      <c r="D674" s="111" t="s">
        <v>117</v>
      </c>
      <c r="E674" s="34">
        <v>510.65</v>
      </c>
      <c r="F674" s="34">
        <v>512.25</v>
      </c>
      <c r="G674" s="34">
        <v>513.85</v>
      </c>
      <c r="H674" s="113">
        <v>0.5394</v>
      </c>
      <c r="I674" s="34">
        <v>-0.7839</v>
      </c>
      <c r="J674" s="34">
        <v>0.0</v>
      </c>
      <c r="K674" s="34">
        <v>1.0</v>
      </c>
      <c r="L674" s="113">
        <v>1.1718000000000002</v>
      </c>
    </row>
    <row r="675" ht="22.5" customHeight="1">
      <c r="A675" s="111" t="s">
        <v>28</v>
      </c>
      <c r="B675" s="112">
        <v>46920.0</v>
      </c>
      <c r="C675" s="111">
        <v>930.0</v>
      </c>
      <c r="D675" s="111" t="s">
        <v>117</v>
      </c>
      <c r="E675" s="34">
        <v>519.9</v>
      </c>
      <c r="F675" s="34">
        <v>521.2</v>
      </c>
      <c r="G675" s="34">
        <v>522.5</v>
      </c>
      <c r="H675" s="113">
        <v>0.5379</v>
      </c>
      <c r="I675" s="34">
        <v>-0.7997</v>
      </c>
      <c r="J675" s="34">
        <v>0.0</v>
      </c>
      <c r="K675" s="34">
        <v>5.0</v>
      </c>
      <c r="L675" s="113">
        <v>1.1954</v>
      </c>
    </row>
    <row r="676" ht="22.5" customHeight="1">
      <c r="A676" s="111" t="s">
        <v>28</v>
      </c>
      <c r="B676" s="112">
        <v>46920.0</v>
      </c>
      <c r="C676" s="111">
        <v>940.0</v>
      </c>
      <c r="D676" s="111" t="s">
        <v>117</v>
      </c>
      <c r="E676" s="34">
        <v>529.1</v>
      </c>
      <c r="F676" s="34">
        <v>530.43</v>
      </c>
      <c r="G676" s="34">
        <v>531.75</v>
      </c>
      <c r="H676" s="113">
        <v>0.5379</v>
      </c>
      <c r="I676" s="34">
        <v>-0.8034</v>
      </c>
      <c r="J676" s="34">
        <v>0.0</v>
      </c>
      <c r="K676" s="34">
        <v>2.0</v>
      </c>
      <c r="L676" s="113">
        <v>1.219</v>
      </c>
    </row>
    <row r="677" ht="22.5" customHeight="1">
      <c r="A677" s="111" t="s">
        <v>28</v>
      </c>
      <c r="B677" s="112">
        <v>46920.0</v>
      </c>
      <c r="C677" s="111">
        <v>950.0</v>
      </c>
      <c r="D677" s="111" t="s">
        <v>117</v>
      </c>
      <c r="E677" s="34">
        <v>538.3</v>
      </c>
      <c r="F677" s="34">
        <v>539.63</v>
      </c>
      <c r="G677" s="34">
        <v>540.95</v>
      </c>
      <c r="H677" s="113">
        <v>0.5376</v>
      </c>
      <c r="I677" s="34">
        <v>-0.8079</v>
      </c>
      <c r="J677" s="34">
        <v>0.0</v>
      </c>
      <c r="K677" s="34">
        <v>1.0</v>
      </c>
      <c r="L677" s="113">
        <v>1.2426000000000001</v>
      </c>
    </row>
    <row r="678" ht="22.5" customHeight="1">
      <c r="A678" s="111" t="s">
        <v>28</v>
      </c>
      <c r="B678" s="112">
        <v>46920.0</v>
      </c>
      <c r="C678" s="111">
        <v>960.0</v>
      </c>
      <c r="D678" s="111" t="s">
        <v>117</v>
      </c>
      <c r="E678" s="34">
        <v>547.55</v>
      </c>
      <c r="F678" s="34">
        <v>548.97</v>
      </c>
      <c r="G678" s="34">
        <v>550.4</v>
      </c>
      <c r="H678" s="113">
        <v>0.5382</v>
      </c>
      <c r="I678" s="34">
        <v>-0.8166</v>
      </c>
      <c r="J678" s="34">
        <v>0.0</v>
      </c>
      <c r="K678" s="34">
        <v>0.0</v>
      </c>
      <c r="L678" s="113">
        <v>1.2662</v>
      </c>
    </row>
    <row r="679" ht="22.5" customHeight="1">
      <c r="A679" s="111" t="s">
        <v>28</v>
      </c>
      <c r="B679" s="112">
        <v>46920.0</v>
      </c>
      <c r="C679" s="111">
        <v>970.0</v>
      </c>
      <c r="D679" s="111" t="s">
        <v>117</v>
      </c>
      <c r="E679" s="34">
        <v>556.85</v>
      </c>
      <c r="F679" s="34">
        <v>558.6</v>
      </c>
      <c r="G679" s="34">
        <v>560.35</v>
      </c>
      <c r="H679" s="113">
        <v>0.5404</v>
      </c>
      <c r="I679" s="34">
        <v>-0.8189</v>
      </c>
      <c r="J679" s="34">
        <v>0.0</v>
      </c>
      <c r="K679" s="34">
        <v>11.0</v>
      </c>
      <c r="L679" s="113">
        <v>1.2897999999999998</v>
      </c>
    </row>
    <row r="680" ht="22.5" customHeight="1">
      <c r="A680" s="111" t="s">
        <v>28</v>
      </c>
      <c r="B680" s="112">
        <v>46920.0</v>
      </c>
      <c r="C680" s="111">
        <v>980.0</v>
      </c>
      <c r="D680" s="111" t="s">
        <v>117</v>
      </c>
      <c r="E680" s="34">
        <v>566.3</v>
      </c>
      <c r="F680" s="34">
        <v>567.95</v>
      </c>
      <c r="G680" s="34">
        <v>569.6</v>
      </c>
      <c r="H680" s="113">
        <v>0.5407</v>
      </c>
      <c r="I680" s="34">
        <v>-0.8223</v>
      </c>
      <c r="J680" s="34">
        <v>0.0</v>
      </c>
      <c r="K680" s="34">
        <v>10.0</v>
      </c>
      <c r="L680" s="113">
        <v>1.3134000000000001</v>
      </c>
    </row>
    <row r="681" ht="22.5" customHeight="1">
      <c r="A681" s="111" t="s">
        <v>28</v>
      </c>
      <c r="B681" s="112">
        <v>46920.0</v>
      </c>
      <c r="C681" s="111">
        <v>990.0</v>
      </c>
      <c r="D681" s="111" t="s">
        <v>117</v>
      </c>
      <c r="E681" s="34">
        <v>575.7</v>
      </c>
      <c r="F681" s="34">
        <v>577.15</v>
      </c>
      <c r="G681" s="34">
        <v>578.6</v>
      </c>
      <c r="H681" s="113">
        <v>0.5398</v>
      </c>
      <c r="I681" s="34">
        <v>-0.8262</v>
      </c>
      <c r="J681" s="34">
        <v>0.0</v>
      </c>
      <c r="K681" s="34">
        <v>68.0</v>
      </c>
      <c r="L681" s="113">
        <v>1.3371000000000002</v>
      </c>
    </row>
    <row r="682" ht="22.5" customHeight="1">
      <c r="A682" s="111" t="s">
        <v>28</v>
      </c>
      <c r="B682" s="112">
        <v>47102.0</v>
      </c>
      <c r="C682" s="111">
        <v>5.0</v>
      </c>
      <c r="D682" s="111" t="s">
        <v>116</v>
      </c>
      <c r="E682" s="34">
        <v>413.0</v>
      </c>
      <c r="F682" s="34">
        <v>418.0</v>
      </c>
      <c r="G682" s="34">
        <v>423.0</v>
      </c>
      <c r="H682" s="113">
        <v>1.9902000000000002</v>
      </c>
      <c r="I682" s="34">
        <v>0.9988</v>
      </c>
      <c r="J682" s="34">
        <v>0.0</v>
      </c>
      <c r="K682" s="34">
        <v>53.0</v>
      </c>
      <c r="L682" s="113">
        <v>0.9882</v>
      </c>
    </row>
    <row r="683" ht="22.5" customHeight="1">
      <c r="A683" s="111" t="s">
        <v>28</v>
      </c>
      <c r="B683" s="112">
        <v>47102.0</v>
      </c>
      <c r="C683" s="111">
        <v>10.0</v>
      </c>
      <c r="D683" s="111" t="s">
        <v>116</v>
      </c>
      <c r="E683" s="34">
        <v>408.0</v>
      </c>
      <c r="F683" s="34">
        <v>413.0</v>
      </c>
      <c r="G683" s="34">
        <v>418.0</v>
      </c>
      <c r="H683" s="113">
        <v>1.3831</v>
      </c>
      <c r="I683" s="34">
        <v>0.9975</v>
      </c>
      <c r="J683" s="34">
        <v>0.0</v>
      </c>
      <c r="K683" s="34">
        <v>1.0</v>
      </c>
      <c r="L683" s="113">
        <v>0.9764</v>
      </c>
    </row>
    <row r="684" ht="22.5" customHeight="1">
      <c r="A684" s="111" t="s">
        <v>28</v>
      </c>
      <c r="B684" s="112">
        <v>47102.0</v>
      </c>
      <c r="C684" s="111">
        <v>15.0</v>
      </c>
      <c r="D684" s="111" t="s">
        <v>116</v>
      </c>
      <c r="E684" s="34">
        <v>404.0</v>
      </c>
      <c r="F684" s="34">
        <v>409.0</v>
      </c>
      <c r="G684" s="34">
        <v>414.0</v>
      </c>
      <c r="H684" s="113">
        <v>1.2522</v>
      </c>
      <c r="I684" s="34">
        <v>0.9963</v>
      </c>
      <c r="J684" s="34">
        <v>0.0</v>
      </c>
      <c r="K684" s="34">
        <v>0.0</v>
      </c>
      <c r="L684" s="113">
        <v>0.9645999999999999</v>
      </c>
    </row>
    <row r="685" ht="22.5" customHeight="1">
      <c r="A685" s="111" t="s">
        <v>28</v>
      </c>
      <c r="B685" s="112">
        <v>47102.0</v>
      </c>
      <c r="C685" s="111">
        <v>20.0</v>
      </c>
      <c r="D685" s="111" t="s">
        <v>116</v>
      </c>
      <c r="E685" s="34">
        <v>400.0</v>
      </c>
      <c r="F685" s="34">
        <v>405.0</v>
      </c>
      <c r="G685" s="34">
        <v>410.0</v>
      </c>
      <c r="H685" s="113">
        <v>1.1673</v>
      </c>
      <c r="I685" s="34">
        <v>0.9951</v>
      </c>
      <c r="J685" s="34">
        <v>0.0</v>
      </c>
      <c r="K685" s="34">
        <v>0.0</v>
      </c>
      <c r="L685" s="113">
        <v>0.9528</v>
      </c>
    </row>
    <row r="686" ht="22.5" customHeight="1">
      <c r="A686" s="111" t="s">
        <v>28</v>
      </c>
      <c r="B686" s="112">
        <v>47102.0</v>
      </c>
      <c r="C686" s="111">
        <v>25.0</v>
      </c>
      <c r="D686" s="111" t="s">
        <v>116</v>
      </c>
      <c r="E686" s="34">
        <v>396.0</v>
      </c>
      <c r="F686" s="34">
        <v>400.5</v>
      </c>
      <c r="G686" s="34">
        <v>405.0</v>
      </c>
      <c r="H686" s="113">
        <v>1.0636</v>
      </c>
      <c r="I686" s="34">
        <v>0.9942</v>
      </c>
      <c r="J686" s="34">
        <v>0.0</v>
      </c>
      <c r="K686" s="34">
        <v>0.0</v>
      </c>
      <c r="L686" s="113">
        <v>0.941</v>
      </c>
    </row>
    <row r="687" ht="22.5" customHeight="1">
      <c r="A687" s="111" t="s">
        <v>28</v>
      </c>
      <c r="B687" s="112">
        <v>47102.0</v>
      </c>
      <c r="C687" s="111">
        <v>30.0</v>
      </c>
      <c r="D687" s="111" t="s">
        <v>116</v>
      </c>
      <c r="E687" s="34">
        <v>391.0</v>
      </c>
      <c r="F687" s="34">
        <v>396.0</v>
      </c>
      <c r="G687" s="34">
        <v>401.0</v>
      </c>
      <c r="H687" s="113">
        <v>0.9840000000000001</v>
      </c>
      <c r="I687" s="34">
        <v>0.9934</v>
      </c>
      <c r="J687" s="34">
        <v>0.0</v>
      </c>
      <c r="K687" s="34">
        <v>0.0</v>
      </c>
      <c r="L687" s="113">
        <v>0.9292</v>
      </c>
    </row>
    <row r="688" ht="22.5" customHeight="1">
      <c r="A688" s="111" t="s">
        <v>28</v>
      </c>
      <c r="B688" s="112">
        <v>47102.0</v>
      </c>
      <c r="C688" s="111">
        <v>35.0</v>
      </c>
      <c r="D688" s="111" t="s">
        <v>116</v>
      </c>
      <c r="E688" s="34">
        <v>387.0</v>
      </c>
      <c r="F688" s="34">
        <v>392.0</v>
      </c>
      <c r="G688" s="34">
        <v>397.0</v>
      </c>
      <c r="H688" s="113">
        <v>0.9529000000000001</v>
      </c>
      <c r="I688" s="34">
        <v>0.992</v>
      </c>
      <c r="J688" s="34">
        <v>0.0</v>
      </c>
      <c r="K688" s="34">
        <v>0.0</v>
      </c>
      <c r="L688" s="113">
        <v>0.9174</v>
      </c>
    </row>
    <row r="689" ht="22.5" customHeight="1">
      <c r="A689" s="111" t="s">
        <v>28</v>
      </c>
      <c r="B689" s="112">
        <v>47102.0</v>
      </c>
      <c r="C689" s="111">
        <v>40.0</v>
      </c>
      <c r="D689" s="111" t="s">
        <v>116</v>
      </c>
      <c r="E689" s="34">
        <v>383.0</v>
      </c>
      <c r="F689" s="34">
        <v>388.0</v>
      </c>
      <c r="G689" s="34">
        <v>393.0</v>
      </c>
      <c r="H689" s="113">
        <v>0.9251</v>
      </c>
      <c r="I689" s="34">
        <v>0.9906</v>
      </c>
      <c r="J689" s="34">
        <v>0.0</v>
      </c>
      <c r="K689" s="34">
        <v>0.0</v>
      </c>
      <c r="L689" s="113">
        <v>0.9056000000000001</v>
      </c>
    </row>
    <row r="690" ht="22.5" customHeight="1">
      <c r="A690" s="111" t="s">
        <v>28</v>
      </c>
      <c r="B690" s="112">
        <v>47102.0</v>
      </c>
      <c r="C690" s="111">
        <v>45.0</v>
      </c>
      <c r="D690" s="111" t="s">
        <v>116</v>
      </c>
      <c r="E690" s="34">
        <v>378.0</v>
      </c>
      <c r="F690" s="34">
        <v>383.0</v>
      </c>
      <c r="G690" s="34">
        <v>388.0</v>
      </c>
      <c r="H690" s="113">
        <v>0.8484</v>
      </c>
      <c r="I690" s="34">
        <v>0.9905</v>
      </c>
      <c r="J690" s="34">
        <v>0.0</v>
      </c>
      <c r="K690" s="34">
        <v>0.0</v>
      </c>
      <c r="L690" s="113">
        <v>0.8937999999999999</v>
      </c>
    </row>
    <row r="691" ht="22.5" customHeight="1">
      <c r="A691" s="111" t="s">
        <v>28</v>
      </c>
      <c r="B691" s="112">
        <v>47102.0</v>
      </c>
      <c r="C691" s="111">
        <v>50.0</v>
      </c>
      <c r="D691" s="111" t="s">
        <v>116</v>
      </c>
      <c r="E691" s="34">
        <v>374.0</v>
      </c>
      <c r="F691" s="34">
        <v>379.0</v>
      </c>
      <c r="G691" s="34">
        <v>384.0</v>
      </c>
      <c r="H691" s="113">
        <v>0.8312999999999999</v>
      </c>
      <c r="I691" s="34">
        <v>0.9889</v>
      </c>
      <c r="J691" s="34">
        <v>0.0</v>
      </c>
      <c r="K691" s="34">
        <v>0.0</v>
      </c>
      <c r="L691" s="113">
        <v>0.882</v>
      </c>
    </row>
    <row r="692" ht="22.5" customHeight="1">
      <c r="A692" s="111" t="s">
        <v>28</v>
      </c>
      <c r="B692" s="112">
        <v>47102.0</v>
      </c>
      <c r="C692" s="111">
        <v>60.0</v>
      </c>
      <c r="D692" s="111" t="s">
        <v>116</v>
      </c>
      <c r="E692" s="34">
        <v>366.0</v>
      </c>
      <c r="F692" s="34">
        <v>371.0</v>
      </c>
      <c r="G692" s="34">
        <v>376.0</v>
      </c>
      <c r="H692" s="113">
        <v>0.7988</v>
      </c>
      <c r="I692" s="34">
        <v>0.9857</v>
      </c>
      <c r="J692" s="34">
        <v>0.0</v>
      </c>
      <c r="K692" s="34">
        <v>0.0</v>
      </c>
      <c r="L692" s="113">
        <v>0.8584</v>
      </c>
    </row>
    <row r="693" ht="22.5" customHeight="1">
      <c r="A693" s="111" t="s">
        <v>28</v>
      </c>
      <c r="B693" s="112">
        <v>47102.0</v>
      </c>
      <c r="C693" s="111">
        <v>70.0</v>
      </c>
      <c r="D693" s="111" t="s">
        <v>116</v>
      </c>
      <c r="E693" s="34">
        <v>358.0</v>
      </c>
      <c r="F693" s="34">
        <v>363.0</v>
      </c>
      <c r="G693" s="34">
        <v>368.0</v>
      </c>
      <c r="H693" s="113">
        <v>0.7689</v>
      </c>
      <c r="I693" s="34">
        <v>0.9824</v>
      </c>
      <c r="J693" s="34">
        <v>0.0</v>
      </c>
      <c r="K693" s="34">
        <v>0.0</v>
      </c>
      <c r="L693" s="113">
        <v>0.8348</v>
      </c>
    </row>
    <row r="694" ht="22.5" customHeight="1">
      <c r="A694" s="111" t="s">
        <v>28</v>
      </c>
      <c r="B694" s="112">
        <v>47102.0</v>
      </c>
      <c r="C694" s="111">
        <v>80.0</v>
      </c>
      <c r="D694" s="111" t="s">
        <v>116</v>
      </c>
      <c r="E694" s="34">
        <v>352.4</v>
      </c>
      <c r="F694" s="34">
        <v>354.85</v>
      </c>
      <c r="G694" s="34">
        <v>357.3</v>
      </c>
      <c r="H694" s="113">
        <v>0.7916</v>
      </c>
      <c r="I694" s="34">
        <v>0.9764</v>
      </c>
      <c r="J694" s="34">
        <v>1.0</v>
      </c>
      <c r="K694" s="34">
        <v>0.0</v>
      </c>
      <c r="L694" s="113">
        <v>0.8111</v>
      </c>
    </row>
    <row r="695" ht="22.5" customHeight="1">
      <c r="A695" s="111" t="s">
        <v>28</v>
      </c>
      <c r="B695" s="112">
        <v>47102.0</v>
      </c>
      <c r="C695" s="111">
        <v>90.0</v>
      </c>
      <c r="D695" s="111" t="s">
        <v>116</v>
      </c>
      <c r="E695" s="34">
        <v>344.45</v>
      </c>
      <c r="F695" s="34">
        <v>346.9</v>
      </c>
      <c r="G695" s="34">
        <v>349.35</v>
      </c>
      <c r="H695" s="113">
        <v>0.713</v>
      </c>
      <c r="I695" s="34">
        <v>0.9753</v>
      </c>
      <c r="J695" s="34">
        <v>0.0</v>
      </c>
      <c r="K695" s="34">
        <v>1.0</v>
      </c>
      <c r="L695" s="113">
        <v>0.7875</v>
      </c>
    </row>
    <row r="696" ht="22.5" customHeight="1">
      <c r="A696" s="111" t="s">
        <v>28</v>
      </c>
      <c r="B696" s="112">
        <v>47102.0</v>
      </c>
      <c r="C696" s="111">
        <v>100.0</v>
      </c>
      <c r="D696" s="111" t="s">
        <v>116</v>
      </c>
      <c r="E696" s="34">
        <v>336.65</v>
      </c>
      <c r="F696" s="34">
        <v>339.1</v>
      </c>
      <c r="G696" s="34">
        <v>341.55</v>
      </c>
      <c r="H696" s="113">
        <v>0.7281</v>
      </c>
      <c r="I696" s="34">
        <v>0.9688</v>
      </c>
      <c r="J696" s="34">
        <v>55.0</v>
      </c>
      <c r="K696" s="34">
        <v>181.0</v>
      </c>
      <c r="L696" s="113">
        <v>0.7639</v>
      </c>
    </row>
    <row r="697" ht="22.5" customHeight="1">
      <c r="A697" s="111" t="s">
        <v>28</v>
      </c>
      <c r="B697" s="112">
        <v>47102.0</v>
      </c>
      <c r="C697" s="111">
        <v>110.0</v>
      </c>
      <c r="D697" s="111" t="s">
        <v>116</v>
      </c>
      <c r="E697" s="34">
        <v>329.1</v>
      </c>
      <c r="F697" s="34">
        <v>331.45</v>
      </c>
      <c r="G697" s="34">
        <v>333.8</v>
      </c>
      <c r="H697" s="113">
        <v>0.6772</v>
      </c>
      <c r="I697" s="34">
        <v>0.9665</v>
      </c>
      <c r="J697" s="34">
        <v>3.0</v>
      </c>
      <c r="K697" s="34">
        <v>29.0</v>
      </c>
      <c r="L697" s="113">
        <v>0.7403</v>
      </c>
    </row>
    <row r="698" ht="22.5" customHeight="1">
      <c r="A698" s="111" t="s">
        <v>28</v>
      </c>
      <c r="B698" s="112">
        <v>47102.0</v>
      </c>
      <c r="C698" s="111">
        <v>120.0</v>
      </c>
      <c r="D698" s="111" t="s">
        <v>116</v>
      </c>
      <c r="E698" s="34">
        <v>321.55</v>
      </c>
      <c r="F698" s="34">
        <v>323.88</v>
      </c>
      <c r="G698" s="34">
        <v>326.2</v>
      </c>
      <c r="H698" s="113">
        <v>0.6620999999999999</v>
      </c>
      <c r="I698" s="34">
        <v>0.9616</v>
      </c>
      <c r="J698" s="34">
        <v>0.0</v>
      </c>
      <c r="K698" s="34">
        <v>13.0</v>
      </c>
      <c r="L698" s="113">
        <v>0.7167</v>
      </c>
    </row>
    <row r="699" ht="22.5" customHeight="1">
      <c r="A699" s="111" t="s">
        <v>28</v>
      </c>
      <c r="B699" s="112">
        <v>47102.0</v>
      </c>
      <c r="C699" s="111">
        <v>130.0</v>
      </c>
      <c r="D699" s="111" t="s">
        <v>116</v>
      </c>
      <c r="E699" s="34">
        <v>314.15</v>
      </c>
      <c r="F699" s="34">
        <v>316.48</v>
      </c>
      <c r="G699" s="34">
        <v>318.8</v>
      </c>
      <c r="H699" s="113">
        <v>0.6496999999999999</v>
      </c>
      <c r="I699" s="34">
        <v>0.9563</v>
      </c>
      <c r="J699" s="34">
        <v>0.0</v>
      </c>
      <c r="K699" s="34">
        <v>2.0</v>
      </c>
      <c r="L699" s="113">
        <v>0.6931</v>
      </c>
    </row>
    <row r="700" ht="22.5" customHeight="1">
      <c r="A700" s="111" t="s">
        <v>28</v>
      </c>
      <c r="B700" s="112">
        <v>47102.0</v>
      </c>
      <c r="C700" s="111">
        <v>140.0</v>
      </c>
      <c r="D700" s="111" t="s">
        <v>116</v>
      </c>
      <c r="E700" s="34">
        <v>306.9</v>
      </c>
      <c r="F700" s="34">
        <v>309.2</v>
      </c>
      <c r="G700" s="34">
        <v>311.5</v>
      </c>
      <c r="H700" s="113">
        <v>0.6386</v>
      </c>
      <c r="I700" s="34">
        <v>0.9507</v>
      </c>
      <c r="J700" s="34">
        <v>0.0</v>
      </c>
      <c r="K700" s="34">
        <v>9.0</v>
      </c>
      <c r="L700" s="113">
        <v>0.6695</v>
      </c>
    </row>
    <row r="701" ht="22.5" customHeight="1">
      <c r="A701" s="111" t="s">
        <v>28</v>
      </c>
      <c r="B701" s="112">
        <v>47102.0</v>
      </c>
      <c r="C701" s="111">
        <v>150.0</v>
      </c>
      <c r="D701" s="111" t="s">
        <v>116</v>
      </c>
      <c r="E701" s="34">
        <v>299.75</v>
      </c>
      <c r="F701" s="34">
        <v>302.05</v>
      </c>
      <c r="G701" s="34">
        <v>304.35</v>
      </c>
      <c r="H701" s="113">
        <v>0.6286</v>
      </c>
      <c r="I701" s="34">
        <v>0.9448</v>
      </c>
      <c r="J701" s="34">
        <v>0.0</v>
      </c>
      <c r="K701" s="34">
        <v>19.0</v>
      </c>
      <c r="L701" s="113">
        <v>0.6459</v>
      </c>
    </row>
    <row r="702" ht="22.5" customHeight="1">
      <c r="A702" s="111" t="s">
        <v>28</v>
      </c>
      <c r="B702" s="112">
        <v>47102.0</v>
      </c>
      <c r="C702" s="111">
        <v>160.0</v>
      </c>
      <c r="D702" s="111" t="s">
        <v>116</v>
      </c>
      <c r="E702" s="34">
        <v>292.9</v>
      </c>
      <c r="F702" s="34">
        <v>294.92</v>
      </c>
      <c r="G702" s="34">
        <v>296.95</v>
      </c>
      <c r="H702" s="113">
        <v>0.6183</v>
      </c>
      <c r="I702" s="34">
        <v>0.9387</v>
      </c>
      <c r="J702" s="34">
        <v>0.0</v>
      </c>
      <c r="K702" s="34">
        <v>29.0</v>
      </c>
      <c r="L702" s="113">
        <v>0.6223</v>
      </c>
    </row>
    <row r="703" ht="22.5" customHeight="1">
      <c r="A703" s="111" t="s">
        <v>28</v>
      </c>
      <c r="B703" s="112">
        <v>47102.0</v>
      </c>
      <c r="C703" s="111">
        <v>170.0</v>
      </c>
      <c r="D703" s="111" t="s">
        <v>116</v>
      </c>
      <c r="E703" s="34">
        <v>286.1</v>
      </c>
      <c r="F703" s="34">
        <v>288.1</v>
      </c>
      <c r="G703" s="34">
        <v>290.1</v>
      </c>
      <c r="H703" s="113">
        <v>0.6108</v>
      </c>
      <c r="I703" s="34">
        <v>0.9321</v>
      </c>
      <c r="J703" s="34">
        <v>6.0</v>
      </c>
      <c r="K703" s="34">
        <v>41.0</v>
      </c>
      <c r="L703" s="113">
        <v>0.5987</v>
      </c>
    </row>
    <row r="704" ht="22.5" customHeight="1">
      <c r="A704" s="111" t="s">
        <v>28</v>
      </c>
      <c r="B704" s="112">
        <v>47102.0</v>
      </c>
      <c r="C704" s="111">
        <v>180.0</v>
      </c>
      <c r="D704" s="111" t="s">
        <v>116</v>
      </c>
      <c r="E704" s="34">
        <v>279.45</v>
      </c>
      <c r="F704" s="34">
        <v>281.42</v>
      </c>
      <c r="G704" s="34">
        <v>283.4</v>
      </c>
      <c r="H704" s="113">
        <v>0.6041</v>
      </c>
      <c r="I704" s="34">
        <v>0.9252</v>
      </c>
      <c r="J704" s="34">
        <v>0.0</v>
      </c>
      <c r="K704" s="34">
        <v>61.0</v>
      </c>
      <c r="L704" s="113">
        <v>0.5751</v>
      </c>
    </row>
    <row r="705" ht="22.5" customHeight="1">
      <c r="A705" s="111" t="s">
        <v>28</v>
      </c>
      <c r="B705" s="112">
        <v>47102.0</v>
      </c>
      <c r="C705" s="111">
        <v>190.0</v>
      </c>
      <c r="D705" s="111" t="s">
        <v>116</v>
      </c>
      <c r="E705" s="34">
        <v>272.95</v>
      </c>
      <c r="F705" s="34">
        <v>274.92</v>
      </c>
      <c r="G705" s="34">
        <v>276.9</v>
      </c>
      <c r="H705" s="113">
        <v>0.5982999999999999</v>
      </c>
      <c r="I705" s="34">
        <v>0.918</v>
      </c>
      <c r="J705" s="34">
        <v>0.0</v>
      </c>
      <c r="K705" s="34">
        <v>37.0</v>
      </c>
      <c r="L705" s="113">
        <v>0.5515</v>
      </c>
    </row>
    <row r="706" ht="22.5" customHeight="1">
      <c r="A706" s="111" t="s">
        <v>28</v>
      </c>
      <c r="B706" s="112">
        <v>47102.0</v>
      </c>
      <c r="C706" s="111">
        <v>195.0</v>
      </c>
      <c r="D706" s="111" t="s">
        <v>116</v>
      </c>
      <c r="E706" s="34">
        <v>269.55</v>
      </c>
      <c r="F706" s="34">
        <v>271.78</v>
      </c>
      <c r="G706" s="34">
        <v>274.0</v>
      </c>
      <c r="H706" s="113">
        <v>0.596</v>
      </c>
      <c r="I706" s="34">
        <v>0.9142</v>
      </c>
      <c r="J706" s="34">
        <v>1.0</v>
      </c>
      <c r="K706" s="34">
        <v>2.0</v>
      </c>
      <c r="L706" s="113">
        <v>0.5397</v>
      </c>
    </row>
    <row r="707" ht="22.5" customHeight="1">
      <c r="A707" s="111" t="s">
        <v>28</v>
      </c>
      <c r="B707" s="112">
        <v>47102.0</v>
      </c>
      <c r="C707" s="111">
        <v>200.0</v>
      </c>
      <c r="D707" s="111" t="s">
        <v>116</v>
      </c>
      <c r="E707" s="34">
        <v>266.55</v>
      </c>
      <c r="F707" s="34">
        <v>268.53</v>
      </c>
      <c r="G707" s="34">
        <v>270.5</v>
      </c>
      <c r="H707" s="113">
        <v>0.5926</v>
      </c>
      <c r="I707" s="34">
        <v>0.9106</v>
      </c>
      <c r="J707" s="34">
        <v>8.0</v>
      </c>
      <c r="K707" s="34">
        <v>81.0</v>
      </c>
      <c r="L707" s="113">
        <v>0.5279</v>
      </c>
    </row>
    <row r="708" ht="22.5" customHeight="1">
      <c r="A708" s="111" t="s">
        <v>28</v>
      </c>
      <c r="B708" s="112">
        <v>47102.0</v>
      </c>
      <c r="C708" s="111">
        <v>210.0</v>
      </c>
      <c r="D708" s="111" t="s">
        <v>116</v>
      </c>
      <c r="E708" s="34">
        <v>260.4</v>
      </c>
      <c r="F708" s="34">
        <v>262.53</v>
      </c>
      <c r="G708" s="34">
        <v>264.65</v>
      </c>
      <c r="H708" s="113">
        <v>0.5895</v>
      </c>
      <c r="I708" s="34">
        <v>0.9027</v>
      </c>
      <c r="J708" s="34">
        <v>5.0</v>
      </c>
      <c r="K708" s="34">
        <v>37.0</v>
      </c>
      <c r="L708" s="113">
        <v>0.5043</v>
      </c>
    </row>
    <row r="709" ht="22.5" customHeight="1">
      <c r="A709" s="111" t="s">
        <v>28</v>
      </c>
      <c r="B709" s="112">
        <v>47102.0</v>
      </c>
      <c r="C709" s="111">
        <v>220.0</v>
      </c>
      <c r="D709" s="111" t="s">
        <v>116</v>
      </c>
      <c r="E709" s="34">
        <v>254.4</v>
      </c>
      <c r="F709" s="34">
        <v>256.5</v>
      </c>
      <c r="G709" s="34">
        <v>258.6</v>
      </c>
      <c r="H709" s="113">
        <v>0.5853</v>
      </c>
      <c r="I709" s="34">
        <v>0.8948</v>
      </c>
      <c r="J709" s="34">
        <v>18.0</v>
      </c>
      <c r="K709" s="34">
        <v>54.0</v>
      </c>
      <c r="L709" s="113">
        <v>0.4807</v>
      </c>
    </row>
    <row r="710" ht="22.5" customHeight="1">
      <c r="A710" s="111" t="s">
        <v>28</v>
      </c>
      <c r="B710" s="112">
        <v>47102.0</v>
      </c>
      <c r="C710" s="111">
        <v>230.0</v>
      </c>
      <c r="D710" s="111" t="s">
        <v>116</v>
      </c>
      <c r="E710" s="34">
        <v>248.3</v>
      </c>
      <c r="F710" s="34">
        <v>250.13</v>
      </c>
      <c r="G710" s="34">
        <v>251.95</v>
      </c>
      <c r="H710" s="113">
        <v>0.5778</v>
      </c>
      <c r="I710" s="34">
        <v>0.887</v>
      </c>
      <c r="J710" s="34">
        <v>5.0</v>
      </c>
      <c r="K710" s="34">
        <v>17.0</v>
      </c>
      <c r="L710" s="113">
        <v>0.457</v>
      </c>
    </row>
    <row r="711" ht="22.5" customHeight="1">
      <c r="A711" s="111" t="s">
        <v>28</v>
      </c>
      <c r="B711" s="112">
        <v>47102.0</v>
      </c>
      <c r="C711" s="111">
        <v>240.0</v>
      </c>
      <c r="D711" s="111" t="s">
        <v>116</v>
      </c>
      <c r="E711" s="34">
        <v>242.7</v>
      </c>
      <c r="F711" s="34">
        <v>244.83</v>
      </c>
      <c r="G711" s="34">
        <v>246.95</v>
      </c>
      <c r="H711" s="113">
        <v>0.5909</v>
      </c>
      <c r="I711" s="34">
        <v>0.8776</v>
      </c>
      <c r="J711" s="34">
        <v>15.0</v>
      </c>
      <c r="K711" s="34">
        <v>13.0</v>
      </c>
      <c r="L711" s="113">
        <v>0.4334</v>
      </c>
    </row>
    <row r="712" ht="22.5" customHeight="1">
      <c r="A712" s="111" t="s">
        <v>28</v>
      </c>
      <c r="B712" s="112">
        <v>47102.0</v>
      </c>
      <c r="C712" s="111">
        <v>250.0</v>
      </c>
      <c r="D712" s="111" t="s">
        <v>116</v>
      </c>
      <c r="E712" s="34">
        <v>238.0</v>
      </c>
      <c r="F712" s="34">
        <v>239.43</v>
      </c>
      <c r="G712" s="34">
        <v>240.85</v>
      </c>
      <c r="H712" s="113">
        <v>0.5793</v>
      </c>
      <c r="I712" s="34">
        <v>0.8697</v>
      </c>
      <c r="J712" s="34">
        <v>36.0</v>
      </c>
      <c r="K712" s="34">
        <v>229.0</v>
      </c>
      <c r="L712" s="113">
        <v>0.40979999999999994</v>
      </c>
    </row>
    <row r="713" ht="22.5" customHeight="1">
      <c r="A713" s="111" t="s">
        <v>28</v>
      </c>
      <c r="B713" s="112">
        <v>47102.0</v>
      </c>
      <c r="C713" s="111">
        <v>260.0</v>
      </c>
      <c r="D713" s="111" t="s">
        <v>116</v>
      </c>
      <c r="E713" s="34">
        <v>231.75</v>
      </c>
      <c r="F713" s="34">
        <v>233.8</v>
      </c>
      <c r="G713" s="34">
        <v>235.85</v>
      </c>
      <c r="H713" s="113">
        <v>0.5714</v>
      </c>
      <c r="I713" s="34">
        <v>0.8614</v>
      </c>
      <c r="J713" s="34">
        <v>0.0</v>
      </c>
      <c r="K713" s="34">
        <v>16.0</v>
      </c>
      <c r="L713" s="113">
        <v>0.3862</v>
      </c>
    </row>
    <row r="714" ht="22.5" customHeight="1">
      <c r="A714" s="111" t="s">
        <v>28</v>
      </c>
      <c r="B714" s="112">
        <v>47102.0</v>
      </c>
      <c r="C714" s="111">
        <v>270.0</v>
      </c>
      <c r="D714" s="111" t="s">
        <v>116</v>
      </c>
      <c r="E714" s="34">
        <v>226.4</v>
      </c>
      <c r="F714" s="34">
        <v>228.45</v>
      </c>
      <c r="G714" s="34">
        <v>230.5</v>
      </c>
      <c r="H714" s="113">
        <v>0.5684</v>
      </c>
      <c r="I714" s="34">
        <v>0.8527</v>
      </c>
      <c r="J714" s="34">
        <v>0.0</v>
      </c>
      <c r="K714" s="34">
        <v>31.0</v>
      </c>
      <c r="L714" s="113">
        <v>0.3626</v>
      </c>
    </row>
    <row r="715" ht="22.5" customHeight="1">
      <c r="A715" s="111" t="s">
        <v>28</v>
      </c>
      <c r="B715" s="112">
        <v>47102.0</v>
      </c>
      <c r="C715" s="111">
        <v>280.0</v>
      </c>
      <c r="D715" s="111" t="s">
        <v>116</v>
      </c>
      <c r="E715" s="34">
        <v>221.25</v>
      </c>
      <c r="F715" s="34">
        <v>223.25</v>
      </c>
      <c r="G715" s="34">
        <v>225.25</v>
      </c>
      <c r="H715" s="113">
        <v>0.5657</v>
      </c>
      <c r="I715" s="34">
        <v>0.8439</v>
      </c>
      <c r="J715" s="34">
        <v>0.0</v>
      </c>
      <c r="K715" s="34">
        <v>11.0</v>
      </c>
      <c r="L715" s="113">
        <v>0.33899999999999997</v>
      </c>
    </row>
    <row r="716" ht="22.5" customHeight="1">
      <c r="A716" s="111" t="s">
        <v>28</v>
      </c>
      <c r="B716" s="112">
        <v>47102.0</v>
      </c>
      <c r="C716" s="111">
        <v>290.0</v>
      </c>
      <c r="D716" s="111" t="s">
        <v>116</v>
      </c>
      <c r="E716" s="34">
        <v>216.2</v>
      </c>
      <c r="F716" s="34">
        <v>218.27</v>
      </c>
      <c r="G716" s="34">
        <v>220.35</v>
      </c>
      <c r="H716" s="113">
        <v>0.5637</v>
      </c>
      <c r="I716" s="34">
        <v>0.835</v>
      </c>
      <c r="J716" s="34">
        <v>1.0</v>
      </c>
      <c r="K716" s="34">
        <v>53.0</v>
      </c>
      <c r="L716" s="113">
        <v>0.3154</v>
      </c>
    </row>
    <row r="717" ht="22.5" customHeight="1">
      <c r="A717" s="111" t="s">
        <v>28</v>
      </c>
      <c r="B717" s="112">
        <v>47102.0</v>
      </c>
      <c r="C717" s="111">
        <v>300.0</v>
      </c>
      <c r="D717" s="111" t="s">
        <v>116</v>
      </c>
      <c r="E717" s="34">
        <v>211.5</v>
      </c>
      <c r="F717" s="34">
        <v>213.5</v>
      </c>
      <c r="G717" s="34">
        <v>215.5</v>
      </c>
      <c r="H717" s="113">
        <v>0.5722999999999999</v>
      </c>
      <c r="I717" s="34">
        <v>0.8262</v>
      </c>
      <c r="J717" s="34">
        <v>4.0</v>
      </c>
      <c r="K717" s="34">
        <v>140.0</v>
      </c>
      <c r="L717" s="113">
        <v>0.2918</v>
      </c>
    </row>
    <row r="718" ht="22.5" customHeight="1">
      <c r="A718" s="111" t="s">
        <v>28</v>
      </c>
      <c r="B718" s="112">
        <v>47102.0</v>
      </c>
      <c r="C718" s="111">
        <v>310.0</v>
      </c>
      <c r="D718" s="111" t="s">
        <v>116</v>
      </c>
      <c r="E718" s="34">
        <v>206.65</v>
      </c>
      <c r="F718" s="34">
        <v>208.63</v>
      </c>
      <c r="G718" s="34">
        <v>210.6</v>
      </c>
      <c r="H718" s="113">
        <v>0.5597</v>
      </c>
      <c r="I718" s="34">
        <v>0.8171</v>
      </c>
      <c r="J718" s="34">
        <v>8.0</v>
      </c>
      <c r="K718" s="34">
        <v>67.0</v>
      </c>
      <c r="L718" s="113">
        <v>0.2682</v>
      </c>
    </row>
    <row r="719" ht="22.5" customHeight="1">
      <c r="A719" s="111" t="s">
        <v>28</v>
      </c>
      <c r="B719" s="112">
        <v>47102.0</v>
      </c>
      <c r="C719" s="111">
        <v>320.0</v>
      </c>
      <c r="D719" s="111" t="s">
        <v>116</v>
      </c>
      <c r="E719" s="34">
        <v>202.25</v>
      </c>
      <c r="F719" s="34">
        <v>204.2</v>
      </c>
      <c r="G719" s="34">
        <v>206.15</v>
      </c>
      <c r="H719" s="113">
        <v>0.5664</v>
      </c>
      <c r="I719" s="34">
        <v>0.8083</v>
      </c>
      <c r="J719" s="34">
        <v>2.0</v>
      </c>
      <c r="K719" s="34">
        <v>62.0</v>
      </c>
      <c r="L719" s="113">
        <v>0.2446</v>
      </c>
    </row>
    <row r="720" ht="22.5" customHeight="1">
      <c r="A720" s="111" t="s">
        <v>28</v>
      </c>
      <c r="B720" s="112">
        <v>47102.0</v>
      </c>
      <c r="C720" s="111">
        <v>330.0</v>
      </c>
      <c r="D720" s="111" t="s">
        <v>116</v>
      </c>
      <c r="E720" s="34">
        <v>197.65</v>
      </c>
      <c r="F720" s="34">
        <v>199.65</v>
      </c>
      <c r="G720" s="34">
        <v>201.65</v>
      </c>
      <c r="H720" s="113">
        <v>0.5663</v>
      </c>
      <c r="I720" s="34">
        <v>0.7995</v>
      </c>
      <c r="J720" s="34">
        <v>2.0</v>
      </c>
      <c r="K720" s="34">
        <v>26.0</v>
      </c>
      <c r="L720" s="113">
        <v>0.221</v>
      </c>
    </row>
    <row r="721" ht="22.5" customHeight="1">
      <c r="A721" s="111" t="s">
        <v>28</v>
      </c>
      <c r="B721" s="112">
        <v>47102.0</v>
      </c>
      <c r="C721" s="111">
        <v>340.0</v>
      </c>
      <c r="D721" s="111" t="s">
        <v>116</v>
      </c>
      <c r="E721" s="34">
        <v>193.45</v>
      </c>
      <c r="F721" s="34">
        <v>194.93</v>
      </c>
      <c r="G721" s="34">
        <v>196.4</v>
      </c>
      <c r="H721" s="113">
        <v>0.5539000000000001</v>
      </c>
      <c r="I721" s="34">
        <v>0.7897</v>
      </c>
      <c r="J721" s="34">
        <v>2.0</v>
      </c>
      <c r="K721" s="34">
        <v>70.0</v>
      </c>
      <c r="L721" s="113">
        <v>0.1974</v>
      </c>
    </row>
    <row r="722" ht="22.5" customHeight="1">
      <c r="A722" s="111" t="s">
        <v>28</v>
      </c>
      <c r="B722" s="112">
        <v>47102.0</v>
      </c>
      <c r="C722" s="111">
        <v>350.0</v>
      </c>
      <c r="D722" s="111" t="s">
        <v>116</v>
      </c>
      <c r="E722" s="34">
        <v>189.25</v>
      </c>
      <c r="F722" s="34">
        <v>191.2</v>
      </c>
      <c r="G722" s="34">
        <v>193.15</v>
      </c>
      <c r="H722" s="113">
        <v>0.555</v>
      </c>
      <c r="I722" s="34">
        <v>0.7808</v>
      </c>
      <c r="J722" s="34">
        <v>2.0</v>
      </c>
      <c r="K722" s="34">
        <v>96.0</v>
      </c>
      <c r="L722" s="113">
        <v>0.17379999999999998</v>
      </c>
    </row>
    <row r="723" ht="22.5" customHeight="1">
      <c r="A723" s="111" t="s">
        <v>28</v>
      </c>
      <c r="B723" s="112">
        <v>47102.0</v>
      </c>
      <c r="C723" s="111">
        <v>360.0</v>
      </c>
      <c r="D723" s="111" t="s">
        <v>116</v>
      </c>
      <c r="E723" s="34">
        <v>185.2</v>
      </c>
      <c r="F723" s="34">
        <v>187.13</v>
      </c>
      <c r="G723" s="34">
        <v>189.05</v>
      </c>
      <c r="H723" s="113">
        <v>0.5539000000000001</v>
      </c>
      <c r="I723" s="34">
        <v>0.7718</v>
      </c>
      <c r="J723" s="34">
        <v>7.0</v>
      </c>
      <c r="K723" s="34">
        <v>212.0</v>
      </c>
      <c r="L723" s="113">
        <v>0.1502</v>
      </c>
    </row>
    <row r="724" ht="22.5" customHeight="1">
      <c r="A724" s="111" t="s">
        <v>28</v>
      </c>
      <c r="B724" s="112">
        <v>47102.0</v>
      </c>
      <c r="C724" s="111">
        <v>370.0</v>
      </c>
      <c r="D724" s="111" t="s">
        <v>116</v>
      </c>
      <c r="E724" s="34">
        <v>181.3</v>
      </c>
      <c r="F724" s="34">
        <v>183.2</v>
      </c>
      <c r="G724" s="34">
        <v>185.1</v>
      </c>
      <c r="H724" s="113">
        <v>0.5533</v>
      </c>
      <c r="I724" s="34">
        <v>0.7628</v>
      </c>
      <c r="J724" s="34">
        <v>0.0</v>
      </c>
      <c r="K724" s="34">
        <v>74.0</v>
      </c>
      <c r="L724" s="113">
        <v>0.1266</v>
      </c>
    </row>
    <row r="725" ht="22.5" customHeight="1">
      <c r="A725" s="111" t="s">
        <v>28</v>
      </c>
      <c r="B725" s="112">
        <v>47102.0</v>
      </c>
      <c r="C725" s="111">
        <v>380.0</v>
      </c>
      <c r="D725" s="111" t="s">
        <v>116</v>
      </c>
      <c r="E725" s="34">
        <v>177.45</v>
      </c>
      <c r="F725" s="34">
        <v>179.33</v>
      </c>
      <c r="G725" s="34">
        <v>181.2</v>
      </c>
      <c r="H725" s="113">
        <v>0.5523</v>
      </c>
      <c r="I725" s="34">
        <v>0.7538</v>
      </c>
      <c r="J725" s="34">
        <v>1.0</v>
      </c>
      <c r="K725" s="34">
        <v>97.0</v>
      </c>
      <c r="L725" s="113">
        <v>0.10289999999999999</v>
      </c>
    </row>
    <row r="726" ht="22.5" customHeight="1">
      <c r="A726" s="111" t="s">
        <v>28</v>
      </c>
      <c r="B726" s="112">
        <v>47102.0</v>
      </c>
      <c r="C726" s="111">
        <v>390.0</v>
      </c>
      <c r="D726" s="111" t="s">
        <v>116</v>
      </c>
      <c r="E726" s="34">
        <v>173.6</v>
      </c>
      <c r="F726" s="34">
        <v>175.48</v>
      </c>
      <c r="G726" s="34">
        <v>177.35</v>
      </c>
      <c r="H726" s="113">
        <v>0.5531</v>
      </c>
      <c r="I726" s="34">
        <v>0.7451</v>
      </c>
      <c r="J726" s="34">
        <v>23.0</v>
      </c>
      <c r="K726" s="34">
        <v>48.0</v>
      </c>
      <c r="L726" s="113">
        <v>0.0793</v>
      </c>
    </row>
    <row r="727" ht="22.5" customHeight="1">
      <c r="A727" s="111" t="s">
        <v>28</v>
      </c>
      <c r="B727" s="112">
        <v>47102.0</v>
      </c>
      <c r="C727" s="111">
        <v>400.0</v>
      </c>
      <c r="D727" s="111" t="s">
        <v>116</v>
      </c>
      <c r="E727" s="34">
        <v>171.1</v>
      </c>
      <c r="F727" s="34">
        <v>172.4</v>
      </c>
      <c r="G727" s="34">
        <v>173.7</v>
      </c>
      <c r="H727" s="113">
        <v>0.55</v>
      </c>
      <c r="I727" s="34">
        <v>0.7358</v>
      </c>
      <c r="J727" s="34">
        <v>112.0</v>
      </c>
      <c r="K727" s="34">
        <v>369.0</v>
      </c>
      <c r="L727" s="113">
        <v>0.0557</v>
      </c>
    </row>
    <row r="728" ht="22.5" customHeight="1">
      <c r="A728" s="111" t="s">
        <v>28</v>
      </c>
      <c r="B728" s="112">
        <v>47102.0</v>
      </c>
      <c r="C728" s="111">
        <v>410.0</v>
      </c>
      <c r="D728" s="111" t="s">
        <v>116</v>
      </c>
      <c r="E728" s="34">
        <v>166.6</v>
      </c>
      <c r="F728" s="34">
        <v>168.43</v>
      </c>
      <c r="G728" s="34">
        <v>170.25</v>
      </c>
      <c r="H728" s="113">
        <v>0.5569</v>
      </c>
      <c r="I728" s="34">
        <v>0.7284</v>
      </c>
      <c r="J728" s="34">
        <v>2.0</v>
      </c>
      <c r="K728" s="34">
        <v>54.0</v>
      </c>
      <c r="L728" s="113">
        <v>0.0321</v>
      </c>
    </row>
    <row r="729" ht="22.5" customHeight="1">
      <c r="A729" s="111" t="s">
        <v>28</v>
      </c>
      <c r="B729" s="112">
        <v>47102.0</v>
      </c>
      <c r="C729" s="111">
        <v>420.0</v>
      </c>
      <c r="D729" s="111" t="s">
        <v>116</v>
      </c>
      <c r="E729" s="34">
        <v>163.15</v>
      </c>
      <c r="F729" s="34">
        <v>164.95</v>
      </c>
      <c r="G729" s="34">
        <v>166.75</v>
      </c>
      <c r="H729" s="113">
        <v>0.5539000000000001</v>
      </c>
      <c r="I729" s="34">
        <v>0.7193</v>
      </c>
      <c r="J729" s="34">
        <v>73.0</v>
      </c>
      <c r="K729" s="34">
        <v>131.0</v>
      </c>
      <c r="L729" s="113">
        <v>0.0085</v>
      </c>
    </row>
    <row r="730" ht="22.5" customHeight="1">
      <c r="A730" s="111" t="s">
        <v>28</v>
      </c>
      <c r="B730" s="112">
        <v>47102.0</v>
      </c>
      <c r="C730" s="111">
        <v>430.0</v>
      </c>
      <c r="D730" s="111" t="s">
        <v>116</v>
      </c>
      <c r="E730" s="34">
        <v>160.0</v>
      </c>
      <c r="F730" s="34">
        <v>161.7</v>
      </c>
      <c r="G730" s="34">
        <v>163.4</v>
      </c>
      <c r="H730" s="113">
        <v>0.5494</v>
      </c>
      <c r="I730" s="34">
        <v>0.7097</v>
      </c>
      <c r="J730" s="34">
        <v>23.0</v>
      </c>
      <c r="K730" s="34">
        <v>213.0</v>
      </c>
      <c r="L730" s="113">
        <v>-0.0151</v>
      </c>
    </row>
    <row r="731" ht="22.5" customHeight="1">
      <c r="A731" s="111" t="s">
        <v>28</v>
      </c>
      <c r="B731" s="112">
        <v>47102.0</v>
      </c>
      <c r="C731" s="111">
        <v>440.0</v>
      </c>
      <c r="D731" s="111" t="s">
        <v>116</v>
      </c>
      <c r="E731" s="34">
        <v>156.8</v>
      </c>
      <c r="F731" s="34">
        <v>158.25</v>
      </c>
      <c r="G731" s="34">
        <v>159.7</v>
      </c>
      <c r="H731" s="113">
        <v>0.5483</v>
      </c>
      <c r="I731" s="34">
        <v>0.7009</v>
      </c>
      <c r="J731" s="34">
        <v>13.0</v>
      </c>
      <c r="K731" s="34">
        <v>144.0</v>
      </c>
      <c r="L731" s="113">
        <v>-0.0387</v>
      </c>
    </row>
    <row r="732" ht="22.5" customHeight="1">
      <c r="A732" s="111" t="s">
        <v>28</v>
      </c>
      <c r="B732" s="112">
        <v>47102.0</v>
      </c>
      <c r="C732" s="111">
        <v>450.0</v>
      </c>
      <c r="D732" s="111" t="s">
        <v>116</v>
      </c>
      <c r="E732" s="34">
        <v>155.3</v>
      </c>
      <c r="F732" s="34">
        <v>156.05</v>
      </c>
      <c r="G732" s="34">
        <v>156.8</v>
      </c>
      <c r="H732" s="113">
        <v>0.5515</v>
      </c>
      <c r="I732" s="34">
        <v>0.6934</v>
      </c>
      <c r="J732" s="34">
        <v>23.0</v>
      </c>
      <c r="K732" s="34">
        <v>759.0</v>
      </c>
      <c r="L732" s="113">
        <v>-0.0623</v>
      </c>
    </row>
    <row r="733" ht="22.5" customHeight="1">
      <c r="A733" s="111" t="s">
        <v>28</v>
      </c>
      <c r="B733" s="112">
        <v>47102.0</v>
      </c>
      <c r="C733" s="111">
        <v>460.0</v>
      </c>
      <c r="D733" s="111" t="s">
        <v>116</v>
      </c>
      <c r="E733" s="34">
        <v>150.45</v>
      </c>
      <c r="F733" s="34">
        <v>152.3</v>
      </c>
      <c r="G733" s="34">
        <v>154.15</v>
      </c>
      <c r="H733" s="113">
        <v>0.5485</v>
      </c>
      <c r="I733" s="34">
        <v>0.6842</v>
      </c>
      <c r="J733" s="34">
        <v>1.0</v>
      </c>
      <c r="K733" s="34">
        <v>90.0</v>
      </c>
      <c r="L733" s="113">
        <v>-0.0859</v>
      </c>
    </row>
    <row r="734" ht="22.5" customHeight="1">
      <c r="A734" s="111" t="s">
        <v>28</v>
      </c>
      <c r="B734" s="112">
        <v>47102.0</v>
      </c>
      <c r="C734" s="111">
        <v>470.0</v>
      </c>
      <c r="D734" s="111" t="s">
        <v>116</v>
      </c>
      <c r="E734" s="34">
        <v>147.6</v>
      </c>
      <c r="F734" s="34">
        <v>149.4</v>
      </c>
      <c r="G734" s="34">
        <v>151.2</v>
      </c>
      <c r="H734" s="113">
        <v>0.5485</v>
      </c>
      <c r="I734" s="34">
        <v>0.6759</v>
      </c>
      <c r="J734" s="34">
        <v>1.0</v>
      </c>
      <c r="K734" s="34">
        <v>68.0</v>
      </c>
      <c r="L734" s="113">
        <v>-0.10949999999999999</v>
      </c>
    </row>
    <row r="735" ht="22.5" customHeight="1">
      <c r="A735" s="111" t="s">
        <v>28</v>
      </c>
      <c r="B735" s="112">
        <v>47102.0</v>
      </c>
      <c r="C735" s="111">
        <v>480.0</v>
      </c>
      <c r="D735" s="111" t="s">
        <v>116</v>
      </c>
      <c r="E735" s="34">
        <v>144.65</v>
      </c>
      <c r="F735" s="34">
        <v>146.5</v>
      </c>
      <c r="G735" s="34">
        <v>148.35</v>
      </c>
      <c r="H735" s="113">
        <v>0.5482</v>
      </c>
      <c r="I735" s="34">
        <v>0.6676</v>
      </c>
      <c r="J735" s="34">
        <v>10.0</v>
      </c>
      <c r="K735" s="34">
        <v>139.0</v>
      </c>
      <c r="L735" s="113">
        <v>-0.1331</v>
      </c>
    </row>
    <row r="736" ht="22.5" customHeight="1">
      <c r="A736" s="111" t="s">
        <v>28</v>
      </c>
      <c r="B736" s="112">
        <v>47102.0</v>
      </c>
      <c r="C736" s="111">
        <v>490.0</v>
      </c>
      <c r="D736" s="111" t="s">
        <v>116</v>
      </c>
      <c r="E736" s="34">
        <v>141.9</v>
      </c>
      <c r="F736" s="34">
        <v>143.75</v>
      </c>
      <c r="G736" s="34">
        <v>145.6</v>
      </c>
      <c r="H736" s="113">
        <v>0.5482</v>
      </c>
      <c r="I736" s="34">
        <v>0.6595</v>
      </c>
      <c r="J736" s="34">
        <v>11.0</v>
      </c>
      <c r="K736" s="34">
        <v>93.0</v>
      </c>
      <c r="L736" s="113">
        <v>-0.1567</v>
      </c>
    </row>
    <row r="737" ht="22.5" customHeight="1">
      <c r="A737" s="111" t="s">
        <v>28</v>
      </c>
      <c r="B737" s="112">
        <v>47102.0</v>
      </c>
      <c r="C737" s="111">
        <v>500.0</v>
      </c>
      <c r="D737" s="111" t="s">
        <v>116</v>
      </c>
      <c r="E737" s="34">
        <v>139.35</v>
      </c>
      <c r="F737" s="34">
        <v>141.02</v>
      </c>
      <c r="G737" s="34">
        <v>142.7</v>
      </c>
      <c r="H737" s="113">
        <v>0.5479999999999999</v>
      </c>
      <c r="I737" s="34">
        <v>0.6515</v>
      </c>
      <c r="J737" s="34">
        <v>209.0</v>
      </c>
      <c r="K737" s="34">
        <v>1214.0</v>
      </c>
      <c r="L737" s="113">
        <v>-0.18030000000000002</v>
      </c>
    </row>
    <row r="738" ht="22.5" customHeight="1">
      <c r="A738" s="111" t="s">
        <v>28</v>
      </c>
      <c r="B738" s="112">
        <v>47102.0</v>
      </c>
      <c r="C738" s="111">
        <v>510.0</v>
      </c>
      <c r="D738" s="111" t="s">
        <v>116</v>
      </c>
      <c r="E738" s="34">
        <v>136.55</v>
      </c>
      <c r="F738" s="34">
        <v>138.4</v>
      </c>
      <c r="G738" s="34">
        <v>140.25</v>
      </c>
      <c r="H738" s="113">
        <v>0.5479999999999999</v>
      </c>
      <c r="I738" s="34">
        <v>0.6436</v>
      </c>
      <c r="J738" s="34">
        <v>9.0</v>
      </c>
      <c r="K738" s="34">
        <v>45.0</v>
      </c>
      <c r="L738" s="113">
        <v>-0.2039</v>
      </c>
    </row>
    <row r="739" ht="22.5" customHeight="1">
      <c r="A739" s="111" t="s">
        <v>28</v>
      </c>
      <c r="B739" s="112">
        <v>47102.0</v>
      </c>
      <c r="C739" s="111">
        <v>520.0</v>
      </c>
      <c r="D739" s="111" t="s">
        <v>116</v>
      </c>
      <c r="E739" s="34">
        <v>134.0</v>
      </c>
      <c r="F739" s="34">
        <v>135.85</v>
      </c>
      <c r="G739" s="34">
        <v>137.7</v>
      </c>
      <c r="H739" s="113">
        <v>0.5527000000000001</v>
      </c>
      <c r="I739" s="34">
        <v>0.6376</v>
      </c>
      <c r="J739" s="34">
        <v>3.0</v>
      </c>
      <c r="K739" s="34">
        <v>82.0</v>
      </c>
      <c r="L739" s="113">
        <v>-0.2275</v>
      </c>
    </row>
    <row r="740" ht="22.5" customHeight="1">
      <c r="A740" s="111" t="s">
        <v>28</v>
      </c>
      <c r="B740" s="112">
        <v>47102.0</v>
      </c>
      <c r="C740" s="111">
        <v>530.0</v>
      </c>
      <c r="D740" s="111" t="s">
        <v>116</v>
      </c>
      <c r="E740" s="34">
        <v>131.65</v>
      </c>
      <c r="F740" s="34">
        <v>133.05</v>
      </c>
      <c r="G740" s="34">
        <v>134.45</v>
      </c>
      <c r="H740" s="113">
        <v>0.5468999999999999</v>
      </c>
      <c r="I740" s="34">
        <v>0.6276</v>
      </c>
      <c r="J740" s="34">
        <v>8.0</v>
      </c>
      <c r="K740" s="34">
        <v>60.0</v>
      </c>
      <c r="L740" s="113">
        <v>-0.25120000000000003</v>
      </c>
    </row>
    <row r="741" ht="22.5" customHeight="1">
      <c r="A741" s="111" t="s">
        <v>28</v>
      </c>
      <c r="B741" s="112">
        <v>47102.0</v>
      </c>
      <c r="C741" s="111">
        <v>540.0</v>
      </c>
      <c r="D741" s="111" t="s">
        <v>116</v>
      </c>
      <c r="E741" s="34">
        <v>129.15</v>
      </c>
      <c r="F741" s="34">
        <v>130.98</v>
      </c>
      <c r="G741" s="34">
        <v>132.8</v>
      </c>
      <c r="H741" s="113">
        <v>0.5482</v>
      </c>
      <c r="I741" s="34">
        <v>0.6205</v>
      </c>
      <c r="J741" s="34">
        <v>0.0</v>
      </c>
      <c r="K741" s="34">
        <v>58.0</v>
      </c>
      <c r="L741" s="113">
        <v>-0.2748</v>
      </c>
    </row>
    <row r="742" ht="22.5" customHeight="1">
      <c r="A742" s="111" t="s">
        <v>28</v>
      </c>
      <c r="B742" s="112">
        <v>47102.0</v>
      </c>
      <c r="C742" s="111">
        <v>550.0</v>
      </c>
      <c r="D742" s="111" t="s">
        <v>116</v>
      </c>
      <c r="E742" s="34">
        <v>126.95</v>
      </c>
      <c r="F742" s="34">
        <v>128.68</v>
      </c>
      <c r="G742" s="34">
        <v>130.4</v>
      </c>
      <c r="H742" s="113">
        <v>0.5485</v>
      </c>
      <c r="I742" s="34">
        <v>0.6131</v>
      </c>
      <c r="J742" s="34">
        <v>25.0</v>
      </c>
      <c r="K742" s="34">
        <v>78.0</v>
      </c>
      <c r="L742" s="113">
        <v>-0.2984</v>
      </c>
    </row>
    <row r="743" ht="22.5" customHeight="1">
      <c r="A743" s="111" t="s">
        <v>28</v>
      </c>
      <c r="B743" s="112">
        <v>47102.0</v>
      </c>
      <c r="C743" s="111">
        <v>560.0</v>
      </c>
      <c r="D743" s="111" t="s">
        <v>116</v>
      </c>
      <c r="E743" s="34">
        <v>124.5</v>
      </c>
      <c r="F743" s="34">
        <v>126.33</v>
      </c>
      <c r="G743" s="34">
        <v>128.15</v>
      </c>
      <c r="H743" s="113">
        <v>0.5484</v>
      </c>
      <c r="I743" s="34">
        <v>0.6056</v>
      </c>
      <c r="J743" s="34">
        <v>0.0</v>
      </c>
      <c r="K743" s="34">
        <v>18.0</v>
      </c>
      <c r="L743" s="113">
        <v>-0.322</v>
      </c>
    </row>
    <row r="744" ht="22.5" customHeight="1">
      <c r="A744" s="111" t="s">
        <v>28</v>
      </c>
      <c r="B744" s="112">
        <v>47102.0</v>
      </c>
      <c r="C744" s="111">
        <v>570.0</v>
      </c>
      <c r="D744" s="111" t="s">
        <v>116</v>
      </c>
      <c r="E744" s="34">
        <v>122.3</v>
      </c>
      <c r="F744" s="34">
        <v>124.1</v>
      </c>
      <c r="G744" s="34">
        <v>125.9</v>
      </c>
      <c r="H744" s="113">
        <v>0.5485</v>
      </c>
      <c r="I744" s="34">
        <v>0.5983</v>
      </c>
      <c r="J744" s="34">
        <v>6.0</v>
      </c>
      <c r="K744" s="34">
        <v>110.0</v>
      </c>
      <c r="L744" s="113">
        <v>-0.3456</v>
      </c>
    </row>
    <row r="745" ht="22.5" customHeight="1">
      <c r="A745" s="111" t="s">
        <v>28</v>
      </c>
      <c r="B745" s="112">
        <v>47102.0</v>
      </c>
      <c r="C745" s="111">
        <v>580.0</v>
      </c>
      <c r="D745" s="111" t="s">
        <v>116</v>
      </c>
      <c r="E745" s="34">
        <v>120.15</v>
      </c>
      <c r="F745" s="34">
        <v>121.95</v>
      </c>
      <c r="G745" s="34">
        <v>123.75</v>
      </c>
      <c r="H745" s="113">
        <v>0.5487</v>
      </c>
      <c r="I745" s="34">
        <v>0.5912</v>
      </c>
      <c r="J745" s="34">
        <v>0.0</v>
      </c>
      <c r="K745" s="34">
        <v>50.0</v>
      </c>
      <c r="L745" s="113">
        <v>-0.36920000000000003</v>
      </c>
    </row>
    <row r="746" ht="22.5" customHeight="1">
      <c r="A746" s="111" t="s">
        <v>28</v>
      </c>
      <c r="B746" s="112">
        <v>47102.0</v>
      </c>
      <c r="C746" s="111">
        <v>590.0</v>
      </c>
      <c r="D746" s="111" t="s">
        <v>116</v>
      </c>
      <c r="E746" s="34">
        <v>119.5</v>
      </c>
      <c r="F746" s="34">
        <v>120.45</v>
      </c>
      <c r="G746" s="34">
        <v>121.4</v>
      </c>
      <c r="H746" s="113">
        <v>0.5511</v>
      </c>
      <c r="I746" s="34">
        <v>0.5852</v>
      </c>
      <c r="J746" s="34">
        <v>2.0</v>
      </c>
      <c r="K746" s="34">
        <v>15.0</v>
      </c>
      <c r="L746" s="113">
        <v>-0.39280000000000004</v>
      </c>
    </row>
    <row r="747" ht="22.5" customHeight="1">
      <c r="A747" s="111" t="s">
        <v>28</v>
      </c>
      <c r="B747" s="112">
        <v>47102.0</v>
      </c>
      <c r="C747" s="111">
        <v>600.0</v>
      </c>
      <c r="D747" s="111" t="s">
        <v>116</v>
      </c>
      <c r="E747" s="34">
        <v>116.2</v>
      </c>
      <c r="F747" s="34">
        <v>117.8</v>
      </c>
      <c r="G747" s="34">
        <v>119.4</v>
      </c>
      <c r="H747" s="113">
        <v>0.5490999999999999</v>
      </c>
      <c r="I747" s="34">
        <v>0.5772</v>
      </c>
      <c r="J747" s="34">
        <v>20.0</v>
      </c>
      <c r="K747" s="34">
        <v>416.0</v>
      </c>
      <c r="L747" s="113">
        <v>-0.4164</v>
      </c>
    </row>
    <row r="748" ht="22.5" customHeight="1">
      <c r="A748" s="111" t="s">
        <v>28</v>
      </c>
      <c r="B748" s="112">
        <v>47102.0</v>
      </c>
      <c r="C748" s="111">
        <v>610.0</v>
      </c>
      <c r="D748" s="111" t="s">
        <v>116</v>
      </c>
      <c r="E748" s="34">
        <v>114.2</v>
      </c>
      <c r="F748" s="34">
        <v>115.78</v>
      </c>
      <c r="G748" s="34">
        <v>117.35</v>
      </c>
      <c r="H748" s="113">
        <v>0.5492</v>
      </c>
      <c r="I748" s="34">
        <v>0.5703</v>
      </c>
      <c r="J748" s="34">
        <v>2.0</v>
      </c>
      <c r="K748" s="34">
        <v>26.0</v>
      </c>
      <c r="L748" s="113">
        <v>-0.44</v>
      </c>
    </row>
    <row r="749" ht="22.5" customHeight="1">
      <c r="A749" s="111" t="s">
        <v>28</v>
      </c>
      <c r="B749" s="112">
        <v>47102.0</v>
      </c>
      <c r="C749" s="111">
        <v>620.0</v>
      </c>
      <c r="D749" s="111" t="s">
        <v>116</v>
      </c>
      <c r="E749" s="34">
        <v>112.3</v>
      </c>
      <c r="F749" s="34">
        <v>113.93</v>
      </c>
      <c r="G749" s="34">
        <v>115.55</v>
      </c>
      <c r="H749" s="113">
        <v>0.5498</v>
      </c>
      <c r="I749" s="34">
        <v>0.5637</v>
      </c>
      <c r="J749" s="34">
        <v>0.0</v>
      </c>
      <c r="K749" s="34">
        <v>10.0</v>
      </c>
      <c r="L749" s="113">
        <v>-0.4636</v>
      </c>
    </row>
    <row r="750" ht="22.5" customHeight="1">
      <c r="A750" s="111" t="s">
        <v>28</v>
      </c>
      <c r="B750" s="112">
        <v>47102.0</v>
      </c>
      <c r="C750" s="111">
        <v>630.0</v>
      </c>
      <c r="D750" s="111" t="s">
        <v>116</v>
      </c>
      <c r="E750" s="34">
        <v>110.45</v>
      </c>
      <c r="F750" s="34">
        <v>112.05</v>
      </c>
      <c r="G750" s="34">
        <v>113.65</v>
      </c>
      <c r="H750" s="113">
        <v>0.5501</v>
      </c>
      <c r="I750" s="34">
        <v>0.5571</v>
      </c>
      <c r="J750" s="34">
        <v>0.0</v>
      </c>
      <c r="K750" s="34">
        <v>12.0</v>
      </c>
      <c r="L750" s="113">
        <v>-0.48719999999999997</v>
      </c>
    </row>
    <row r="751" ht="22.5" customHeight="1">
      <c r="A751" s="111" t="s">
        <v>28</v>
      </c>
      <c r="B751" s="112">
        <v>47102.0</v>
      </c>
      <c r="C751" s="111">
        <v>640.0</v>
      </c>
      <c r="D751" s="111" t="s">
        <v>116</v>
      </c>
      <c r="E751" s="34">
        <v>108.65</v>
      </c>
      <c r="F751" s="34">
        <v>110.18</v>
      </c>
      <c r="G751" s="34">
        <v>111.7</v>
      </c>
      <c r="H751" s="113">
        <v>0.5502</v>
      </c>
      <c r="I751" s="34">
        <v>0.5505</v>
      </c>
      <c r="J751" s="34">
        <v>2.0</v>
      </c>
      <c r="K751" s="34">
        <v>112.0</v>
      </c>
      <c r="L751" s="113">
        <v>-0.5108</v>
      </c>
    </row>
    <row r="752" ht="22.5" customHeight="1">
      <c r="A752" s="111" t="s">
        <v>28</v>
      </c>
      <c r="B752" s="112">
        <v>47102.0</v>
      </c>
      <c r="C752" s="111">
        <v>650.0</v>
      </c>
      <c r="D752" s="111" t="s">
        <v>116</v>
      </c>
      <c r="E752" s="34">
        <v>106.8</v>
      </c>
      <c r="F752" s="34">
        <v>108.35</v>
      </c>
      <c r="G752" s="34">
        <v>109.9</v>
      </c>
      <c r="H752" s="113">
        <v>0.5504</v>
      </c>
      <c r="I752" s="34">
        <v>0.5441</v>
      </c>
      <c r="J752" s="34">
        <v>12.0</v>
      </c>
      <c r="K752" s="34">
        <v>220.0</v>
      </c>
      <c r="L752" s="113">
        <v>-0.5344</v>
      </c>
    </row>
    <row r="753" ht="22.5" customHeight="1">
      <c r="A753" s="111" t="s">
        <v>28</v>
      </c>
      <c r="B753" s="112">
        <v>47102.0</v>
      </c>
      <c r="C753" s="111">
        <v>660.0</v>
      </c>
      <c r="D753" s="111" t="s">
        <v>116</v>
      </c>
      <c r="E753" s="34">
        <v>105.05</v>
      </c>
      <c r="F753" s="34">
        <v>106.63</v>
      </c>
      <c r="G753" s="34">
        <v>108.2</v>
      </c>
      <c r="H753" s="113">
        <v>0.5507</v>
      </c>
      <c r="I753" s="34">
        <v>0.5378</v>
      </c>
      <c r="J753" s="34">
        <v>1.0</v>
      </c>
      <c r="K753" s="34">
        <v>14.0</v>
      </c>
      <c r="L753" s="113">
        <v>-0.5579999999999999</v>
      </c>
    </row>
    <row r="754" ht="22.5" customHeight="1">
      <c r="A754" s="111" t="s">
        <v>28</v>
      </c>
      <c r="B754" s="112">
        <v>47102.0</v>
      </c>
      <c r="C754" s="111">
        <v>670.0</v>
      </c>
      <c r="D754" s="111" t="s">
        <v>116</v>
      </c>
      <c r="E754" s="34">
        <v>103.1</v>
      </c>
      <c r="F754" s="34">
        <v>104.78</v>
      </c>
      <c r="G754" s="34">
        <v>106.45</v>
      </c>
      <c r="H754" s="113">
        <v>0.5505</v>
      </c>
      <c r="I754" s="34">
        <v>0.5313</v>
      </c>
      <c r="J754" s="34">
        <v>0.0</v>
      </c>
      <c r="K754" s="34">
        <v>24.0</v>
      </c>
      <c r="L754" s="113">
        <v>-0.5816</v>
      </c>
    </row>
    <row r="755" ht="22.5" customHeight="1">
      <c r="A755" s="111" t="s">
        <v>28</v>
      </c>
      <c r="B755" s="112">
        <v>47102.0</v>
      </c>
      <c r="C755" s="111">
        <v>680.0</v>
      </c>
      <c r="D755" s="111" t="s">
        <v>116</v>
      </c>
      <c r="E755" s="34">
        <v>101.7</v>
      </c>
      <c r="F755" s="34">
        <v>103.25</v>
      </c>
      <c r="G755" s="34">
        <v>104.8</v>
      </c>
      <c r="H755" s="113">
        <v>0.5513</v>
      </c>
      <c r="I755" s="34">
        <v>0.5254</v>
      </c>
      <c r="J755" s="34">
        <v>0.0</v>
      </c>
      <c r="K755" s="34">
        <v>77.0</v>
      </c>
      <c r="L755" s="113">
        <v>-0.6053000000000001</v>
      </c>
    </row>
    <row r="756" ht="22.5" customHeight="1">
      <c r="A756" s="111" t="s">
        <v>28</v>
      </c>
      <c r="B756" s="112">
        <v>47102.0</v>
      </c>
      <c r="C756" s="111">
        <v>690.0</v>
      </c>
      <c r="D756" s="111" t="s">
        <v>116</v>
      </c>
      <c r="E756" s="34">
        <v>100.05</v>
      </c>
      <c r="F756" s="34">
        <v>101.65</v>
      </c>
      <c r="G756" s="34">
        <v>103.25</v>
      </c>
      <c r="H756" s="113">
        <v>0.5517</v>
      </c>
      <c r="I756" s="34">
        <v>0.5195</v>
      </c>
      <c r="J756" s="34">
        <v>0.0</v>
      </c>
      <c r="K756" s="34">
        <v>49.0</v>
      </c>
      <c r="L756" s="113">
        <v>-0.6289</v>
      </c>
    </row>
    <row r="757" ht="22.5" customHeight="1">
      <c r="A757" s="111" t="s">
        <v>28</v>
      </c>
      <c r="B757" s="112">
        <v>47102.0</v>
      </c>
      <c r="C757" s="111">
        <v>700.0</v>
      </c>
      <c r="D757" s="111" t="s">
        <v>116</v>
      </c>
      <c r="E757" s="34">
        <v>98.55</v>
      </c>
      <c r="F757" s="34">
        <v>100.03</v>
      </c>
      <c r="G757" s="34">
        <v>101.5</v>
      </c>
      <c r="H757" s="113">
        <v>0.557</v>
      </c>
      <c r="I757" s="34">
        <v>0.5168</v>
      </c>
      <c r="J757" s="34">
        <v>30.0</v>
      </c>
      <c r="K757" s="34">
        <v>617.0</v>
      </c>
      <c r="L757" s="113">
        <v>-0.6525</v>
      </c>
    </row>
    <row r="758" ht="22.5" customHeight="1">
      <c r="A758" s="111" t="s">
        <v>28</v>
      </c>
      <c r="B758" s="112">
        <v>47102.0</v>
      </c>
      <c r="C758" s="111">
        <v>710.0</v>
      </c>
      <c r="D758" s="111" t="s">
        <v>116</v>
      </c>
      <c r="E758" s="34">
        <v>97.0</v>
      </c>
      <c r="F758" s="34">
        <v>98.5</v>
      </c>
      <c r="G758" s="34">
        <v>100.0</v>
      </c>
      <c r="H758" s="113">
        <v>0.5522</v>
      </c>
      <c r="I758" s="34">
        <v>0.5077</v>
      </c>
      <c r="J758" s="34">
        <v>2.0</v>
      </c>
      <c r="K758" s="34">
        <v>30.0</v>
      </c>
      <c r="L758" s="113">
        <v>-0.6761</v>
      </c>
    </row>
    <row r="759" ht="22.5" customHeight="1">
      <c r="A759" s="111" t="s">
        <v>28</v>
      </c>
      <c r="B759" s="112">
        <v>47102.0</v>
      </c>
      <c r="C759" s="111">
        <v>720.0</v>
      </c>
      <c r="D759" s="111" t="s">
        <v>116</v>
      </c>
      <c r="E759" s="34">
        <v>95.5</v>
      </c>
      <c r="F759" s="34">
        <v>97.05</v>
      </c>
      <c r="G759" s="34">
        <v>98.6</v>
      </c>
      <c r="H759" s="113">
        <v>0.5528</v>
      </c>
      <c r="I759" s="34">
        <v>0.5021</v>
      </c>
      <c r="J759" s="34">
        <v>0.0</v>
      </c>
      <c r="K759" s="34">
        <v>11.0</v>
      </c>
      <c r="L759" s="113">
        <v>-0.6997</v>
      </c>
    </row>
    <row r="760" ht="22.5" customHeight="1">
      <c r="A760" s="111" t="s">
        <v>28</v>
      </c>
      <c r="B760" s="112">
        <v>47102.0</v>
      </c>
      <c r="C760" s="111">
        <v>730.0</v>
      </c>
      <c r="D760" s="111" t="s">
        <v>116</v>
      </c>
      <c r="E760" s="34">
        <v>94.0</v>
      </c>
      <c r="F760" s="34">
        <v>95.58</v>
      </c>
      <c r="G760" s="34">
        <v>97.15</v>
      </c>
      <c r="H760" s="113">
        <v>0.5531</v>
      </c>
      <c r="I760" s="34">
        <v>0.4964</v>
      </c>
      <c r="J760" s="34">
        <v>0.0</v>
      </c>
      <c r="K760" s="34">
        <v>6.0</v>
      </c>
      <c r="L760" s="113">
        <v>-0.7232999999999999</v>
      </c>
    </row>
    <row r="761" ht="22.5" customHeight="1">
      <c r="A761" s="111" t="s">
        <v>28</v>
      </c>
      <c r="B761" s="112">
        <v>47102.0</v>
      </c>
      <c r="C761" s="111">
        <v>740.0</v>
      </c>
      <c r="D761" s="111" t="s">
        <v>116</v>
      </c>
      <c r="E761" s="34">
        <v>92.6</v>
      </c>
      <c r="F761" s="34">
        <v>94.07</v>
      </c>
      <c r="G761" s="34">
        <v>95.55</v>
      </c>
      <c r="H761" s="113">
        <v>0.5532</v>
      </c>
      <c r="I761" s="34">
        <v>0.4907</v>
      </c>
      <c r="J761" s="34">
        <v>6.0</v>
      </c>
      <c r="K761" s="34">
        <v>29.0</v>
      </c>
      <c r="L761" s="113">
        <v>-0.7469</v>
      </c>
    </row>
    <row r="762" ht="22.5" customHeight="1">
      <c r="A762" s="111" t="s">
        <v>28</v>
      </c>
      <c r="B762" s="112">
        <v>47102.0</v>
      </c>
      <c r="C762" s="111">
        <v>750.0</v>
      </c>
      <c r="D762" s="111" t="s">
        <v>116</v>
      </c>
      <c r="E762" s="34">
        <v>91.2</v>
      </c>
      <c r="F762" s="34">
        <v>92.7</v>
      </c>
      <c r="G762" s="34">
        <v>94.2</v>
      </c>
      <c r="H762" s="113">
        <v>0.5536</v>
      </c>
      <c r="I762" s="34">
        <v>0.4853</v>
      </c>
      <c r="J762" s="34">
        <v>10.0</v>
      </c>
      <c r="K762" s="34">
        <v>83.0</v>
      </c>
      <c r="L762" s="113">
        <v>-0.7705</v>
      </c>
    </row>
    <row r="763" ht="22.5" customHeight="1">
      <c r="A763" s="111" t="s">
        <v>28</v>
      </c>
      <c r="B763" s="112">
        <v>47102.0</v>
      </c>
      <c r="C763" s="111">
        <v>760.0</v>
      </c>
      <c r="D763" s="111" t="s">
        <v>116</v>
      </c>
      <c r="E763" s="34">
        <v>89.85</v>
      </c>
      <c r="F763" s="34">
        <v>91.4</v>
      </c>
      <c r="G763" s="34">
        <v>92.95</v>
      </c>
      <c r="H763" s="113">
        <v>0.5542</v>
      </c>
      <c r="I763" s="34">
        <v>0.4801</v>
      </c>
      <c r="J763" s="34">
        <v>0.0</v>
      </c>
      <c r="K763" s="34">
        <v>18.0</v>
      </c>
      <c r="L763" s="113">
        <v>-0.7940999999999999</v>
      </c>
    </row>
    <row r="764" ht="22.5" customHeight="1">
      <c r="A764" s="111" t="s">
        <v>28</v>
      </c>
      <c r="B764" s="112">
        <v>47102.0</v>
      </c>
      <c r="C764" s="111">
        <v>770.0</v>
      </c>
      <c r="D764" s="111" t="s">
        <v>116</v>
      </c>
      <c r="E764" s="34">
        <v>88.5</v>
      </c>
      <c r="F764" s="34">
        <v>90.05</v>
      </c>
      <c r="G764" s="34">
        <v>91.6</v>
      </c>
      <c r="H764" s="113">
        <v>0.5545</v>
      </c>
      <c r="I764" s="34">
        <v>0.4748</v>
      </c>
      <c r="J764" s="34">
        <v>0.0</v>
      </c>
      <c r="K764" s="34">
        <v>38.0</v>
      </c>
      <c r="L764" s="113">
        <v>-0.8177</v>
      </c>
    </row>
    <row r="765" ht="22.5" customHeight="1">
      <c r="A765" s="111" t="s">
        <v>28</v>
      </c>
      <c r="B765" s="112">
        <v>47102.0</v>
      </c>
      <c r="C765" s="111">
        <v>780.0</v>
      </c>
      <c r="D765" s="111" t="s">
        <v>116</v>
      </c>
      <c r="E765" s="34">
        <v>87.2</v>
      </c>
      <c r="F765" s="34">
        <v>88.7</v>
      </c>
      <c r="G765" s="34">
        <v>90.2</v>
      </c>
      <c r="H765" s="113">
        <v>0.5529999999999999</v>
      </c>
      <c r="I765" s="34">
        <v>0.4682</v>
      </c>
      <c r="J765" s="34">
        <v>20.0</v>
      </c>
      <c r="K765" s="34">
        <v>10.0</v>
      </c>
      <c r="L765" s="113">
        <v>-0.8412999999999999</v>
      </c>
    </row>
    <row r="766" ht="22.5" customHeight="1">
      <c r="A766" s="111" t="s">
        <v>28</v>
      </c>
      <c r="B766" s="112">
        <v>47102.0</v>
      </c>
      <c r="C766" s="111">
        <v>790.0</v>
      </c>
      <c r="D766" s="111" t="s">
        <v>116</v>
      </c>
      <c r="E766" s="34">
        <v>85.9</v>
      </c>
      <c r="F766" s="34">
        <v>87.43</v>
      </c>
      <c r="G766" s="34">
        <v>88.95</v>
      </c>
      <c r="H766" s="113">
        <v>0.5550999999999999</v>
      </c>
      <c r="I766" s="34">
        <v>0.4644</v>
      </c>
      <c r="J766" s="34">
        <v>0.0</v>
      </c>
      <c r="K766" s="34">
        <v>89.0</v>
      </c>
      <c r="L766" s="113">
        <v>-0.8649</v>
      </c>
    </row>
    <row r="767" ht="22.5" customHeight="1">
      <c r="A767" s="111" t="s">
        <v>28</v>
      </c>
      <c r="B767" s="112">
        <v>47102.0</v>
      </c>
      <c r="C767" s="111">
        <v>800.0</v>
      </c>
      <c r="D767" s="111" t="s">
        <v>116</v>
      </c>
      <c r="E767" s="34">
        <v>84.7</v>
      </c>
      <c r="F767" s="34">
        <v>86.2</v>
      </c>
      <c r="G767" s="34">
        <v>87.7</v>
      </c>
      <c r="H767" s="113">
        <v>0.5563</v>
      </c>
      <c r="I767" s="34">
        <v>0.4599</v>
      </c>
      <c r="J767" s="34">
        <v>88.0</v>
      </c>
      <c r="K767" s="34">
        <v>476.0</v>
      </c>
      <c r="L767" s="113">
        <v>-0.8885</v>
      </c>
    </row>
    <row r="768" ht="22.5" customHeight="1">
      <c r="A768" s="111" t="s">
        <v>28</v>
      </c>
      <c r="B768" s="112">
        <v>47102.0</v>
      </c>
      <c r="C768" s="111">
        <v>810.0</v>
      </c>
      <c r="D768" s="111" t="s">
        <v>116</v>
      </c>
      <c r="E768" s="34">
        <v>83.5</v>
      </c>
      <c r="F768" s="34">
        <v>85.03</v>
      </c>
      <c r="G768" s="34">
        <v>86.55</v>
      </c>
      <c r="H768" s="113">
        <v>0.556</v>
      </c>
      <c r="I768" s="34">
        <v>0.4546</v>
      </c>
      <c r="J768" s="34">
        <v>15.0</v>
      </c>
      <c r="K768" s="34">
        <v>21.0</v>
      </c>
      <c r="L768" s="113">
        <v>-0.9120999999999999</v>
      </c>
    </row>
    <row r="769" ht="22.5" customHeight="1">
      <c r="A769" s="111" t="s">
        <v>28</v>
      </c>
      <c r="B769" s="112">
        <v>47102.0</v>
      </c>
      <c r="C769" s="111">
        <v>820.0</v>
      </c>
      <c r="D769" s="111" t="s">
        <v>116</v>
      </c>
      <c r="E769" s="34">
        <v>82.35</v>
      </c>
      <c r="F769" s="34">
        <v>83.8</v>
      </c>
      <c r="G769" s="34">
        <v>85.25</v>
      </c>
      <c r="H769" s="113">
        <v>0.5563</v>
      </c>
      <c r="I769" s="34">
        <v>0.4496</v>
      </c>
      <c r="J769" s="34">
        <v>5.0</v>
      </c>
      <c r="K769" s="34">
        <v>48.0</v>
      </c>
      <c r="L769" s="113">
        <v>-0.9357</v>
      </c>
    </row>
    <row r="770" ht="22.5" customHeight="1">
      <c r="A770" s="111" t="s">
        <v>28</v>
      </c>
      <c r="B770" s="112">
        <v>47102.0</v>
      </c>
      <c r="C770" s="111">
        <v>830.0</v>
      </c>
      <c r="D770" s="111" t="s">
        <v>116</v>
      </c>
      <c r="E770" s="34">
        <v>81.15</v>
      </c>
      <c r="F770" s="34">
        <v>82.7</v>
      </c>
      <c r="G770" s="34">
        <v>84.25</v>
      </c>
      <c r="H770" s="113">
        <v>0.5569</v>
      </c>
      <c r="I770" s="34">
        <v>0.445</v>
      </c>
      <c r="J770" s="34">
        <v>0.0</v>
      </c>
      <c r="K770" s="34">
        <v>15.0</v>
      </c>
      <c r="L770" s="113">
        <v>-0.9593</v>
      </c>
    </row>
    <row r="771" ht="22.5" customHeight="1">
      <c r="A771" s="111" t="s">
        <v>28</v>
      </c>
      <c r="B771" s="112">
        <v>47102.0</v>
      </c>
      <c r="C771" s="111">
        <v>840.0</v>
      </c>
      <c r="D771" s="111" t="s">
        <v>116</v>
      </c>
      <c r="E771" s="34">
        <v>80.0</v>
      </c>
      <c r="F771" s="34">
        <v>81.5</v>
      </c>
      <c r="G771" s="34">
        <v>83.0</v>
      </c>
      <c r="H771" s="113">
        <v>0.557</v>
      </c>
      <c r="I771" s="34">
        <v>0.4401</v>
      </c>
      <c r="J771" s="34">
        <v>0.0</v>
      </c>
      <c r="K771" s="34">
        <v>12.0</v>
      </c>
      <c r="L771" s="113">
        <v>-0.983</v>
      </c>
    </row>
    <row r="772" ht="22.5" customHeight="1">
      <c r="A772" s="111" t="s">
        <v>28</v>
      </c>
      <c r="B772" s="112">
        <v>47102.0</v>
      </c>
      <c r="C772" s="111">
        <v>850.0</v>
      </c>
      <c r="D772" s="111" t="s">
        <v>116</v>
      </c>
      <c r="E772" s="34">
        <v>78.9</v>
      </c>
      <c r="F772" s="34">
        <v>80.4</v>
      </c>
      <c r="G772" s="34">
        <v>81.9</v>
      </c>
      <c r="H772" s="113">
        <v>0.556</v>
      </c>
      <c r="I772" s="34">
        <v>0.4344</v>
      </c>
      <c r="J772" s="34">
        <v>19.0</v>
      </c>
      <c r="K772" s="34">
        <v>75.0</v>
      </c>
      <c r="L772" s="113">
        <v>-1.0066</v>
      </c>
    </row>
    <row r="773" ht="22.5" customHeight="1">
      <c r="A773" s="111" t="s">
        <v>28</v>
      </c>
      <c r="B773" s="112">
        <v>47102.0</v>
      </c>
      <c r="C773" s="111">
        <v>860.0</v>
      </c>
      <c r="D773" s="111" t="s">
        <v>116</v>
      </c>
      <c r="E773" s="34">
        <v>77.85</v>
      </c>
      <c r="F773" s="34">
        <v>79.3</v>
      </c>
      <c r="G773" s="34">
        <v>80.75</v>
      </c>
      <c r="H773" s="113">
        <v>0.5578</v>
      </c>
      <c r="I773" s="34">
        <v>0.4309</v>
      </c>
      <c r="J773" s="34">
        <v>10.0</v>
      </c>
      <c r="K773" s="34">
        <v>529.0</v>
      </c>
      <c r="L773" s="113">
        <v>-1.0302</v>
      </c>
    </row>
    <row r="774" ht="22.5" customHeight="1">
      <c r="A774" s="111" t="s">
        <v>28</v>
      </c>
      <c r="B774" s="112">
        <v>47102.0</v>
      </c>
      <c r="C774" s="111">
        <v>870.0</v>
      </c>
      <c r="D774" s="111" t="s">
        <v>116</v>
      </c>
      <c r="E774" s="34">
        <v>77.55</v>
      </c>
      <c r="F774" s="34">
        <v>78.38</v>
      </c>
      <c r="G774" s="34">
        <v>79.2</v>
      </c>
      <c r="H774" s="113">
        <v>0.5573</v>
      </c>
      <c r="I774" s="34">
        <v>0.4257</v>
      </c>
      <c r="J774" s="34">
        <v>108.0</v>
      </c>
      <c r="K774" s="34">
        <v>1255.0</v>
      </c>
      <c r="L774" s="113">
        <v>-1.0537999999999998</v>
      </c>
    </row>
    <row r="775" ht="22.5" customHeight="1">
      <c r="A775" s="111" t="s">
        <v>28</v>
      </c>
      <c r="B775" s="112">
        <v>47102.0</v>
      </c>
      <c r="C775" s="111">
        <v>5.0</v>
      </c>
      <c r="D775" s="111" t="s">
        <v>117</v>
      </c>
      <c r="E775" s="34">
        <v>0.0</v>
      </c>
      <c r="F775" s="34">
        <v>0.1</v>
      </c>
      <c r="G775" s="34">
        <v>0.19</v>
      </c>
      <c r="H775" s="113">
        <v>0.9731000000000001</v>
      </c>
      <c r="I775" s="34">
        <v>-2.0E-4</v>
      </c>
      <c r="J775" s="34">
        <v>14.0</v>
      </c>
      <c r="K775" s="34">
        <v>367.0</v>
      </c>
      <c r="L775" s="113">
        <v>-0.9882</v>
      </c>
    </row>
    <row r="776" ht="22.5" customHeight="1">
      <c r="A776" s="111" t="s">
        <v>28</v>
      </c>
      <c r="B776" s="112">
        <v>47102.0</v>
      </c>
      <c r="C776" s="111">
        <v>10.0</v>
      </c>
      <c r="D776" s="111" t="s">
        <v>117</v>
      </c>
      <c r="E776" s="34">
        <v>0.0</v>
      </c>
      <c r="F776" s="34">
        <v>0.42</v>
      </c>
      <c r="G776" s="34">
        <v>0.84</v>
      </c>
      <c r="H776" s="113">
        <v>1.1657</v>
      </c>
      <c r="I776" s="34">
        <v>-0.0017</v>
      </c>
      <c r="J776" s="34">
        <v>0.0</v>
      </c>
      <c r="K776" s="34">
        <v>2.0</v>
      </c>
      <c r="L776" s="113">
        <v>-0.9764</v>
      </c>
    </row>
    <row r="777" ht="22.5" customHeight="1">
      <c r="A777" s="111" t="s">
        <v>28</v>
      </c>
      <c r="B777" s="112">
        <v>47102.0</v>
      </c>
      <c r="C777" s="111">
        <v>15.0</v>
      </c>
      <c r="D777" s="111" t="s">
        <v>117</v>
      </c>
      <c r="E777" s="34">
        <v>0.0</v>
      </c>
      <c r="F777" s="34">
        <v>0.5</v>
      </c>
      <c r="G777" s="34">
        <v>1.0</v>
      </c>
      <c r="H777" s="113">
        <v>1.044</v>
      </c>
      <c r="I777" s="34">
        <v>-0.0024</v>
      </c>
      <c r="J777" s="34">
        <v>0.0</v>
      </c>
      <c r="K777" s="34">
        <v>14.0</v>
      </c>
      <c r="L777" s="113">
        <v>-0.9645999999999999</v>
      </c>
    </row>
    <row r="778" ht="22.5" customHeight="1">
      <c r="A778" s="111" t="s">
        <v>28</v>
      </c>
      <c r="B778" s="112">
        <v>47102.0</v>
      </c>
      <c r="C778" s="111">
        <v>20.0</v>
      </c>
      <c r="D778" s="111" t="s">
        <v>117</v>
      </c>
      <c r="E778" s="34">
        <v>0.0</v>
      </c>
      <c r="F778" s="34">
        <v>0.35</v>
      </c>
      <c r="G778" s="34">
        <v>0.7</v>
      </c>
      <c r="H778" s="113">
        <v>0.8858</v>
      </c>
      <c r="I778" s="34">
        <v>-0.0023</v>
      </c>
      <c r="J778" s="34">
        <v>4.0</v>
      </c>
      <c r="K778" s="34">
        <v>1.0</v>
      </c>
      <c r="L778" s="113">
        <v>-0.9528</v>
      </c>
    </row>
    <row r="779" ht="22.5" customHeight="1">
      <c r="A779" s="111" t="s">
        <v>28</v>
      </c>
      <c r="B779" s="112">
        <v>47102.0</v>
      </c>
      <c r="C779" s="111">
        <v>25.0</v>
      </c>
      <c r="D779" s="111" t="s">
        <v>117</v>
      </c>
      <c r="E779" s="34">
        <v>0.08</v>
      </c>
      <c r="F779" s="34">
        <v>0.39</v>
      </c>
      <c r="G779" s="34">
        <v>0.7</v>
      </c>
      <c r="H779" s="113">
        <v>0.7487999999999999</v>
      </c>
      <c r="I779" s="34">
        <v>-0.0017</v>
      </c>
      <c r="J779" s="34">
        <v>0.0</v>
      </c>
      <c r="K779" s="34">
        <v>9.0</v>
      </c>
      <c r="L779" s="113">
        <v>-0.941</v>
      </c>
    </row>
    <row r="780" ht="22.5" customHeight="1">
      <c r="A780" s="111" t="s">
        <v>28</v>
      </c>
      <c r="B780" s="112">
        <v>47102.0</v>
      </c>
      <c r="C780" s="111">
        <v>30.0</v>
      </c>
      <c r="D780" s="111" t="s">
        <v>117</v>
      </c>
      <c r="E780" s="34">
        <v>0.15</v>
      </c>
      <c r="F780" s="34">
        <v>0.43</v>
      </c>
      <c r="G780" s="34">
        <v>0.7</v>
      </c>
      <c r="H780" s="113">
        <v>0.7058</v>
      </c>
      <c r="I780" s="34">
        <v>-0.002</v>
      </c>
      <c r="J780" s="34">
        <v>5.0</v>
      </c>
      <c r="K780" s="34">
        <v>76.0</v>
      </c>
      <c r="L780" s="113">
        <v>-0.9292</v>
      </c>
    </row>
    <row r="781" ht="22.5" customHeight="1">
      <c r="A781" s="111" t="s">
        <v>28</v>
      </c>
      <c r="B781" s="112">
        <v>47102.0</v>
      </c>
      <c r="C781" s="111">
        <v>35.0</v>
      </c>
      <c r="D781" s="111" t="s">
        <v>117</v>
      </c>
      <c r="E781" s="34">
        <v>0.49</v>
      </c>
      <c r="F781" s="34">
        <v>0.7</v>
      </c>
      <c r="G781" s="34">
        <v>0.91</v>
      </c>
      <c r="H781" s="113">
        <v>0.7111</v>
      </c>
      <c r="I781" s="34">
        <v>-0.0031</v>
      </c>
      <c r="J781" s="34">
        <v>0.0</v>
      </c>
      <c r="K781" s="34">
        <v>146.0</v>
      </c>
      <c r="L781" s="113">
        <v>-0.9174</v>
      </c>
    </row>
    <row r="782" ht="22.5" customHeight="1">
      <c r="A782" s="111" t="s">
        <v>28</v>
      </c>
      <c r="B782" s="112">
        <v>47102.0</v>
      </c>
      <c r="C782" s="111">
        <v>40.0</v>
      </c>
      <c r="D782" s="111" t="s">
        <v>117</v>
      </c>
      <c r="E782" s="34">
        <v>0.73</v>
      </c>
      <c r="F782" s="34">
        <v>0.99</v>
      </c>
      <c r="G782" s="34">
        <v>1.25</v>
      </c>
      <c r="H782" s="113">
        <v>0.7081000000000001</v>
      </c>
      <c r="I782" s="34">
        <v>-0.0042</v>
      </c>
      <c r="J782" s="34">
        <v>0.0</v>
      </c>
      <c r="K782" s="34">
        <v>9.0</v>
      </c>
      <c r="L782" s="113">
        <v>-0.9056000000000001</v>
      </c>
    </row>
    <row r="783" ht="22.5" customHeight="1">
      <c r="A783" s="111" t="s">
        <v>28</v>
      </c>
      <c r="B783" s="112">
        <v>47102.0</v>
      </c>
      <c r="C783" s="111">
        <v>45.0</v>
      </c>
      <c r="D783" s="111" t="s">
        <v>117</v>
      </c>
      <c r="E783" s="34">
        <v>0.77</v>
      </c>
      <c r="F783" s="34">
        <v>1.19</v>
      </c>
      <c r="G783" s="34">
        <v>1.6</v>
      </c>
      <c r="H783" s="113">
        <v>0.6912999999999999</v>
      </c>
      <c r="I783" s="34">
        <v>-0.0051</v>
      </c>
      <c r="J783" s="34">
        <v>0.0</v>
      </c>
      <c r="K783" s="34">
        <v>2.0</v>
      </c>
      <c r="L783" s="113">
        <v>-0.8937999999999999</v>
      </c>
    </row>
    <row r="784" ht="22.5" customHeight="1">
      <c r="A784" s="111" t="s">
        <v>28</v>
      </c>
      <c r="B784" s="112">
        <v>47102.0</v>
      </c>
      <c r="C784" s="111">
        <v>50.0</v>
      </c>
      <c r="D784" s="111" t="s">
        <v>117</v>
      </c>
      <c r="E784" s="34">
        <v>1.51</v>
      </c>
      <c r="F784" s="34">
        <v>1.76</v>
      </c>
      <c r="G784" s="34">
        <v>2.0</v>
      </c>
      <c r="H784" s="113">
        <v>0.7038</v>
      </c>
      <c r="I784" s="34">
        <v>-0.007</v>
      </c>
      <c r="J784" s="34">
        <v>0.0</v>
      </c>
      <c r="K784" s="34">
        <v>289.0</v>
      </c>
      <c r="L784" s="113">
        <v>-0.882</v>
      </c>
    </row>
    <row r="785" ht="22.5" customHeight="1">
      <c r="A785" s="111" t="s">
        <v>28</v>
      </c>
      <c r="B785" s="112">
        <v>47102.0</v>
      </c>
      <c r="C785" s="111">
        <v>60.0</v>
      </c>
      <c r="D785" s="111" t="s">
        <v>117</v>
      </c>
      <c r="E785" s="34">
        <v>1.78</v>
      </c>
      <c r="F785" s="34">
        <v>2.39</v>
      </c>
      <c r="G785" s="34">
        <v>3.0</v>
      </c>
      <c r="H785" s="113">
        <v>0.6808</v>
      </c>
      <c r="I785" s="34">
        <v>-0.0096</v>
      </c>
      <c r="J785" s="34">
        <v>0.0</v>
      </c>
      <c r="K785" s="34">
        <v>131.0</v>
      </c>
      <c r="L785" s="113">
        <v>-0.8584</v>
      </c>
    </row>
    <row r="786" ht="22.5" customHeight="1">
      <c r="A786" s="111" t="s">
        <v>28</v>
      </c>
      <c r="B786" s="112">
        <v>47102.0</v>
      </c>
      <c r="C786" s="111">
        <v>70.0</v>
      </c>
      <c r="D786" s="111" t="s">
        <v>117</v>
      </c>
      <c r="E786" s="34">
        <v>3.0</v>
      </c>
      <c r="F786" s="34">
        <v>3.43</v>
      </c>
      <c r="G786" s="34">
        <v>3.85</v>
      </c>
      <c r="H786" s="113">
        <v>0.6604000000000001</v>
      </c>
      <c r="I786" s="34">
        <v>-0.0125</v>
      </c>
      <c r="J786" s="34">
        <v>1.0</v>
      </c>
      <c r="K786" s="34">
        <v>24.0</v>
      </c>
      <c r="L786" s="113">
        <v>-0.8348</v>
      </c>
    </row>
    <row r="787" ht="22.5" customHeight="1">
      <c r="A787" s="111" t="s">
        <v>28</v>
      </c>
      <c r="B787" s="112">
        <v>47102.0</v>
      </c>
      <c r="C787" s="111">
        <v>80.0</v>
      </c>
      <c r="D787" s="111" t="s">
        <v>117</v>
      </c>
      <c r="E787" s="34">
        <v>4.05</v>
      </c>
      <c r="F787" s="34">
        <v>4.53</v>
      </c>
      <c r="G787" s="34">
        <v>5.0</v>
      </c>
      <c r="H787" s="113">
        <v>0.6578</v>
      </c>
      <c r="I787" s="34">
        <v>-0.0167</v>
      </c>
      <c r="J787" s="34">
        <v>5.0</v>
      </c>
      <c r="K787" s="34">
        <v>55.0</v>
      </c>
      <c r="L787" s="113">
        <v>-0.8111</v>
      </c>
    </row>
    <row r="788" ht="22.5" customHeight="1">
      <c r="A788" s="111" t="s">
        <v>28</v>
      </c>
      <c r="B788" s="112">
        <v>47102.0</v>
      </c>
      <c r="C788" s="111">
        <v>90.0</v>
      </c>
      <c r="D788" s="111" t="s">
        <v>117</v>
      </c>
      <c r="E788" s="34">
        <v>5.0</v>
      </c>
      <c r="F788" s="34">
        <v>5.18</v>
      </c>
      <c r="G788" s="34">
        <v>5.35</v>
      </c>
      <c r="H788" s="113">
        <v>0.6381</v>
      </c>
      <c r="I788" s="34">
        <v>-0.0202</v>
      </c>
      <c r="J788" s="34">
        <v>0.0</v>
      </c>
      <c r="K788" s="34">
        <v>212.0</v>
      </c>
      <c r="L788" s="113">
        <v>-0.7875</v>
      </c>
    </row>
    <row r="789" ht="22.5" customHeight="1">
      <c r="A789" s="111" t="s">
        <v>28</v>
      </c>
      <c r="B789" s="112">
        <v>47102.0</v>
      </c>
      <c r="C789" s="111">
        <v>100.0</v>
      </c>
      <c r="D789" s="111" t="s">
        <v>117</v>
      </c>
      <c r="E789" s="34">
        <v>5.9</v>
      </c>
      <c r="F789" s="34">
        <v>6.25</v>
      </c>
      <c r="G789" s="34">
        <v>6.6</v>
      </c>
      <c r="H789" s="113">
        <v>0.6258</v>
      </c>
      <c r="I789" s="34">
        <v>-0.0245</v>
      </c>
      <c r="J789" s="34">
        <v>102.0</v>
      </c>
      <c r="K789" s="34">
        <v>195.0</v>
      </c>
      <c r="L789" s="113">
        <v>-0.7639</v>
      </c>
    </row>
    <row r="790" ht="22.5" customHeight="1">
      <c r="A790" s="111" t="s">
        <v>28</v>
      </c>
      <c r="B790" s="112">
        <v>47102.0</v>
      </c>
      <c r="C790" s="111">
        <v>110.0</v>
      </c>
      <c r="D790" s="111" t="s">
        <v>117</v>
      </c>
      <c r="E790" s="34">
        <v>7.05</v>
      </c>
      <c r="F790" s="34">
        <v>7.53</v>
      </c>
      <c r="G790" s="34">
        <v>8.0</v>
      </c>
      <c r="H790" s="113">
        <v>0.6143</v>
      </c>
      <c r="I790" s="34">
        <v>-0.0292</v>
      </c>
      <c r="J790" s="34">
        <v>0.0</v>
      </c>
      <c r="K790" s="34">
        <v>196.0</v>
      </c>
      <c r="L790" s="113">
        <v>-0.7403</v>
      </c>
    </row>
    <row r="791" ht="22.5" customHeight="1">
      <c r="A791" s="111" t="s">
        <v>28</v>
      </c>
      <c r="B791" s="112">
        <v>47102.0</v>
      </c>
      <c r="C791" s="111">
        <v>120.0</v>
      </c>
      <c r="D791" s="111" t="s">
        <v>117</v>
      </c>
      <c r="E791" s="34">
        <v>8.45</v>
      </c>
      <c r="F791" s="34">
        <v>8.93</v>
      </c>
      <c r="G791" s="34">
        <v>9.4</v>
      </c>
      <c r="H791" s="113">
        <v>0.605</v>
      </c>
      <c r="I791" s="34">
        <v>-0.0343</v>
      </c>
      <c r="J791" s="34">
        <v>0.0</v>
      </c>
      <c r="K791" s="34">
        <v>164.0</v>
      </c>
      <c r="L791" s="113">
        <v>-0.7167</v>
      </c>
    </row>
    <row r="792" ht="22.5" customHeight="1">
      <c r="A792" s="111" t="s">
        <v>28</v>
      </c>
      <c r="B792" s="112">
        <v>47102.0</v>
      </c>
      <c r="C792" s="111">
        <v>130.0</v>
      </c>
      <c r="D792" s="111" t="s">
        <v>117</v>
      </c>
      <c r="E792" s="34">
        <v>10.05</v>
      </c>
      <c r="F792" s="34">
        <v>10.9</v>
      </c>
      <c r="G792" s="34">
        <v>11.75</v>
      </c>
      <c r="H792" s="113">
        <v>0.5956</v>
      </c>
      <c r="I792" s="34">
        <v>-0.0398</v>
      </c>
      <c r="J792" s="34">
        <v>1.0</v>
      </c>
      <c r="K792" s="34">
        <v>78.0</v>
      </c>
      <c r="L792" s="113">
        <v>-0.6931</v>
      </c>
    </row>
    <row r="793" ht="22.5" customHeight="1">
      <c r="A793" s="111" t="s">
        <v>28</v>
      </c>
      <c r="B793" s="112">
        <v>47102.0</v>
      </c>
      <c r="C793" s="111">
        <v>140.0</v>
      </c>
      <c r="D793" s="111" t="s">
        <v>117</v>
      </c>
      <c r="E793" s="34">
        <v>11.75</v>
      </c>
      <c r="F793" s="34">
        <v>12.63</v>
      </c>
      <c r="G793" s="34">
        <v>13.5</v>
      </c>
      <c r="H793" s="113">
        <v>0.5961</v>
      </c>
      <c r="I793" s="34">
        <v>-0.0466</v>
      </c>
      <c r="J793" s="34">
        <v>0.0</v>
      </c>
      <c r="K793" s="34">
        <v>42.0</v>
      </c>
      <c r="L793" s="113">
        <v>-0.6695</v>
      </c>
    </row>
    <row r="794" ht="22.5" customHeight="1">
      <c r="A794" s="111" t="s">
        <v>28</v>
      </c>
      <c r="B794" s="112">
        <v>47102.0</v>
      </c>
      <c r="C794" s="111">
        <v>150.0</v>
      </c>
      <c r="D794" s="111" t="s">
        <v>117</v>
      </c>
      <c r="E794" s="34">
        <v>13.6</v>
      </c>
      <c r="F794" s="34">
        <v>14.25</v>
      </c>
      <c r="G794" s="34">
        <v>14.9</v>
      </c>
      <c r="H794" s="113">
        <v>0.586</v>
      </c>
      <c r="I794" s="34">
        <v>-0.0526</v>
      </c>
      <c r="J794" s="34">
        <v>77.0</v>
      </c>
      <c r="K794" s="34">
        <v>301.0</v>
      </c>
      <c r="L794" s="113">
        <v>-0.6459</v>
      </c>
    </row>
    <row r="795" ht="22.5" customHeight="1">
      <c r="A795" s="111" t="s">
        <v>28</v>
      </c>
      <c r="B795" s="112">
        <v>47102.0</v>
      </c>
      <c r="C795" s="111">
        <v>160.0</v>
      </c>
      <c r="D795" s="111" t="s">
        <v>117</v>
      </c>
      <c r="E795" s="34">
        <v>15.65</v>
      </c>
      <c r="F795" s="34">
        <v>16.1</v>
      </c>
      <c r="G795" s="34">
        <v>16.55</v>
      </c>
      <c r="H795" s="113">
        <v>0.578</v>
      </c>
      <c r="I795" s="34">
        <v>-0.0592</v>
      </c>
      <c r="J795" s="34">
        <v>1.0</v>
      </c>
      <c r="K795" s="34">
        <v>62.0</v>
      </c>
      <c r="L795" s="113">
        <v>-0.6223</v>
      </c>
    </row>
    <row r="796" ht="22.5" customHeight="1">
      <c r="A796" s="111" t="s">
        <v>28</v>
      </c>
      <c r="B796" s="112">
        <v>47102.0</v>
      </c>
      <c r="C796" s="111">
        <v>170.0</v>
      </c>
      <c r="D796" s="111" t="s">
        <v>117</v>
      </c>
      <c r="E796" s="34">
        <v>17.85</v>
      </c>
      <c r="F796" s="34">
        <v>18.58</v>
      </c>
      <c r="G796" s="34">
        <v>19.3</v>
      </c>
      <c r="H796" s="113">
        <v>0.5760000000000001</v>
      </c>
      <c r="I796" s="34">
        <v>-0.0667</v>
      </c>
      <c r="J796" s="34">
        <v>0.0</v>
      </c>
      <c r="K796" s="34">
        <v>175.0</v>
      </c>
      <c r="L796" s="113">
        <v>-0.5987</v>
      </c>
    </row>
    <row r="797" ht="22.5" customHeight="1">
      <c r="A797" s="111" t="s">
        <v>28</v>
      </c>
      <c r="B797" s="112">
        <v>47102.0</v>
      </c>
      <c r="C797" s="111">
        <v>180.0</v>
      </c>
      <c r="D797" s="111" t="s">
        <v>117</v>
      </c>
      <c r="E797" s="34">
        <v>20.2</v>
      </c>
      <c r="F797" s="34">
        <v>21.08</v>
      </c>
      <c r="G797" s="34">
        <v>21.95</v>
      </c>
      <c r="H797" s="113">
        <v>0.5719</v>
      </c>
      <c r="I797" s="34">
        <v>-0.0742</v>
      </c>
      <c r="J797" s="34">
        <v>16.0</v>
      </c>
      <c r="K797" s="34">
        <v>192.0</v>
      </c>
      <c r="L797" s="113">
        <v>-0.5751</v>
      </c>
    </row>
    <row r="798" ht="22.5" customHeight="1">
      <c r="A798" s="111" t="s">
        <v>28</v>
      </c>
      <c r="B798" s="112">
        <v>47102.0</v>
      </c>
      <c r="C798" s="111">
        <v>190.0</v>
      </c>
      <c r="D798" s="111" t="s">
        <v>117</v>
      </c>
      <c r="E798" s="34">
        <v>22.7</v>
      </c>
      <c r="F798" s="34">
        <v>23.63</v>
      </c>
      <c r="G798" s="34">
        <v>24.55</v>
      </c>
      <c r="H798" s="113">
        <v>0.5685</v>
      </c>
      <c r="I798" s="34">
        <v>-0.0821</v>
      </c>
      <c r="J798" s="34">
        <v>0.0</v>
      </c>
      <c r="K798" s="34">
        <v>101.0</v>
      </c>
      <c r="L798" s="113">
        <v>-0.5515</v>
      </c>
    </row>
    <row r="799" ht="22.5" customHeight="1">
      <c r="A799" s="111" t="s">
        <v>28</v>
      </c>
      <c r="B799" s="112">
        <v>47102.0</v>
      </c>
      <c r="C799" s="111">
        <v>195.0</v>
      </c>
      <c r="D799" s="111" t="s">
        <v>117</v>
      </c>
      <c r="E799" s="34">
        <v>24.0</v>
      </c>
      <c r="F799" s="34">
        <v>24.78</v>
      </c>
      <c r="G799" s="34">
        <v>25.55</v>
      </c>
      <c r="H799" s="113">
        <v>0.5648</v>
      </c>
      <c r="I799" s="34">
        <v>-0.0859</v>
      </c>
      <c r="J799" s="34">
        <v>0.0</v>
      </c>
      <c r="K799" s="34">
        <v>22.0</v>
      </c>
      <c r="L799" s="113">
        <v>-0.5397</v>
      </c>
    </row>
    <row r="800" ht="22.5" customHeight="1">
      <c r="A800" s="111" t="s">
        <v>28</v>
      </c>
      <c r="B800" s="112">
        <v>47102.0</v>
      </c>
      <c r="C800" s="111">
        <v>200.0</v>
      </c>
      <c r="D800" s="111" t="s">
        <v>117</v>
      </c>
      <c r="E800" s="34">
        <v>25.35</v>
      </c>
      <c r="F800" s="34">
        <v>25.95</v>
      </c>
      <c r="G800" s="34">
        <v>26.55</v>
      </c>
      <c r="H800" s="113">
        <v>0.5597</v>
      </c>
      <c r="I800" s="34">
        <v>-0.0896</v>
      </c>
      <c r="J800" s="34">
        <v>6.0</v>
      </c>
      <c r="K800" s="34">
        <v>244.0</v>
      </c>
      <c r="L800" s="113">
        <v>-0.5279</v>
      </c>
    </row>
    <row r="801" ht="22.5" customHeight="1">
      <c r="A801" s="111" t="s">
        <v>28</v>
      </c>
      <c r="B801" s="112">
        <v>47102.0</v>
      </c>
      <c r="C801" s="111">
        <v>210.0</v>
      </c>
      <c r="D801" s="111" t="s">
        <v>117</v>
      </c>
      <c r="E801" s="34">
        <v>28.2</v>
      </c>
      <c r="F801" s="34">
        <v>29.17</v>
      </c>
      <c r="G801" s="34">
        <v>30.15</v>
      </c>
      <c r="H801" s="113">
        <v>0.5609000000000001</v>
      </c>
      <c r="I801" s="34">
        <v>-0.0986</v>
      </c>
      <c r="J801" s="34">
        <v>0.0</v>
      </c>
      <c r="K801" s="34">
        <v>51.0</v>
      </c>
      <c r="L801" s="113">
        <v>-0.5043</v>
      </c>
    </row>
    <row r="802" ht="22.5" customHeight="1">
      <c r="A802" s="111" t="s">
        <v>28</v>
      </c>
      <c r="B802" s="112">
        <v>47102.0</v>
      </c>
      <c r="C802" s="111">
        <v>220.0</v>
      </c>
      <c r="D802" s="111" t="s">
        <v>117</v>
      </c>
      <c r="E802" s="34">
        <v>31.2</v>
      </c>
      <c r="F802" s="34">
        <v>32.13</v>
      </c>
      <c r="G802" s="34">
        <v>33.05</v>
      </c>
      <c r="H802" s="113">
        <v>0.5571</v>
      </c>
      <c r="I802" s="34">
        <v>-0.1072</v>
      </c>
      <c r="J802" s="34">
        <v>0.0</v>
      </c>
      <c r="K802" s="34">
        <v>189.0</v>
      </c>
      <c r="L802" s="113">
        <v>-0.4807</v>
      </c>
    </row>
    <row r="803" ht="22.5" customHeight="1">
      <c r="A803" s="111" t="s">
        <v>28</v>
      </c>
      <c r="B803" s="112">
        <v>47102.0</v>
      </c>
      <c r="C803" s="111">
        <v>230.0</v>
      </c>
      <c r="D803" s="111" t="s">
        <v>117</v>
      </c>
      <c r="E803" s="34">
        <v>34.4</v>
      </c>
      <c r="F803" s="34">
        <v>35.4</v>
      </c>
      <c r="G803" s="34">
        <v>36.4</v>
      </c>
      <c r="H803" s="113">
        <v>0.5548</v>
      </c>
      <c r="I803" s="34">
        <v>-0.1161</v>
      </c>
      <c r="J803" s="34">
        <v>0.0</v>
      </c>
      <c r="K803" s="34">
        <v>38.0</v>
      </c>
      <c r="L803" s="113">
        <v>-0.457</v>
      </c>
    </row>
    <row r="804" ht="22.5" customHeight="1">
      <c r="A804" s="111" t="s">
        <v>28</v>
      </c>
      <c r="B804" s="112">
        <v>47102.0</v>
      </c>
      <c r="C804" s="111">
        <v>240.0</v>
      </c>
      <c r="D804" s="111" t="s">
        <v>117</v>
      </c>
      <c r="E804" s="34">
        <v>37.75</v>
      </c>
      <c r="F804" s="34">
        <v>38.78</v>
      </c>
      <c r="G804" s="34">
        <v>39.8</v>
      </c>
      <c r="H804" s="113">
        <v>0.5504</v>
      </c>
      <c r="I804" s="34">
        <v>-0.1252</v>
      </c>
      <c r="J804" s="34">
        <v>4.0</v>
      </c>
      <c r="K804" s="34">
        <v>84.0</v>
      </c>
      <c r="L804" s="113">
        <v>-0.4334</v>
      </c>
    </row>
    <row r="805" ht="22.5" customHeight="1">
      <c r="A805" s="111" t="s">
        <v>28</v>
      </c>
      <c r="B805" s="112">
        <v>47102.0</v>
      </c>
      <c r="C805" s="111">
        <v>250.0</v>
      </c>
      <c r="D805" s="111" t="s">
        <v>117</v>
      </c>
      <c r="E805" s="34">
        <v>41.2</v>
      </c>
      <c r="F805" s="34">
        <v>41.85</v>
      </c>
      <c r="G805" s="34">
        <v>42.5</v>
      </c>
      <c r="H805" s="113">
        <v>0.5468999999999999</v>
      </c>
      <c r="I805" s="34">
        <v>-0.1346</v>
      </c>
      <c r="J805" s="34">
        <v>8.0</v>
      </c>
      <c r="K805" s="34">
        <v>127.0</v>
      </c>
      <c r="L805" s="113">
        <v>-0.40979999999999994</v>
      </c>
    </row>
    <row r="806" ht="22.5" customHeight="1">
      <c r="A806" s="111" t="s">
        <v>28</v>
      </c>
      <c r="B806" s="112">
        <v>47102.0</v>
      </c>
      <c r="C806" s="111">
        <v>260.0</v>
      </c>
      <c r="D806" s="111" t="s">
        <v>117</v>
      </c>
      <c r="E806" s="34">
        <v>44.75</v>
      </c>
      <c r="F806" s="34">
        <v>45.98</v>
      </c>
      <c r="G806" s="34">
        <v>47.2</v>
      </c>
      <c r="H806" s="113">
        <v>0.5476</v>
      </c>
      <c r="I806" s="34">
        <v>-0.1444</v>
      </c>
      <c r="J806" s="34">
        <v>0.0</v>
      </c>
      <c r="K806" s="34">
        <v>247.0</v>
      </c>
      <c r="L806" s="113">
        <v>-0.3862</v>
      </c>
    </row>
    <row r="807" ht="22.5" customHeight="1">
      <c r="A807" s="111" t="s">
        <v>28</v>
      </c>
      <c r="B807" s="112">
        <v>47102.0</v>
      </c>
      <c r="C807" s="111">
        <v>270.0</v>
      </c>
      <c r="D807" s="111" t="s">
        <v>117</v>
      </c>
      <c r="E807" s="34">
        <v>48.7</v>
      </c>
      <c r="F807" s="34">
        <v>49.8</v>
      </c>
      <c r="G807" s="34">
        <v>50.9</v>
      </c>
      <c r="H807" s="113">
        <v>0.5455</v>
      </c>
      <c r="I807" s="34">
        <v>-0.1542</v>
      </c>
      <c r="J807" s="34">
        <v>0.0</v>
      </c>
      <c r="K807" s="34">
        <v>401.0</v>
      </c>
      <c r="L807" s="113">
        <v>-0.3626</v>
      </c>
    </row>
    <row r="808" ht="22.5" customHeight="1">
      <c r="A808" s="111" t="s">
        <v>28</v>
      </c>
      <c r="B808" s="112">
        <v>47102.0</v>
      </c>
      <c r="C808" s="111">
        <v>280.0</v>
      </c>
      <c r="D808" s="111" t="s">
        <v>117</v>
      </c>
      <c r="E808" s="34">
        <v>52.6</v>
      </c>
      <c r="F808" s="34">
        <v>53.3</v>
      </c>
      <c r="G808" s="34">
        <v>54.0</v>
      </c>
      <c r="H808" s="113">
        <v>0.5432</v>
      </c>
      <c r="I808" s="34">
        <v>-0.1639</v>
      </c>
      <c r="J808" s="34">
        <v>5.0</v>
      </c>
      <c r="K808" s="34">
        <v>1392.0</v>
      </c>
      <c r="L808" s="113">
        <v>-0.33899999999999997</v>
      </c>
    </row>
    <row r="809" ht="22.5" customHeight="1">
      <c r="A809" s="111" t="s">
        <v>28</v>
      </c>
      <c r="B809" s="112">
        <v>47102.0</v>
      </c>
      <c r="C809" s="111">
        <v>290.0</v>
      </c>
      <c r="D809" s="111" t="s">
        <v>117</v>
      </c>
      <c r="E809" s="34">
        <v>56.8</v>
      </c>
      <c r="F809" s="34">
        <v>57.65</v>
      </c>
      <c r="G809" s="34">
        <v>58.5</v>
      </c>
      <c r="H809" s="113">
        <v>0.5404</v>
      </c>
      <c r="I809" s="34">
        <v>-0.1742</v>
      </c>
      <c r="J809" s="34">
        <v>7.0</v>
      </c>
      <c r="K809" s="34">
        <v>40.0</v>
      </c>
      <c r="L809" s="113">
        <v>-0.3154</v>
      </c>
    </row>
    <row r="810" ht="22.5" customHeight="1">
      <c r="A810" s="111" t="s">
        <v>28</v>
      </c>
      <c r="B810" s="112">
        <v>47102.0</v>
      </c>
      <c r="C810" s="111">
        <v>300.0</v>
      </c>
      <c r="D810" s="111" t="s">
        <v>117</v>
      </c>
      <c r="E810" s="34">
        <v>61.05</v>
      </c>
      <c r="F810" s="34">
        <v>61.88</v>
      </c>
      <c r="G810" s="34">
        <v>62.7</v>
      </c>
      <c r="H810" s="113">
        <v>0.5379999999999999</v>
      </c>
      <c r="I810" s="34">
        <v>-0.1841</v>
      </c>
      <c r="J810" s="34">
        <v>47.0</v>
      </c>
      <c r="K810" s="34">
        <v>274.0</v>
      </c>
      <c r="L810" s="113">
        <v>-0.2918</v>
      </c>
    </row>
    <row r="811" ht="22.5" customHeight="1">
      <c r="A811" s="111" t="s">
        <v>28</v>
      </c>
      <c r="B811" s="112">
        <v>47102.0</v>
      </c>
      <c r="C811" s="111">
        <v>310.0</v>
      </c>
      <c r="D811" s="111" t="s">
        <v>117</v>
      </c>
      <c r="E811" s="34">
        <v>65.45</v>
      </c>
      <c r="F811" s="34">
        <v>66.7</v>
      </c>
      <c r="G811" s="34">
        <v>67.95</v>
      </c>
      <c r="H811" s="113">
        <v>0.5349</v>
      </c>
      <c r="I811" s="34">
        <v>-0.1945</v>
      </c>
      <c r="J811" s="34">
        <v>80.0</v>
      </c>
      <c r="K811" s="34">
        <v>532.0</v>
      </c>
      <c r="L811" s="113">
        <v>-0.2682</v>
      </c>
    </row>
    <row r="812" ht="22.5" customHeight="1">
      <c r="A812" s="111" t="s">
        <v>28</v>
      </c>
      <c r="B812" s="112">
        <v>47102.0</v>
      </c>
      <c r="C812" s="111">
        <v>320.0</v>
      </c>
      <c r="D812" s="111" t="s">
        <v>117</v>
      </c>
      <c r="E812" s="34">
        <v>70.05</v>
      </c>
      <c r="F812" s="34">
        <v>71.0</v>
      </c>
      <c r="G812" s="34">
        <v>71.95</v>
      </c>
      <c r="H812" s="113">
        <v>0.5323</v>
      </c>
      <c r="I812" s="34">
        <v>-0.2046</v>
      </c>
      <c r="J812" s="34">
        <v>4.0</v>
      </c>
      <c r="K812" s="34">
        <v>123.0</v>
      </c>
      <c r="L812" s="113">
        <v>-0.2446</v>
      </c>
    </row>
    <row r="813" ht="22.5" customHeight="1">
      <c r="A813" s="111" t="s">
        <v>28</v>
      </c>
      <c r="B813" s="112">
        <v>47102.0</v>
      </c>
      <c r="C813" s="111">
        <v>330.0</v>
      </c>
      <c r="D813" s="111" t="s">
        <v>117</v>
      </c>
      <c r="E813" s="34">
        <v>74.8</v>
      </c>
      <c r="F813" s="34">
        <v>76.07</v>
      </c>
      <c r="G813" s="34">
        <v>77.35</v>
      </c>
      <c r="H813" s="113">
        <v>0.5367999999999999</v>
      </c>
      <c r="I813" s="34">
        <v>-0.2145</v>
      </c>
      <c r="J813" s="34">
        <v>0.0</v>
      </c>
      <c r="K813" s="34">
        <v>306.0</v>
      </c>
      <c r="L813" s="113">
        <v>-0.221</v>
      </c>
    </row>
    <row r="814" ht="22.5" customHeight="1">
      <c r="A814" s="111" t="s">
        <v>28</v>
      </c>
      <c r="B814" s="112">
        <v>47102.0</v>
      </c>
      <c r="C814" s="111">
        <v>340.0</v>
      </c>
      <c r="D814" s="111" t="s">
        <v>117</v>
      </c>
      <c r="E814" s="34">
        <v>79.7</v>
      </c>
      <c r="F814" s="34">
        <v>80.98</v>
      </c>
      <c r="G814" s="34">
        <v>82.25</v>
      </c>
      <c r="H814" s="113">
        <v>0.5357999999999999</v>
      </c>
      <c r="I814" s="34">
        <v>-0.2253</v>
      </c>
      <c r="J814" s="34">
        <v>2.0</v>
      </c>
      <c r="K814" s="34">
        <v>314.0</v>
      </c>
      <c r="L814" s="113">
        <v>-0.1974</v>
      </c>
    </row>
    <row r="815" ht="22.5" customHeight="1">
      <c r="A815" s="111" t="s">
        <v>28</v>
      </c>
      <c r="B815" s="112">
        <v>47102.0</v>
      </c>
      <c r="C815" s="111">
        <v>350.0</v>
      </c>
      <c r="D815" s="111" t="s">
        <v>117</v>
      </c>
      <c r="E815" s="34">
        <v>84.7</v>
      </c>
      <c r="F815" s="34">
        <v>86.03</v>
      </c>
      <c r="G815" s="34">
        <v>87.35</v>
      </c>
      <c r="H815" s="113">
        <v>0.535</v>
      </c>
      <c r="I815" s="34">
        <v>-0.2358</v>
      </c>
      <c r="J815" s="34">
        <v>14.0</v>
      </c>
      <c r="K815" s="34">
        <v>234.0</v>
      </c>
      <c r="L815" s="113">
        <v>-0.17379999999999998</v>
      </c>
    </row>
    <row r="816" ht="22.5" customHeight="1">
      <c r="A816" s="111" t="s">
        <v>28</v>
      </c>
      <c r="B816" s="112">
        <v>47102.0</v>
      </c>
      <c r="C816" s="111">
        <v>360.0</v>
      </c>
      <c r="D816" s="111" t="s">
        <v>117</v>
      </c>
      <c r="E816" s="34">
        <v>89.85</v>
      </c>
      <c r="F816" s="34">
        <v>91.2</v>
      </c>
      <c r="G816" s="34">
        <v>92.55</v>
      </c>
      <c r="H816" s="113">
        <v>0.5342</v>
      </c>
      <c r="I816" s="34">
        <v>-0.2461</v>
      </c>
      <c r="J816" s="34">
        <v>15.0</v>
      </c>
      <c r="K816" s="34">
        <v>52.0</v>
      </c>
      <c r="L816" s="113">
        <v>-0.1502</v>
      </c>
    </row>
    <row r="817" ht="22.5" customHeight="1">
      <c r="A817" s="111" t="s">
        <v>28</v>
      </c>
      <c r="B817" s="112">
        <v>47102.0</v>
      </c>
      <c r="C817" s="111">
        <v>370.0</v>
      </c>
      <c r="D817" s="111" t="s">
        <v>117</v>
      </c>
      <c r="E817" s="34">
        <v>95.2</v>
      </c>
      <c r="F817" s="34">
        <v>96.55</v>
      </c>
      <c r="G817" s="34">
        <v>97.9</v>
      </c>
      <c r="H817" s="113">
        <v>0.5317000000000001</v>
      </c>
      <c r="I817" s="34">
        <v>-0.257</v>
      </c>
      <c r="J817" s="34">
        <v>2.0</v>
      </c>
      <c r="K817" s="34">
        <v>33.0</v>
      </c>
      <c r="L817" s="113">
        <v>-0.1266</v>
      </c>
    </row>
    <row r="818" ht="22.5" customHeight="1">
      <c r="A818" s="111" t="s">
        <v>28</v>
      </c>
      <c r="B818" s="112">
        <v>47102.0</v>
      </c>
      <c r="C818" s="111">
        <v>380.0</v>
      </c>
      <c r="D818" s="111" t="s">
        <v>117</v>
      </c>
      <c r="E818" s="34">
        <v>100.6</v>
      </c>
      <c r="F818" s="34">
        <v>101.55</v>
      </c>
      <c r="G818" s="34">
        <v>102.5</v>
      </c>
      <c r="H818" s="113">
        <v>0.5331</v>
      </c>
      <c r="I818" s="34">
        <v>-0.2668</v>
      </c>
      <c r="J818" s="34">
        <v>47.0</v>
      </c>
      <c r="K818" s="34">
        <v>90.0</v>
      </c>
      <c r="L818" s="113">
        <v>-0.10289999999999999</v>
      </c>
    </row>
    <row r="819" ht="22.5" customHeight="1">
      <c r="A819" s="111" t="s">
        <v>28</v>
      </c>
      <c r="B819" s="112">
        <v>47102.0</v>
      </c>
      <c r="C819" s="111">
        <v>390.0</v>
      </c>
      <c r="D819" s="111" t="s">
        <v>117</v>
      </c>
      <c r="E819" s="34">
        <v>106.2</v>
      </c>
      <c r="F819" s="34">
        <v>107.53</v>
      </c>
      <c r="G819" s="34">
        <v>108.85</v>
      </c>
      <c r="H819" s="113">
        <v>0.5323</v>
      </c>
      <c r="I819" s="34">
        <v>-0.2776</v>
      </c>
      <c r="J819" s="34">
        <v>21.0</v>
      </c>
      <c r="K819" s="34">
        <v>114.0</v>
      </c>
      <c r="L819" s="113">
        <v>-0.0793</v>
      </c>
    </row>
    <row r="820" ht="22.5" customHeight="1">
      <c r="A820" s="111" t="s">
        <v>28</v>
      </c>
      <c r="B820" s="112">
        <v>47102.0</v>
      </c>
      <c r="C820" s="111">
        <v>400.0</v>
      </c>
      <c r="D820" s="111" t="s">
        <v>117</v>
      </c>
      <c r="E820" s="34">
        <v>111.9</v>
      </c>
      <c r="F820" s="34">
        <v>112.5</v>
      </c>
      <c r="G820" s="34">
        <v>113.1</v>
      </c>
      <c r="H820" s="113">
        <v>0.5315</v>
      </c>
      <c r="I820" s="34">
        <v>-0.2876</v>
      </c>
      <c r="J820" s="34">
        <v>66.0</v>
      </c>
      <c r="K820" s="34">
        <v>301.0</v>
      </c>
      <c r="L820" s="113">
        <v>-0.0557</v>
      </c>
    </row>
    <row r="821" ht="22.5" customHeight="1">
      <c r="A821" s="111" t="s">
        <v>28</v>
      </c>
      <c r="B821" s="112">
        <v>47102.0</v>
      </c>
      <c r="C821" s="111">
        <v>410.0</v>
      </c>
      <c r="D821" s="111" t="s">
        <v>117</v>
      </c>
      <c r="E821" s="34">
        <v>117.75</v>
      </c>
      <c r="F821" s="34">
        <v>119.05</v>
      </c>
      <c r="G821" s="34">
        <v>120.35</v>
      </c>
      <c r="H821" s="113">
        <v>0.5317000000000001</v>
      </c>
      <c r="I821" s="34">
        <v>-0.2989</v>
      </c>
      <c r="J821" s="34">
        <v>8.0</v>
      </c>
      <c r="K821" s="34">
        <v>46.0</v>
      </c>
      <c r="L821" s="113">
        <v>-0.0321</v>
      </c>
    </row>
    <row r="822" ht="22.5" customHeight="1">
      <c r="A822" s="111" t="s">
        <v>28</v>
      </c>
      <c r="B822" s="112">
        <v>47102.0</v>
      </c>
      <c r="C822" s="111">
        <v>420.0</v>
      </c>
      <c r="D822" s="111" t="s">
        <v>117</v>
      </c>
      <c r="E822" s="34">
        <v>123.65</v>
      </c>
      <c r="F822" s="34">
        <v>124.98</v>
      </c>
      <c r="G822" s="34">
        <v>126.3</v>
      </c>
      <c r="H822" s="113">
        <v>0.5291</v>
      </c>
      <c r="I822" s="34">
        <v>-0.3092</v>
      </c>
      <c r="J822" s="34">
        <v>6.0</v>
      </c>
      <c r="K822" s="34">
        <v>222.0</v>
      </c>
      <c r="L822" s="113">
        <v>-0.0085</v>
      </c>
    </row>
    <row r="823" ht="22.5" customHeight="1">
      <c r="A823" s="111" t="s">
        <v>28</v>
      </c>
      <c r="B823" s="112">
        <v>47102.0</v>
      </c>
      <c r="C823" s="111">
        <v>430.0</v>
      </c>
      <c r="D823" s="111" t="s">
        <v>117</v>
      </c>
      <c r="E823" s="34">
        <v>129.65</v>
      </c>
      <c r="F823" s="34">
        <v>131.08</v>
      </c>
      <c r="G823" s="34">
        <v>132.5</v>
      </c>
      <c r="H823" s="113">
        <v>0.5291</v>
      </c>
      <c r="I823" s="34">
        <v>-0.3198</v>
      </c>
      <c r="J823" s="34">
        <v>13.0</v>
      </c>
      <c r="K823" s="34">
        <v>65.0</v>
      </c>
      <c r="L823" s="113">
        <v>0.0151</v>
      </c>
    </row>
    <row r="824" ht="22.5" customHeight="1">
      <c r="A824" s="111" t="s">
        <v>28</v>
      </c>
      <c r="B824" s="112">
        <v>47102.0</v>
      </c>
      <c r="C824" s="111">
        <v>440.0</v>
      </c>
      <c r="D824" s="111" t="s">
        <v>117</v>
      </c>
      <c r="E824" s="34">
        <v>135.8</v>
      </c>
      <c r="F824" s="34">
        <v>137.15</v>
      </c>
      <c r="G824" s="34">
        <v>138.5</v>
      </c>
      <c r="H824" s="113">
        <v>0.5289</v>
      </c>
      <c r="I824" s="34">
        <v>-0.33</v>
      </c>
      <c r="J824" s="34">
        <v>16.0</v>
      </c>
      <c r="K824" s="34">
        <v>422.0</v>
      </c>
      <c r="L824" s="113">
        <v>0.0387</v>
      </c>
    </row>
    <row r="825" ht="22.5" customHeight="1">
      <c r="A825" s="111" t="s">
        <v>28</v>
      </c>
      <c r="B825" s="112">
        <v>47102.0</v>
      </c>
      <c r="C825" s="111">
        <v>450.0</v>
      </c>
      <c r="D825" s="111" t="s">
        <v>117</v>
      </c>
      <c r="E825" s="34">
        <v>142.0</v>
      </c>
      <c r="F825" s="34">
        <v>143.4</v>
      </c>
      <c r="G825" s="34">
        <v>144.8</v>
      </c>
      <c r="H825" s="113">
        <v>0.5312</v>
      </c>
      <c r="I825" s="34">
        <v>-0.3388</v>
      </c>
      <c r="J825" s="34">
        <v>42.0</v>
      </c>
      <c r="K825" s="34">
        <v>225.0</v>
      </c>
      <c r="L825" s="113">
        <v>0.0623</v>
      </c>
    </row>
    <row r="826" ht="22.5" customHeight="1">
      <c r="A826" s="111" t="s">
        <v>28</v>
      </c>
      <c r="B826" s="112">
        <v>47102.0</v>
      </c>
      <c r="C826" s="111">
        <v>460.0</v>
      </c>
      <c r="D826" s="111" t="s">
        <v>117</v>
      </c>
      <c r="E826" s="34">
        <v>148.35</v>
      </c>
      <c r="F826" s="34">
        <v>149.83</v>
      </c>
      <c r="G826" s="34">
        <v>151.3</v>
      </c>
      <c r="H826" s="113">
        <v>0.5305</v>
      </c>
      <c r="I826" s="34">
        <v>-0.3498</v>
      </c>
      <c r="J826" s="34">
        <v>0.0</v>
      </c>
      <c r="K826" s="34">
        <v>56.0</v>
      </c>
      <c r="L826" s="113">
        <v>0.0859</v>
      </c>
    </row>
    <row r="827" ht="22.5" customHeight="1">
      <c r="A827" s="111" t="s">
        <v>28</v>
      </c>
      <c r="B827" s="112">
        <v>47102.0</v>
      </c>
      <c r="C827" s="111">
        <v>470.0</v>
      </c>
      <c r="D827" s="111" t="s">
        <v>117</v>
      </c>
      <c r="E827" s="34">
        <v>154.8</v>
      </c>
      <c r="F827" s="34">
        <v>156.28</v>
      </c>
      <c r="G827" s="34">
        <v>157.75</v>
      </c>
      <c r="H827" s="113">
        <v>0.5303</v>
      </c>
      <c r="I827" s="34">
        <v>-0.3592</v>
      </c>
      <c r="J827" s="34">
        <v>0.0</v>
      </c>
      <c r="K827" s="34">
        <v>60.0</v>
      </c>
      <c r="L827" s="113">
        <v>0.10949999999999999</v>
      </c>
    </row>
    <row r="828" ht="22.5" customHeight="1">
      <c r="A828" s="111" t="s">
        <v>28</v>
      </c>
      <c r="B828" s="112">
        <v>47102.0</v>
      </c>
      <c r="C828" s="111">
        <v>480.0</v>
      </c>
      <c r="D828" s="111" t="s">
        <v>117</v>
      </c>
      <c r="E828" s="34">
        <v>161.4</v>
      </c>
      <c r="F828" s="34">
        <v>162.78</v>
      </c>
      <c r="G828" s="34">
        <v>164.15</v>
      </c>
      <c r="H828" s="113">
        <v>0.5267000000000001</v>
      </c>
      <c r="I828" s="34">
        <v>-0.3709</v>
      </c>
      <c r="J828" s="34">
        <v>5.0</v>
      </c>
      <c r="K828" s="34">
        <v>30.0</v>
      </c>
      <c r="L828" s="113">
        <v>0.1331</v>
      </c>
    </row>
    <row r="829" ht="22.5" customHeight="1">
      <c r="A829" s="111" t="s">
        <v>28</v>
      </c>
      <c r="B829" s="112">
        <v>47102.0</v>
      </c>
      <c r="C829" s="111">
        <v>490.0</v>
      </c>
      <c r="D829" s="111" t="s">
        <v>117</v>
      </c>
      <c r="E829" s="34">
        <v>168.0</v>
      </c>
      <c r="F829" s="34">
        <v>169.43</v>
      </c>
      <c r="G829" s="34">
        <v>170.85</v>
      </c>
      <c r="H829" s="113">
        <v>0.53</v>
      </c>
      <c r="I829" s="34">
        <v>-0.3789</v>
      </c>
      <c r="J829" s="34">
        <v>0.0</v>
      </c>
      <c r="K829" s="34">
        <v>6.0</v>
      </c>
      <c r="L829" s="113">
        <v>0.1567</v>
      </c>
    </row>
    <row r="830" ht="22.5" customHeight="1">
      <c r="A830" s="111" t="s">
        <v>28</v>
      </c>
      <c r="B830" s="112">
        <v>47102.0</v>
      </c>
      <c r="C830" s="111">
        <v>500.0</v>
      </c>
      <c r="D830" s="111" t="s">
        <v>117</v>
      </c>
      <c r="E830" s="34">
        <v>174.7</v>
      </c>
      <c r="F830" s="34">
        <v>176.18</v>
      </c>
      <c r="G830" s="34">
        <v>177.65</v>
      </c>
      <c r="H830" s="113">
        <v>0.5246</v>
      </c>
      <c r="I830" s="34">
        <v>-0.3916</v>
      </c>
      <c r="J830" s="34">
        <v>62.0</v>
      </c>
      <c r="K830" s="34">
        <v>182.0</v>
      </c>
      <c r="L830" s="113">
        <v>0.18030000000000002</v>
      </c>
    </row>
    <row r="831" ht="22.5" customHeight="1">
      <c r="A831" s="111" t="s">
        <v>28</v>
      </c>
      <c r="B831" s="112">
        <v>47102.0</v>
      </c>
      <c r="C831" s="111">
        <v>510.0</v>
      </c>
      <c r="D831" s="111" t="s">
        <v>117</v>
      </c>
      <c r="E831" s="34">
        <v>181.55</v>
      </c>
      <c r="F831" s="34">
        <v>183.08</v>
      </c>
      <c r="G831" s="34">
        <v>184.6</v>
      </c>
      <c r="H831" s="113">
        <v>0.5302</v>
      </c>
      <c r="I831" s="34">
        <v>-0.3982</v>
      </c>
      <c r="J831" s="34">
        <v>0.0</v>
      </c>
      <c r="K831" s="34">
        <v>4.0</v>
      </c>
      <c r="L831" s="113">
        <v>0.2039</v>
      </c>
    </row>
    <row r="832" ht="22.5" customHeight="1">
      <c r="A832" s="111" t="s">
        <v>28</v>
      </c>
      <c r="B832" s="112">
        <v>47102.0</v>
      </c>
      <c r="C832" s="111">
        <v>520.0</v>
      </c>
      <c r="D832" s="111" t="s">
        <v>117</v>
      </c>
      <c r="E832" s="34">
        <v>188.45</v>
      </c>
      <c r="F832" s="34">
        <v>189.9</v>
      </c>
      <c r="G832" s="34">
        <v>191.35</v>
      </c>
      <c r="H832" s="113">
        <v>0.5266</v>
      </c>
      <c r="I832" s="34">
        <v>-0.4125</v>
      </c>
      <c r="J832" s="34">
        <v>1.0</v>
      </c>
      <c r="K832" s="34">
        <v>8210.0</v>
      </c>
      <c r="L832" s="113">
        <v>0.2275</v>
      </c>
    </row>
    <row r="833" ht="22.5" customHeight="1">
      <c r="A833" s="111" t="s">
        <v>28</v>
      </c>
      <c r="B833" s="112">
        <v>47102.0</v>
      </c>
      <c r="C833" s="111">
        <v>530.0</v>
      </c>
      <c r="D833" s="111" t="s">
        <v>117</v>
      </c>
      <c r="E833" s="34">
        <v>195.45</v>
      </c>
      <c r="F833" s="34">
        <v>197.02</v>
      </c>
      <c r="G833" s="34">
        <v>198.6</v>
      </c>
      <c r="H833" s="113">
        <v>0.5303</v>
      </c>
      <c r="I833" s="34">
        <v>-0.4215</v>
      </c>
      <c r="J833" s="34">
        <v>0.0</v>
      </c>
      <c r="K833" s="34">
        <v>10.0</v>
      </c>
      <c r="L833" s="113">
        <v>0.25120000000000003</v>
      </c>
    </row>
    <row r="834" ht="22.5" customHeight="1">
      <c r="A834" s="111" t="s">
        <v>28</v>
      </c>
      <c r="B834" s="112">
        <v>47102.0</v>
      </c>
      <c r="C834" s="111">
        <v>540.0</v>
      </c>
      <c r="D834" s="111" t="s">
        <v>117</v>
      </c>
      <c r="E834" s="34">
        <v>202.5</v>
      </c>
      <c r="F834" s="34">
        <v>204.1</v>
      </c>
      <c r="G834" s="34">
        <v>205.7</v>
      </c>
      <c r="H834" s="113">
        <v>0.5302</v>
      </c>
      <c r="I834" s="34">
        <v>-0.4316</v>
      </c>
      <c r="J834" s="34">
        <v>0.0</v>
      </c>
      <c r="K834" s="34">
        <v>0.0</v>
      </c>
      <c r="L834" s="113">
        <v>0.2748</v>
      </c>
    </row>
    <row r="835" ht="22.5" customHeight="1">
      <c r="A835" s="111" t="s">
        <v>28</v>
      </c>
      <c r="B835" s="112">
        <v>47102.0</v>
      </c>
      <c r="C835" s="111">
        <v>550.0</v>
      </c>
      <c r="D835" s="111" t="s">
        <v>117</v>
      </c>
      <c r="E835" s="34">
        <v>209.65</v>
      </c>
      <c r="F835" s="34">
        <v>211.25</v>
      </c>
      <c r="G835" s="34">
        <v>212.85</v>
      </c>
      <c r="H835" s="113">
        <v>0.5302</v>
      </c>
      <c r="I835" s="34">
        <v>-0.4401</v>
      </c>
      <c r="J835" s="34">
        <v>0.0</v>
      </c>
      <c r="K835" s="34">
        <v>118.0</v>
      </c>
      <c r="L835" s="113">
        <v>0.2984</v>
      </c>
    </row>
    <row r="836" ht="22.5" customHeight="1">
      <c r="A836" s="111" t="s">
        <v>28</v>
      </c>
      <c r="B836" s="112">
        <v>47102.0</v>
      </c>
      <c r="C836" s="111">
        <v>560.0</v>
      </c>
      <c r="D836" s="111" t="s">
        <v>117</v>
      </c>
      <c r="E836" s="34">
        <v>216.9</v>
      </c>
      <c r="F836" s="34">
        <v>218.4</v>
      </c>
      <c r="G836" s="34">
        <v>219.9</v>
      </c>
      <c r="H836" s="113">
        <v>0.5297999999999999</v>
      </c>
      <c r="I836" s="34">
        <v>-0.4493</v>
      </c>
      <c r="J836" s="34">
        <v>0.0</v>
      </c>
      <c r="K836" s="34">
        <v>11.0</v>
      </c>
      <c r="L836" s="113">
        <v>0.322</v>
      </c>
    </row>
    <row r="837" ht="22.5" customHeight="1">
      <c r="A837" s="111" t="s">
        <v>28</v>
      </c>
      <c r="B837" s="112">
        <v>47102.0</v>
      </c>
      <c r="C837" s="111">
        <v>570.0</v>
      </c>
      <c r="D837" s="111" t="s">
        <v>117</v>
      </c>
      <c r="E837" s="34">
        <v>224.15</v>
      </c>
      <c r="F837" s="34">
        <v>225.8</v>
      </c>
      <c r="G837" s="34">
        <v>227.45</v>
      </c>
      <c r="H837" s="113">
        <v>0.5302</v>
      </c>
      <c r="I837" s="34">
        <v>-0.4573</v>
      </c>
      <c r="J837" s="34">
        <v>0.0</v>
      </c>
      <c r="K837" s="34">
        <v>0.0</v>
      </c>
      <c r="L837" s="113">
        <v>0.3456</v>
      </c>
    </row>
    <row r="838" ht="22.5" customHeight="1">
      <c r="A838" s="111" t="s">
        <v>28</v>
      </c>
      <c r="B838" s="112">
        <v>47102.0</v>
      </c>
      <c r="C838" s="111">
        <v>580.0</v>
      </c>
      <c r="D838" s="111" t="s">
        <v>117</v>
      </c>
      <c r="E838" s="34">
        <v>231.5</v>
      </c>
      <c r="F838" s="34">
        <v>233.2</v>
      </c>
      <c r="G838" s="34">
        <v>234.9</v>
      </c>
      <c r="H838" s="113">
        <v>0.5303</v>
      </c>
      <c r="I838" s="34">
        <v>-0.4654</v>
      </c>
      <c r="J838" s="34">
        <v>0.0</v>
      </c>
      <c r="K838" s="34">
        <v>4.0</v>
      </c>
      <c r="L838" s="113">
        <v>0.36920000000000003</v>
      </c>
    </row>
    <row r="839" ht="22.5" customHeight="1">
      <c r="A839" s="111" t="s">
        <v>28</v>
      </c>
      <c r="B839" s="112">
        <v>47102.0</v>
      </c>
      <c r="C839" s="111">
        <v>590.0</v>
      </c>
      <c r="D839" s="111" t="s">
        <v>117</v>
      </c>
      <c r="E839" s="34">
        <v>238.95</v>
      </c>
      <c r="F839" s="34">
        <v>240.68</v>
      </c>
      <c r="G839" s="34">
        <v>242.4</v>
      </c>
      <c r="H839" s="113">
        <v>0.5305</v>
      </c>
      <c r="I839" s="34">
        <v>-0.4733</v>
      </c>
      <c r="J839" s="34">
        <v>0.0</v>
      </c>
      <c r="K839" s="34">
        <v>7.0</v>
      </c>
      <c r="L839" s="113">
        <v>0.39280000000000004</v>
      </c>
    </row>
    <row r="840" ht="22.5" customHeight="1">
      <c r="A840" s="111" t="s">
        <v>28</v>
      </c>
      <c r="B840" s="112">
        <v>47102.0</v>
      </c>
      <c r="C840" s="111">
        <v>600.0</v>
      </c>
      <c r="D840" s="111" t="s">
        <v>117</v>
      </c>
      <c r="E840" s="34">
        <v>246.45</v>
      </c>
      <c r="F840" s="34">
        <v>248.2</v>
      </c>
      <c r="G840" s="34">
        <v>249.95</v>
      </c>
      <c r="H840" s="113">
        <v>0.5307</v>
      </c>
      <c r="I840" s="34">
        <v>-0.4811</v>
      </c>
      <c r="J840" s="34">
        <v>1.0</v>
      </c>
      <c r="K840" s="34">
        <v>161.0</v>
      </c>
      <c r="L840" s="113">
        <v>0.4164</v>
      </c>
    </row>
    <row r="841" ht="22.5" customHeight="1">
      <c r="A841" s="111" t="s">
        <v>28</v>
      </c>
      <c r="B841" s="112">
        <v>47102.0</v>
      </c>
      <c r="C841" s="111">
        <v>610.0</v>
      </c>
      <c r="D841" s="111" t="s">
        <v>117</v>
      </c>
      <c r="E841" s="34">
        <v>254.0</v>
      </c>
      <c r="F841" s="34">
        <v>255.8</v>
      </c>
      <c r="G841" s="34">
        <v>257.6</v>
      </c>
      <c r="H841" s="113">
        <v>0.5309</v>
      </c>
      <c r="I841" s="34">
        <v>-0.4897</v>
      </c>
      <c r="J841" s="34">
        <v>0.0</v>
      </c>
      <c r="K841" s="34">
        <v>0.0</v>
      </c>
      <c r="L841" s="113">
        <v>0.44</v>
      </c>
    </row>
    <row r="842" ht="22.5" customHeight="1">
      <c r="A842" s="111" t="s">
        <v>28</v>
      </c>
      <c r="B842" s="112">
        <v>47102.0</v>
      </c>
      <c r="C842" s="111">
        <v>620.0</v>
      </c>
      <c r="D842" s="111" t="s">
        <v>117</v>
      </c>
      <c r="E842" s="34">
        <v>261.65</v>
      </c>
      <c r="F842" s="34">
        <v>263.45</v>
      </c>
      <c r="G842" s="34">
        <v>265.25</v>
      </c>
      <c r="H842" s="113">
        <v>0.5311</v>
      </c>
      <c r="I842" s="34">
        <v>-0.4973</v>
      </c>
      <c r="J842" s="34">
        <v>0.0</v>
      </c>
      <c r="K842" s="34">
        <v>1.0</v>
      </c>
      <c r="L842" s="113">
        <v>0.4636</v>
      </c>
    </row>
    <row r="843" ht="22.5" customHeight="1">
      <c r="A843" s="111" t="s">
        <v>28</v>
      </c>
      <c r="B843" s="112">
        <v>47102.0</v>
      </c>
      <c r="C843" s="111">
        <v>630.0</v>
      </c>
      <c r="D843" s="111" t="s">
        <v>117</v>
      </c>
      <c r="E843" s="34">
        <v>269.35</v>
      </c>
      <c r="F843" s="34">
        <v>271.18</v>
      </c>
      <c r="G843" s="34">
        <v>273.0</v>
      </c>
      <c r="H843" s="113">
        <v>0.5314</v>
      </c>
      <c r="I843" s="34">
        <v>-0.5046</v>
      </c>
      <c r="J843" s="34">
        <v>0.0</v>
      </c>
      <c r="K843" s="34">
        <v>0.0</v>
      </c>
      <c r="L843" s="113">
        <v>0.48719999999999997</v>
      </c>
    </row>
    <row r="844" ht="22.5" customHeight="1">
      <c r="A844" s="111" t="s">
        <v>28</v>
      </c>
      <c r="B844" s="112">
        <v>47102.0</v>
      </c>
      <c r="C844" s="111">
        <v>640.0</v>
      </c>
      <c r="D844" s="111" t="s">
        <v>117</v>
      </c>
      <c r="E844" s="34">
        <v>277.15</v>
      </c>
      <c r="F844" s="34">
        <v>278.98</v>
      </c>
      <c r="G844" s="34">
        <v>280.8</v>
      </c>
      <c r="H844" s="113">
        <v>0.5318</v>
      </c>
      <c r="I844" s="34">
        <v>-0.5135</v>
      </c>
      <c r="J844" s="34">
        <v>0.0</v>
      </c>
      <c r="K844" s="34">
        <v>0.0</v>
      </c>
      <c r="L844" s="113">
        <v>0.5108</v>
      </c>
    </row>
    <row r="845" ht="22.5" customHeight="1">
      <c r="A845" s="111" t="s">
        <v>28</v>
      </c>
      <c r="B845" s="112">
        <v>47102.0</v>
      </c>
      <c r="C845" s="111">
        <v>650.0</v>
      </c>
      <c r="D845" s="111" t="s">
        <v>117</v>
      </c>
      <c r="E845" s="34">
        <v>284.95</v>
      </c>
      <c r="F845" s="34">
        <v>286.83</v>
      </c>
      <c r="G845" s="34">
        <v>288.7</v>
      </c>
      <c r="H845" s="113">
        <v>0.532</v>
      </c>
      <c r="I845" s="34">
        <v>-0.532</v>
      </c>
      <c r="J845" s="34">
        <v>0.0</v>
      </c>
      <c r="K845" s="34">
        <v>13.0</v>
      </c>
      <c r="L845" s="113">
        <v>0.5344</v>
      </c>
    </row>
    <row r="846" ht="22.5" customHeight="1">
      <c r="A846" s="111" t="s">
        <v>28</v>
      </c>
      <c r="B846" s="112">
        <v>47102.0</v>
      </c>
      <c r="C846" s="111">
        <v>660.0</v>
      </c>
      <c r="D846" s="111" t="s">
        <v>117</v>
      </c>
      <c r="E846" s="34">
        <v>292.85</v>
      </c>
      <c r="F846" s="34">
        <v>294.73</v>
      </c>
      <c r="G846" s="34">
        <v>296.6</v>
      </c>
      <c r="H846" s="113">
        <v>0.5318999999999999</v>
      </c>
      <c r="I846" s="34">
        <v>-0.5486</v>
      </c>
      <c r="J846" s="34">
        <v>0.0</v>
      </c>
      <c r="K846" s="34">
        <v>0.0</v>
      </c>
      <c r="L846" s="113">
        <v>0.5579999999999999</v>
      </c>
    </row>
    <row r="847" ht="22.5" customHeight="1">
      <c r="A847" s="111" t="s">
        <v>28</v>
      </c>
      <c r="B847" s="112">
        <v>47102.0</v>
      </c>
      <c r="C847" s="111">
        <v>670.0</v>
      </c>
      <c r="D847" s="111" t="s">
        <v>117</v>
      </c>
      <c r="E847" s="34">
        <v>300.85</v>
      </c>
      <c r="F847" s="34">
        <v>302.73</v>
      </c>
      <c r="G847" s="34">
        <v>304.6</v>
      </c>
      <c r="H847" s="113">
        <v>0.532</v>
      </c>
      <c r="I847" s="34">
        <v>-0.5555</v>
      </c>
      <c r="J847" s="34">
        <v>0.0</v>
      </c>
      <c r="K847" s="34">
        <v>0.0</v>
      </c>
      <c r="L847" s="113">
        <v>0.5816</v>
      </c>
    </row>
    <row r="848" ht="22.5" customHeight="1">
      <c r="A848" s="111" t="s">
        <v>28</v>
      </c>
      <c r="B848" s="112">
        <v>47102.0</v>
      </c>
      <c r="C848" s="111">
        <v>680.0</v>
      </c>
      <c r="D848" s="111" t="s">
        <v>117</v>
      </c>
      <c r="E848" s="34">
        <v>308.85</v>
      </c>
      <c r="F848" s="34">
        <v>310.75</v>
      </c>
      <c r="G848" s="34">
        <v>312.65</v>
      </c>
      <c r="H848" s="113">
        <v>0.532</v>
      </c>
      <c r="I848" s="34">
        <v>-0.5624</v>
      </c>
      <c r="J848" s="34">
        <v>0.0</v>
      </c>
      <c r="K848" s="34">
        <v>1.0</v>
      </c>
      <c r="L848" s="113">
        <v>0.6053000000000001</v>
      </c>
    </row>
    <row r="849" ht="22.5" customHeight="1">
      <c r="A849" s="111" t="s">
        <v>28</v>
      </c>
      <c r="B849" s="112">
        <v>47102.0</v>
      </c>
      <c r="C849" s="111">
        <v>690.0</v>
      </c>
      <c r="D849" s="111" t="s">
        <v>117</v>
      </c>
      <c r="E849" s="34">
        <v>316.9</v>
      </c>
      <c r="F849" s="34">
        <v>318.83</v>
      </c>
      <c r="G849" s="34">
        <v>320.75</v>
      </c>
      <c r="H849" s="113">
        <v>0.5321</v>
      </c>
      <c r="I849" s="34">
        <v>-0.5691</v>
      </c>
      <c r="J849" s="34">
        <v>0.0</v>
      </c>
      <c r="K849" s="34">
        <v>2.0</v>
      </c>
      <c r="L849" s="113">
        <v>0.6289</v>
      </c>
    </row>
    <row r="850" ht="22.5" customHeight="1">
      <c r="A850" s="111" t="s">
        <v>28</v>
      </c>
      <c r="B850" s="112">
        <v>47102.0</v>
      </c>
      <c r="C850" s="111">
        <v>700.0</v>
      </c>
      <c r="D850" s="111" t="s">
        <v>117</v>
      </c>
      <c r="E850" s="34">
        <v>325.0</v>
      </c>
      <c r="F850" s="34">
        <v>326.95</v>
      </c>
      <c r="G850" s="34">
        <v>328.9</v>
      </c>
      <c r="H850" s="113">
        <v>0.5321</v>
      </c>
      <c r="I850" s="34">
        <v>-0.5757</v>
      </c>
      <c r="J850" s="34">
        <v>2.0</v>
      </c>
      <c r="K850" s="34">
        <v>3.0</v>
      </c>
      <c r="L850" s="113">
        <v>0.6525</v>
      </c>
    </row>
    <row r="851" ht="22.5" customHeight="1">
      <c r="A851" s="111" t="s">
        <v>28</v>
      </c>
      <c r="B851" s="112">
        <v>47102.0</v>
      </c>
      <c r="C851" s="111">
        <v>710.0</v>
      </c>
      <c r="D851" s="111" t="s">
        <v>117</v>
      </c>
      <c r="E851" s="34">
        <v>333.15</v>
      </c>
      <c r="F851" s="34">
        <v>335.13</v>
      </c>
      <c r="G851" s="34">
        <v>337.1</v>
      </c>
      <c r="H851" s="113">
        <v>0.5323</v>
      </c>
      <c r="I851" s="34">
        <v>-0.5822</v>
      </c>
      <c r="J851" s="34">
        <v>0.0</v>
      </c>
      <c r="K851" s="34">
        <v>0.0</v>
      </c>
      <c r="L851" s="113">
        <v>0.6761</v>
      </c>
    </row>
    <row r="852" ht="22.5" customHeight="1">
      <c r="A852" s="111" t="s">
        <v>28</v>
      </c>
      <c r="B852" s="112">
        <v>47102.0</v>
      </c>
      <c r="C852" s="111">
        <v>720.0</v>
      </c>
      <c r="D852" s="111" t="s">
        <v>117</v>
      </c>
      <c r="E852" s="34">
        <v>341.4</v>
      </c>
      <c r="F852" s="34">
        <v>343.38</v>
      </c>
      <c r="G852" s="34">
        <v>345.35</v>
      </c>
      <c r="H852" s="113">
        <v>0.5325</v>
      </c>
      <c r="I852" s="34">
        <v>-0.5884</v>
      </c>
      <c r="J852" s="34">
        <v>0.0</v>
      </c>
      <c r="K852" s="34">
        <v>0.0</v>
      </c>
      <c r="L852" s="113">
        <v>0.6997</v>
      </c>
    </row>
    <row r="853" ht="22.5" customHeight="1">
      <c r="A853" s="111" t="s">
        <v>28</v>
      </c>
      <c r="B853" s="112">
        <v>47102.0</v>
      </c>
      <c r="C853" s="111">
        <v>730.0</v>
      </c>
      <c r="D853" s="111" t="s">
        <v>117</v>
      </c>
      <c r="E853" s="34">
        <v>349.65</v>
      </c>
      <c r="F853" s="34">
        <v>351.7</v>
      </c>
      <c r="G853" s="34">
        <v>353.75</v>
      </c>
      <c r="H853" s="113">
        <v>0.5329</v>
      </c>
      <c r="I853" s="34">
        <v>-0.5945</v>
      </c>
      <c r="J853" s="34">
        <v>0.0</v>
      </c>
      <c r="K853" s="34">
        <v>0.0</v>
      </c>
      <c r="L853" s="113">
        <v>0.7232999999999999</v>
      </c>
    </row>
    <row r="854" ht="22.5" customHeight="1">
      <c r="A854" s="111" t="s">
        <v>28</v>
      </c>
      <c r="B854" s="112">
        <v>47102.0</v>
      </c>
      <c r="C854" s="111">
        <v>740.0</v>
      </c>
      <c r="D854" s="111" t="s">
        <v>117</v>
      </c>
      <c r="E854" s="34">
        <v>357.95</v>
      </c>
      <c r="F854" s="34">
        <v>360.0</v>
      </c>
      <c r="G854" s="34">
        <v>362.05</v>
      </c>
      <c r="H854" s="113">
        <v>0.5331</v>
      </c>
      <c r="I854" s="34">
        <v>-0.6006</v>
      </c>
      <c r="J854" s="34">
        <v>0.0</v>
      </c>
      <c r="K854" s="34">
        <v>0.0</v>
      </c>
      <c r="L854" s="113">
        <v>0.7469</v>
      </c>
    </row>
    <row r="855" ht="22.5" customHeight="1">
      <c r="A855" s="111" t="s">
        <v>28</v>
      </c>
      <c r="B855" s="112">
        <v>47102.0</v>
      </c>
      <c r="C855" s="111">
        <v>750.0</v>
      </c>
      <c r="D855" s="111" t="s">
        <v>117</v>
      </c>
      <c r="E855" s="34">
        <v>365.9</v>
      </c>
      <c r="F855" s="34">
        <v>368.15</v>
      </c>
      <c r="G855" s="34">
        <v>370.4</v>
      </c>
      <c r="H855" s="113">
        <v>0.5325</v>
      </c>
      <c r="I855" s="34">
        <v>-0.6071</v>
      </c>
      <c r="J855" s="34">
        <v>0.0</v>
      </c>
      <c r="K855" s="34">
        <v>0.0</v>
      </c>
      <c r="L855" s="113">
        <v>0.7705</v>
      </c>
    </row>
    <row r="856" ht="22.5" customHeight="1">
      <c r="A856" s="111" t="s">
        <v>28</v>
      </c>
      <c r="B856" s="112">
        <v>47102.0</v>
      </c>
      <c r="C856" s="111">
        <v>760.0</v>
      </c>
      <c r="D856" s="111" t="s">
        <v>117</v>
      </c>
      <c r="E856" s="34">
        <v>374.75</v>
      </c>
      <c r="F856" s="34">
        <v>376.8</v>
      </c>
      <c r="G856" s="34">
        <v>378.85</v>
      </c>
      <c r="H856" s="113">
        <v>0.5338</v>
      </c>
      <c r="I856" s="34">
        <v>-0.6122</v>
      </c>
      <c r="J856" s="34">
        <v>0.0</v>
      </c>
      <c r="K856" s="34">
        <v>0.0</v>
      </c>
      <c r="L856" s="113">
        <v>0.7940999999999999</v>
      </c>
    </row>
    <row r="857" ht="22.5" customHeight="1">
      <c r="A857" s="111" t="s">
        <v>28</v>
      </c>
      <c r="B857" s="112">
        <v>47102.0</v>
      </c>
      <c r="C857" s="111">
        <v>770.0</v>
      </c>
      <c r="D857" s="111" t="s">
        <v>117</v>
      </c>
      <c r="E857" s="34">
        <v>383.15</v>
      </c>
      <c r="F857" s="34">
        <v>385.17</v>
      </c>
      <c r="G857" s="34">
        <v>387.2</v>
      </c>
      <c r="H857" s="113">
        <v>0.5338</v>
      </c>
      <c r="I857" s="34">
        <v>-0.6296</v>
      </c>
      <c r="J857" s="34">
        <v>0.0</v>
      </c>
      <c r="K857" s="34">
        <v>0.0</v>
      </c>
      <c r="L857" s="113">
        <v>0.8177</v>
      </c>
    </row>
    <row r="858" ht="22.5" customHeight="1">
      <c r="A858" s="111" t="s">
        <v>28</v>
      </c>
      <c r="B858" s="112">
        <v>47102.0</v>
      </c>
      <c r="C858" s="111">
        <v>780.0</v>
      </c>
      <c r="D858" s="111" t="s">
        <v>117</v>
      </c>
      <c r="E858" s="34">
        <v>391.65</v>
      </c>
      <c r="F858" s="34">
        <v>393.7</v>
      </c>
      <c r="G858" s="34">
        <v>395.75</v>
      </c>
      <c r="H858" s="113">
        <v>0.5341</v>
      </c>
      <c r="I858" s="34">
        <v>-0.6351</v>
      </c>
      <c r="J858" s="34">
        <v>0.0</v>
      </c>
      <c r="K858" s="34">
        <v>0.0</v>
      </c>
      <c r="L858" s="113">
        <v>0.8412999999999999</v>
      </c>
    </row>
    <row r="859" ht="22.5" customHeight="1">
      <c r="A859" s="111" t="s">
        <v>28</v>
      </c>
      <c r="B859" s="112">
        <v>47102.0</v>
      </c>
      <c r="C859" s="111">
        <v>790.0</v>
      </c>
      <c r="D859" s="111" t="s">
        <v>117</v>
      </c>
      <c r="E859" s="34">
        <v>400.1</v>
      </c>
      <c r="F859" s="34">
        <v>402.2</v>
      </c>
      <c r="G859" s="34">
        <v>404.3</v>
      </c>
      <c r="H859" s="113">
        <v>0.5341</v>
      </c>
      <c r="I859" s="34">
        <v>-0.6487</v>
      </c>
      <c r="J859" s="34">
        <v>0.0</v>
      </c>
      <c r="K859" s="34">
        <v>0.0</v>
      </c>
      <c r="L859" s="113">
        <v>0.8649</v>
      </c>
    </row>
    <row r="860" ht="22.5" customHeight="1">
      <c r="A860" s="111" t="s">
        <v>28</v>
      </c>
      <c r="B860" s="112">
        <v>47102.0</v>
      </c>
      <c r="C860" s="111">
        <v>800.0</v>
      </c>
      <c r="D860" s="111" t="s">
        <v>117</v>
      </c>
      <c r="E860" s="34">
        <v>408.25</v>
      </c>
      <c r="F860" s="34">
        <v>410.58</v>
      </c>
      <c r="G860" s="34">
        <v>412.9</v>
      </c>
      <c r="H860" s="113">
        <v>0.5334</v>
      </c>
      <c r="I860" s="34">
        <v>-0.6547</v>
      </c>
      <c r="J860" s="34">
        <v>0.0</v>
      </c>
      <c r="K860" s="34">
        <v>133.0</v>
      </c>
      <c r="L860" s="113">
        <v>0.8885</v>
      </c>
    </row>
    <row r="861" ht="22.5" customHeight="1">
      <c r="A861" s="111" t="s">
        <v>28</v>
      </c>
      <c r="B861" s="112">
        <v>47102.0</v>
      </c>
      <c r="C861" s="111">
        <v>810.0</v>
      </c>
      <c r="D861" s="111" t="s">
        <v>117</v>
      </c>
      <c r="E861" s="34">
        <v>417.3</v>
      </c>
      <c r="F861" s="34">
        <v>419.43</v>
      </c>
      <c r="G861" s="34">
        <v>421.55</v>
      </c>
      <c r="H861" s="113">
        <v>0.5344</v>
      </c>
      <c r="I861" s="34">
        <v>-0.6648</v>
      </c>
      <c r="J861" s="34">
        <v>0.0</v>
      </c>
      <c r="K861" s="34">
        <v>0.0</v>
      </c>
      <c r="L861" s="113">
        <v>0.9120999999999999</v>
      </c>
    </row>
    <row r="862" ht="22.5" customHeight="1">
      <c r="A862" s="111" t="s">
        <v>28</v>
      </c>
      <c r="B862" s="112">
        <v>47102.0</v>
      </c>
      <c r="C862" s="111">
        <v>820.0</v>
      </c>
      <c r="D862" s="111" t="s">
        <v>117</v>
      </c>
      <c r="E862" s="34">
        <v>426.05</v>
      </c>
      <c r="F862" s="34">
        <v>428.13</v>
      </c>
      <c r="G862" s="34">
        <v>430.2</v>
      </c>
      <c r="H862" s="113">
        <v>0.5347</v>
      </c>
      <c r="I862" s="34">
        <v>-0.6698</v>
      </c>
      <c r="J862" s="34">
        <v>0.0</v>
      </c>
      <c r="K862" s="34">
        <v>2.0</v>
      </c>
      <c r="L862" s="113">
        <v>0.9357</v>
      </c>
    </row>
    <row r="863" ht="22.5" customHeight="1">
      <c r="A863" s="111" t="s">
        <v>28</v>
      </c>
      <c r="B863" s="112">
        <v>47102.0</v>
      </c>
      <c r="C863" s="111">
        <v>830.0</v>
      </c>
      <c r="D863" s="111" t="s">
        <v>117</v>
      </c>
      <c r="E863" s="34">
        <v>434.75</v>
      </c>
      <c r="F863" s="34">
        <v>436.83</v>
      </c>
      <c r="G863" s="34">
        <v>438.9</v>
      </c>
      <c r="H863" s="113">
        <v>0.5347999999999999</v>
      </c>
      <c r="I863" s="34">
        <v>-0.6787</v>
      </c>
      <c r="J863" s="34">
        <v>0.0</v>
      </c>
      <c r="K863" s="34">
        <v>0.0</v>
      </c>
      <c r="L863" s="113">
        <v>0.9593</v>
      </c>
    </row>
    <row r="864" ht="22.5" customHeight="1">
      <c r="A864" s="111" t="s">
        <v>28</v>
      </c>
      <c r="B864" s="112">
        <v>47102.0</v>
      </c>
      <c r="C864" s="111">
        <v>840.0</v>
      </c>
      <c r="D864" s="111" t="s">
        <v>117</v>
      </c>
      <c r="E864" s="34">
        <v>443.45</v>
      </c>
      <c r="F864" s="34">
        <v>445.55</v>
      </c>
      <c r="G864" s="34">
        <v>447.65</v>
      </c>
      <c r="H864" s="113">
        <v>0.5349</v>
      </c>
      <c r="I864" s="34">
        <v>-0.6837</v>
      </c>
      <c r="J864" s="34">
        <v>0.0</v>
      </c>
      <c r="K864" s="34">
        <v>1.0</v>
      </c>
      <c r="L864" s="113">
        <v>0.983</v>
      </c>
    </row>
    <row r="865" ht="22.5" customHeight="1">
      <c r="A865" s="111" t="s">
        <v>28</v>
      </c>
      <c r="B865" s="112">
        <v>47102.0</v>
      </c>
      <c r="C865" s="111">
        <v>850.0</v>
      </c>
      <c r="D865" s="111" t="s">
        <v>117</v>
      </c>
      <c r="E865" s="34">
        <v>452.25</v>
      </c>
      <c r="F865" s="34">
        <v>454.33</v>
      </c>
      <c r="G865" s="34">
        <v>456.4</v>
      </c>
      <c r="H865" s="113">
        <v>0.535</v>
      </c>
      <c r="I865" s="34">
        <v>-0.6913</v>
      </c>
      <c r="J865" s="34">
        <v>0.0</v>
      </c>
      <c r="K865" s="34">
        <v>1.0</v>
      </c>
      <c r="L865" s="113">
        <v>1.0066</v>
      </c>
    </row>
    <row r="866" ht="22.5" customHeight="1">
      <c r="A866" s="111" t="s">
        <v>28</v>
      </c>
      <c r="B866" s="112">
        <v>47102.0</v>
      </c>
      <c r="C866" s="111">
        <v>860.0</v>
      </c>
      <c r="D866" s="111" t="s">
        <v>117</v>
      </c>
      <c r="E866" s="34">
        <v>460.7</v>
      </c>
      <c r="F866" s="34">
        <v>462.98</v>
      </c>
      <c r="G866" s="34">
        <v>465.25</v>
      </c>
      <c r="H866" s="113">
        <v>0.5301</v>
      </c>
      <c r="I866" s="34">
        <v>-0.7</v>
      </c>
      <c r="J866" s="34">
        <v>2.0</v>
      </c>
      <c r="K866" s="34">
        <v>2.0</v>
      </c>
      <c r="L866" s="113">
        <v>1.0302</v>
      </c>
    </row>
    <row r="867" ht="22.5" customHeight="1">
      <c r="A867" s="111" t="s">
        <v>28</v>
      </c>
      <c r="B867" s="112">
        <v>47102.0</v>
      </c>
      <c r="C867" s="111">
        <v>870.0</v>
      </c>
      <c r="D867" s="111" t="s">
        <v>117</v>
      </c>
      <c r="E867" s="34">
        <v>469.95</v>
      </c>
      <c r="F867" s="34">
        <v>472.03</v>
      </c>
      <c r="G867" s="34">
        <v>474.1</v>
      </c>
      <c r="H867" s="113">
        <v>0.5302</v>
      </c>
      <c r="I867" s="34">
        <v>-0.7068</v>
      </c>
      <c r="J867" s="34">
        <v>4.0</v>
      </c>
      <c r="K867" s="34">
        <v>4.0</v>
      </c>
      <c r="L867" s="113">
        <v>1.0537999999999998</v>
      </c>
    </row>
  </sheetData>
  <dataValidations>
    <dataValidation type="custom" allowBlank="1" showDropDown="1" sqref="B2:B867">
      <formula1>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10.0"/>
    <col customWidth="1" min="3" max="3" width="45.13"/>
  </cols>
  <sheetData>
    <row r="1">
      <c r="A1" s="115" t="s">
        <v>118</v>
      </c>
      <c r="B1" s="115" t="s">
        <v>62</v>
      </c>
      <c r="C1" s="115" t="s">
        <v>119</v>
      </c>
    </row>
    <row r="2">
      <c r="A2" s="116" t="s">
        <v>120</v>
      </c>
      <c r="B2" s="117">
        <v>20.0</v>
      </c>
      <c r="C2" s="116" t="s">
        <v>121</v>
      </c>
    </row>
    <row r="3">
      <c r="A3" s="116" t="s">
        <v>122</v>
      </c>
      <c r="B3" s="117">
        <v>150.0</v>
      </c>
      <c r="C3" s="116" t="s">
        <v>123</v>
      </c>
    </row>
    <row r="4">
      <c r="A4" s="116" t="s">
        <v>124</v>
      </c>
      <c r="B4" s="116">
        <v>0.0</v>
      </c>
      <c r="C4" s="116" t="s">
        <v>125</v>
      </c>
    </row>
    <row r="5">
      <c r="A5" s="116" t="s">
        <v>126</v>
      </c>
      <c r="B5" s="116">
        <v>0.0</v>
      </c>
      <c r="C5" s="116" t="s">
        <v>127</v>
      </c>
    </row>
    <row r="6">
      <c r="A6" s="116" t="s">
        <v>128</v>
      </c>
      <c r="B6" s="117">
        <v>60.0</v>
      </c>
      <c r="C6" s="116" t="s">
        <v>129</v>
      </c>
    </row>
    <row r="7">
      <c r="A7" s="116" t="s">
        <v>130</v>
      </c>
      <c r="B7" s="117">
        <v>50.0</v>
      </c>
      <c r="C7" s="116" t="s">
        <v>131</v>
      </c>
    </row>
    <row r="8">
      <c r="A8" s="116" t="s">
        <v>132</v>
      </c>
      <c r="B8" s="116">
        <v>1.5</v>
      </c>
      <c r="C8" s="116" t="s">
        <v>133</v>
      </c>
    </row>
    <row r="9">
      <c r="A9" s="116" t="s">
        <v>134</v>
      </c>
      <c r="B9" s="116">
        <v>350.0</v>
      </c>
      <c r="C9" s="116" t="s">
        <v>135</v>
      </c>
    </row>
    <row r="10">
      <c r="A10" s="116" t="s">
        <v>136</v>
      </c>
      <c r="B10" s="117">
        <v>700.0</v>
      </c>
      <c r="C10" s="116" t="s">
        <v>137</v>
      </c>
    </row>
    <row r="11">
      <c r="A11" s="116" t="s">
        <v>138</v>
      </c>
      <c r="B11" s="117">
        <v>6.0</v>
      </c>
      <c r="C11" s="116" t="s">
        <v>139</v>
      </c>
    </row>
    <row r="12">
      <c r="A12" s="116" t="s">
        <v>140</v>
      </c>
      <c r="B12" s="117">
        <v>36.0</v>
      </c>
      <c r="C12" s="116" t="s">
        <v>141</v>
      </c>
    </row>
    <row r="13">
      <c r="A13" s="118"/>
      <c r="B13" s="118"/>
      <c r="C13" s="118"/>
    </row>
    <row r="14">
      <c r="A14" s="116" t="s">
        <v>142</v>
      </c>
      <c r="B14" s="118"/>
      <c r="C14" s="116" t="s">
        <v>143</v>
      </c>
    </row>
    <row r="15">
      <c r="A15" s="116" t="s">
        <v>144</v>
      </c>
      <c r="B15" s="116">
        <v>550.0</v>
      </c>
      <c r="C15" s="116" t="s">
        <v>145</v>
      </c>
    </row>
    <row r="16">
      <c r="A16" s="116" t="s">
        <v>146</v>
      </c>
      <c r="B16" s="119">
        <v>47119.0</v>
      </c>
      <c r="C16" s="116" t="s">
        <v>147</v>
      </c>
    </row>
    <row r="17">
      <c r="A17" s="116" t="s">
        <v>148</v>
      </c>
      <c r="B17" s="116">
        <v>0.8</v>
      </c>
      <c r="C17" s="116" t="s">
        <v>149</v>
      </c>
    </row>
    <row r="19">
      <c r="A19" s="120"/>
      <c r="B19" s="121"/>
      <c r="C19" s="121"/>
    </row>
    <row r="20">
      <c r="C20" s="12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11.38"/>
    <col customWidth="1" min="3" max="4" width="7.63"/>
    <col customWidth="1" min="5" max="5" width="6.38"/>
    <col customWidth="1" min="6" max="7" width="8.88"/>
    <col customWidth="1" min="8" max="8" width="6.38"/>
    <col customWidth="1" min="9" max="9" width="8.88"/>
    <col customWidth="1" min="10" max="17" width="7.0"/>
    <col customWidth="1" min="18" max="18" width="12.63"/>
    <col customWidth="1" min="19" max="19" width="18.88"/>
    <col customWidth="1" min="20" max="20" width="6.38"/>
    <col customWidth="1" min="21" max="21" width="7.0"/>
  </cols>
  <sheetData>
    <row r="1">
      <c r="A1" s="1" t="s">
        <v>150</v>
      </c>
    </row>
    <row r="2">
      <c r="A2" s="123" t="s">
        <v>1</v>
      </c>
      <c r="B2" s="123" t="s">
        <v>6</v>
      </c>
      <c r="C2" s="123" t="s">
        <v>151</v>
      </c>
      <c r="D2" s="123" t="s">
        <v>152</v>
      </c>
      <c r="E2" s="123" t="s">
        <v>153</v>
      </c>
      <c r="F2" s="123" t="s">
        <v>13</v>
      </c>
      <c r="G2" s="123" t="s">
        <v>154</v>
      </c>
      <c r="H2" s="123" t="s">
        <v>155</v>
      </c>
      <c r="I2" s="123" t="s">
        <v>156</v>
      </c>
      <c r="J2" s="123" t="s">
        <v>157</v>
      </c>
      <c r="K2" s="123" t="s">
        <v>158</v>
      </c>
      <c r="L2" s="123" t="s">
        <v>159</v>
      </c>
      <c r="M2" s="123" t="s">
        <v>160</v>
      </c>
      <c r="N2" s="123" t="s">
        <v>161</v>
      </c>
      <c r="O2" s="123" t="s">
        <v>162</v>
      </c>
      <c r="P2" s="123" t="s">
        <v>163</v>
      </c>
      <c r="Q2" s="123" t="s">
        <v>164</v>
      </c>
      <c r="R2" s="124" t="s">
        <v>165</v>
      </c>
      <c r="S2" s="123" t="s">
        <v>166</v>
      </c>
      <c r="T2" s="123" t="s">
        <v>167</v>
      </c>
      <c r="U2" s="123" t="s">
        <v>168</v>
      </c>
    </row>
    <row r="3">
      <c r="A3" s="125" t="s">
        <v>28</v>
      </c>
      <c r="B3" s="125" t="s">
        <v>169</v>
      </c>
      <c r="C3" s="126">
        <v>500.0</v>
      </c>
      <c r="D3" s="126">
        <v>550.0</v>
      </c>
      <c r="E3" s="126">
        <v>50.0</v>
      </c>
      <c r="F3" s="127">
        <v>12.47</v>
      </c>
      <c r="G3" s="127">
        <v>37.53</v>
      </c>
      <c r="H3" s="128">
        <v>3.01</v>
      </c>
      <c r="I3" s="127">
        <v>27.05</v>
      </c>
      <c r="J3" s="128">
        <v>2.17</v>
      </c>
      <c r="K3" s="128">
        <v>0.62</v>
      </c>
      <c r="L3" s="128">
        <v>0.58</v>
      </c>
      <c r="M3" s="126">
        <v>2065.0</v>
      </c>
      <c r="N3" s="126">
        <v>474.0</v>
      </c>
      <c r="O3" s="128">
        <v>9.89</v>
      </c>
      <c r="P3" s="128">
        <v>0.68</v>
      </c>
      <c r="Q3" s="128">
        <v>5.05</v>
      </c>
      <c r="R3" s="129" t="str">
        <f t="shared" ref="R3:R762" si="1">HYPERLINK(buildOptionStratUrl(C3&amp;"/"&amp;D3,A3,"bull-call-spread",B3),"OptionStrat")</f>
        <v>OptionStrat</v>
      </c>
      <c r="S3" s="125" t="s">
        <v>170</v>
      </c>
      <c r="T3" s="130"/>
      <c r="U3" s="131">
        <v>0.55</v>
      </c>
    </row>
    <row r="4">
      <c r="A4" s="132" t="s">
        <v>28</v>
      </c>
      <c r="B4" s="132" t="s">
        <v>171</v>
      </c>
      <c r="C4" s="133">
        <v>500.0</v>
      </c>
      <c r="D4" s="133">
        <v>550.0</v>
      </c>
      <c r="E4" s="133">
        <v>50.0</v>
      </c>
      <c r="F4" s="134">
        <v>12.35</v>
      </c>
      <c r="G4" s="134">
        <v>37.65</v>
      </c>
      <c r="H4" s="135">
        <v>3.05</v>
      </c>
      <c r="I4" s="134">
        <v>28.0</v>
      </c>
      <c r="J4" s="135">
        <v>2.27</v>
      </c>
      <c r="K4" s="135">
        <v>0.65</v>
      </c>
      <c r="L4" s="135">
        <v>0.61</v>
      </c>
      <c r="M4" s="133">
        <v>1214.0</v>
      </c>
      <c r="N4" s="133">
        <v>78.0</v>
      </c>
      <c r="O4" s="135">
        <v>3.08</v>
      </c>
      <c r="P4" s="135">
        <v>0.29</v>
      </c>
      <c r="Q4" s="135">
        <v>4.46</v>
      </c>
      <c r="R4" s="136" t="str">
        <f t="shared" si="1"/>
        <v>OptionStrat</v>
      </c>
      <c r="S4" s="132" t="s">
        <v>172</v>
      </c>
      <c r="T4" s="137"/>
      <c r="U4" s="138">
        <v>0.55</v>
      </c>
    </row>
    <row r="5">
      <c r="A5" s="125" t="s">
        <v>28</v>
      </c>
      <c r="B5" s="125" t="s">
        <v>169</v>
      </c>
      <c r="C5" s="126">
        <v>500.0</v>
      </c>
      <c r="D5" s="126">
        <v>540.0</v>
      </c>
      <c r="E5" s="126">
        <v>40.0</v>
      </c>
      <c r="F5" s="127">
        <v>10.05</v>
      </c>
      <c r="G5" s="127">
        <v>29.95</v>
      </c>
      <c r="H5" s="128">
        <v>2.98</v>
      </c>
      <c r="I5" s="127">
        <v>22.04</v>
      </c>
      <c r="J5" s="128">
        <v>2.19</v>
      </c>
      <c r="K5" s="128">
        <v>0.62</v>
      </c>
      <c r="L5" s="128">
        <v>0.59</v>
      </c>
      <c r="M5" s="126">
        <v>2065.0</v>
      </c>
      <c r="N5" s="126">
        <v>116.0</v>
      </c>
      <c r="O5" s="128">
        <v>4.89</v>
      </c>
      <c r="P5" s="128">
        <v>0.67</v>
      </c>
      <c r="Q5" s="128">
        <v>4.39</v>
      </c>
      <c r="R5" s="129" t="str">
        <f t="shared" si="1"/>
        <v>OptionStrat</v>
      </c>
      <c r="S5" s="125" t="s">
        <v>173</v>
      </c>
      <c r="T5" s="130"/>
      <c r="U5" s="131">
        <v>0.55</v>
      </c>
    </row>
    <row r="6">
      <c r="A6" s="132" t="s">
        <v>28</v>
      </c>
      <c r="B6" s="132" t="s">
        <v>169</v>
      </c>
      <c r="C6" s="133">
        <v>520.0</v>
      </c>
      <c r="D6" s="133">
        <v>550.0</v>
      </c>
      <c r="E6" s="133">
        <v>30.0</v>
      </c>
      <c r="F6" s="134">
        <v>7.2</v>
      </c>
      <c r="G6" s="134">
        <v>22.8</v>
      </c>
      <c r="H6" s="135">
        <v>3.17</v>
      </c>
      <c r="I6" s="134">
        <v>16.46</v>
      </c>
      <c r="J6" s="135">
        <v>2.29</v>
      </c>
      <c r="K6" s="135">
        <v>0.61</v>
      </c>
      <c r="L6" s="135">
        <v>0.58</v>
      </c>
      <c r="M6" s="133">
        <v>281.0</v>
      </c>
      <c r="N6" s="133">
        <v>474.0</v>
      </c>
      <c r="O6" s="135">
        <v>3.65</v>
      </c>
      <c r="P6" s="135">
        <v>0.65</v>
      </c>
      <c r="Q6" s="135">
        <v>4.34</v>
      </c>
      <c r="R6" s="136" t="str">
        <f t="shared" si="1"/>
        <v>OptionStrat</v>
      </c>
      <c r="S6" s="132" t="s">
        <v>174</v>
      </c>
      <c r="T6" s="137"/>
      <c r="U6" s="138">
        <v>0.55</v>
      </c>
    </row>
    <row r="7">
      <c r="A7" s="125" t="s">
        <v>28</v>
      </c>
      <c r="B7" s="125" t="s">
        <v>169</v>
      </c>
      <c r="C7" s="126">
        <v>500.0</v>
      </c>
      <c r="D7" s="126">
        <v>520.0</v>
      </c>
      <c r="E7" s="126">
        <v>20.0</v>
      </c>
      <c r="F7" s="127">
        <v>5.27</v>
      </c>
      <c r="G7" s="127">
        <v>14.73</v>
      </c>
      <c r="H7" s="128">
        <v>2.8</v>
      </c>
      <c r="I7" s="127">
        <v>10.93</v>
      </c>
      <c r="J7" s="128">
        <v>2.07</v>
      </c>
      <c r="K7" s="128">
        <v>0.62</v>
      </c>
      <c r="L7" s="128">
        <v>0.61</v>
      </c>
      <c r="M7" s="126">
        <v>2065.0</v>
      </c>
      <c r="N7" s="126">
        <v>281.0</v>
      </c>
      <c r="O7" s="128">
        <v>7.62</v>
      </c>
      <c r="P7" s="128">
        <v>0.48</v>
      </c>
      <c r="Q7" s="128">
        <v>4.32</v>
      </c>
      <c r="R7" s="129" t="str">
        <f t="shared" si="1"/>
        <v>OptionStrat</v>
      </c>
      <c r="S7" s="125" t="s">
        <v>175</v>
      </c>
      <c r="T7" s="130"/>
      <c r="U7" s="131">
        <v>0.55</v>
      </c>
    </row>
    <row r="8">
      <c r="A8" s="132" t="s">
        <v>28</v>
      </c>
      <c r="B8" s="132" t="s">
        <v>169</v>
      </c>
      <c r="C8" s="133">
        <v>510.0</v>
      </c>
      <c r="D8" s="133">
        <v>550.0</v>
      </c>
      <c r="E8" s="133">
        <v>40.0</v>
      </c>
      <c r="F8" s="134">
        <v>9.82</v>
      </c>
      <c r="G8" s="134">
        <v>30.18</v>
      </c>
      <c r="H8" s="135">
        <v>3.07</v>
      </c>
      <c r="I8" s="134">
        <v>21.77</v>
      </c>
      <c r="J8" s="135">
        <v>2.22</v>
      </c>
      <c r="K8" s="135">
        <v>0.62</v>
      </c>
      <c r="L8" s="135">
        <v>0.58</v>
      </c>
      <c r="M8" s="133">
        <v>359.0</v>
      </c>
      <c r="N8" s="133">
        <v>474.0</v>
      </c>
      <c r="O8" s="135">
        <v>4.13</v>
      </c>
      <c r="P8" s="135">
        <v>0.63</v>
      </c>
      <c r="Q8" s="135">
        <v>4.31</v>
      </c>
      <c r="R8" s="136" t="str">
        <f t="shared" si="1"/>
        <v>OptionStrat</v>
      </c>
      <c r="S8" s="132" t="s">
        <v>176</v>
      </c>
      <c r="T8" s="137"/>
      <c r="U8" s="138">
        <v>0.55</v>
      </c>
    </row>
    <row r="9">
      <c r="A9" s="125" t="s">
        <v>28</v>
      </c>
      <c r="B9" s="125" t="s">
        <v>169</v>
      </c>
      <c r="C9" s="126">
        <v>530.0</v>
      </c>
      <c r="D9" s="126">
        <v>550.0</v>
      </c>
      <c r="E9" s="126">
        <v>20.0</v>
      </c>
      <c r="F9" s="127">
        <v>4.67</v>
      </c>
      <c r="G9" s="127">
        <v>15.33</v>
      </c>
      <c r="H9" s="128">
        <v>3.28</v>
      </c>
      <c r="I9" s="127">
        <v>11.08</v>
      </c>
      <c r="J9" s="128">
        <v>2.37</v>
      </c>
      <c r="K9" s="128">
        <v>0.6</v>
      </c>
      <c r="L9" s="128">
        <v>0.58</v>
      </c>
      <c r="M9" s="126">
        <v>171.0</v>
      </c>
      <c r="N9" s="126">
        <v>474.0</v>
      </c>
      <c r="O9" s="128">
        <v>2.85</v>
      </c>
      <c r="P9" s="128">
        <v>0.68</v>
      </c>
      <c r="Q9" s="128">
        <v>4.31</v>
      </c>
      <c r="R9" s="129" t="str">
        <f t="shared" si="1"/>
        <v>OptionStrat</v>
      </c>
      <c r="S9" s="125" t="s">
        <v>177</v>
      </c>
      <c r="T9" s="130"/>
      <c r="U9" s="131">
        <v>0.55</v>
      </c>
    </row>
    <row r="10">
      <c r="A10" s="132" t="s">
        <v>28</v>
      </c>
      <c r="B10" s="132" t="s">
        <v>169</v>
      </c>
      <c r="C10" s="133">
        <v>490.0</v>
      </c>
      <c r="D10" s="133">
        <v>550.0</v>
      </c>
      <c r="E10" s="133">
        <v>60.0</v>
      </c>
      <c r="F10" s="134">
        <v>15.32</v>
      </c>
      <c r="G10" s="134">
        <v>44.68</v>
      </c>
      <c r="H10" s="135">
        <v>2.92</v>
      </c>
      <c r="I10" s="134">
        <v>32.17</v>
      </c>
      <c r="J10" s="135">
        <v>2.1</v>
      </c>
      <c r="K10" s="135">
        <v>0.63</v>
      </c>
      <c r="L10" s="135">
        <v>0.58</v>
      </c>
      <c r="M10" s="133">
        <v>494.0</v>
      </c>
      <c r="N10" s="133">
        <v>474.0</v>
      </c>
      <c r="O10" s="135">
        <v>4.84</v>
      </c>
      <c r="P10" s="135">
        <v>0.68</v>
      </c>
      <c r="Q10" s="135">
        <v>4.24</v>
      </c>
      <c r="R10" s="136" t="str">
        <f t="shared" si="1"/>
        <v>OptionStrat</v>
      </c>
      <c r="S10" s="132" t="s">
        <v>178</v>
      </c>
      <c r="T10" s="137"/>
      <c r="U10" s="138">
        <v>0.55</v>
      </c>
    </row>
    <row r="11">
      <c r="A11" s="125" t="s">
        <v>28</v>
      </c>
      <c r="B11" s="125" t="s">
        <v>169</v>
      </c>
      <c r="C11" s="126">
        <v>500.0</v>
      </c>
      <c r="D11" s="126">
        <v>530.0</v>
      </c>
      <c r="E11" s="126">
        <v>30.0</v>
      </c>
      <c r="F11" s="127">
        <v>7.8</v>
      </c>
      <c r="G11" s="127">
        <v>22.2</v>
      </c>
      <c r="H11" s="128">
        <v>2.85</v>
      </c>
      <c r="I11" s="127">
        <v>16.48</v>
      </c>
      <c r="J11" s="128">
        <v>2.11</v>
      </c>
      <c r="K11" s="128">
        <v>0.62</v>
      </c>
      <c r="L11" s="128">
        <v>0.6</v>
      </c>
      <c r="M11" s="126">
        <v>2065.0</v>
      </c>
      <c r="N11" s="126">
        <v>171.0</v>
      </c>
      <c r="O11" s="128">
        <v>5.94</v>
      </c>
      <c r="P11" s="128">
        <v>0.5</v>
      </c>
      <c r="Q11" s="128">
        <v>4.24</v>
      </c>
      <c r="R11" s="129" t="str">
        <f t="shared" si="1"/>
        <v>OptionStrat</v>
      </c>
      <c r="S11" s="125" t="s">
        <v>179</v>
      </c>
      <c r="T11" s="130"/>
      <c r="U11" s="131">
        <v>0.55</v>
      </c>
    </row>
    <row r="12">
      <c r="A12" s="132" t="s">
        <v>28</v>
      </c>
      <c r="B12" s="132" t="s">
        <v>171</v>
      </c>
      <c r="C12" s="133">
        <v>450.0</v>
      </c>
      <c r="D12" s="133">
        <v>500.0</v>
      </c>
      <c r="E12" s="133">
        <v>50.0</v>
      </c>
      <c r="F12" s="134">
        <v>15.03</v>
      </c>
      <c r="G12" s="134">
        <v>34.97</v>
      </c>
      <c r="H12" s="135">
        <v>2.33</v>
      </c>
      <c r="I12" s="134">
        <v>25.83</v>
      </c>
      <c r="J12" s="135">
        <v>1.72</v>
      </c>
      <c r="K12" s="135">
        <v>0.69</v>
      </c>
      <c r="L12" s="135">
        <v>0.65</v>
      </c>
      <c r="M12" s="133">
        <v>759.0</v>
      </c>
      <c r="N12" s="133">
        <v>1214.0</v>
      </c>
      <c r="O12" s="135">
        <v>9.6</v>
      </c>
      <c r="P12" s="135">
        <v>0.41</v>
      </c>
      <c r="Q12" s="135">
        <v>4.22</v>
      </c>
      <c r="R12" s="136" t="str">
        <f t="shared" si="1"/>
        <v>OptionStrat</v>
      </c>
      <c r="S12" s="132" t="s">
        <v>180</v>
      </c>
      <c r="T12" s="132" t="s">
        <v>181</v>
      </c>
      <c r="U12" s="138">
        <v>0.55</v>
      </c>
    </row>
    <row r="13">
      <c r="A13" s="125" t="s">
        <v>28</v>
      </c>
      <c r="B13" s="125" t="s">
        <v>171</v>
      </c>
      <c r="C13" s="126">
        <v>500.0</v>
      </c>
      <c r="D13" s="126">
        <v>540.0</v>
      </c>
      <c r="E13" s="126">
        <v>40.0</v>
      </c>
      <c r="F13" s="127">
        <v>10.05</v>
      </c>
      <c r="G13" s="127">
        <v>29.95</v>
      </c>
      <c r="H13" s="128">
        <v>2.98</v>
      </c>
      <c r="I13" s="127">
        <v>22.26</v>
      </c>
      <c r="J13" s="128">
        <v>2.21</v>
      </c>
      <c r="K13" s="128">
        <v>0.65</v>
      </c>
      <c r="L13" s="128">
        <v>0.62</v>
      </c>
      <c r="M13" s="126">
        <v>1214.0</v>
      </c>
      <c r="N13" s="126">
        <v>58.0</v>
      </c>
      <c r="O13" s="128">
        <v>2.65</v>
      </c>
      <c r="P13" s="128">
        <v>0.29</v>
      </c>
      <c r="Q13" s="128">
        <v>4.19</v>
      </c>
      <c r="R13" s="129" t="str">
        <f t="shared" si="1"/>
        <v>OptionStrat</v>
      </c>
      <c r="S13" s="125" t="s">
        <v>182</v>
      </c>
      <c r="T13" s="130"/>
      <c r="U13" s="131">
        <v>0.55</v>
      </c>
    </row>
    <row r="14">
      <c r="A14" s="132" t="s">
        <v>28</v>
      </c>
      <c r="B14" s="132" t="s">
        <v>171</v>
      </c>
      <c r="C14" s="133">
        <v>500.0</v>
      </c>
      <c r="D14" s="133">
        <v>520.0</v>
      </c>
      <c r="E14" s="133">
        <v>20.0</v>
      </c>
      <c r="F14" s="134">
        <v>5.17</v>
      </c>
      <c r="G14" s="134">
        <v>14.83</v>
      </c>
      <c r="H14" s="135">
        <v>2.87</v>
      </c>
      <c r="I14" s="134">
        <v>11.01</v>
      </c>
      <c r="J14" s="135">
        <v>2.13</v>
      </c>
      <c r="K14" s="135">
        <v>0.65</v>
      </c>
      <c r="L14" s="135">
        <v>0.64</v>
      </c>
      <c r="M14" s="133">
        <v>1214.0</v>
      </c>
      <c r="N14" s="133">
        <v>82.0</v>
      </c>
      <c r="O14" s="135">
        <v>3.16</v>
      </c>
      <c r="P14" s="135">
        <v>0.28</v>
      </c>
      <c r="Q14" s="135">
        <v>4.1</v>
      </c>
      <c r="R14" s="136" t="str">
        <f t="shared" si="1"/>
        <v>OptionStrat</v>
      </c>
      <c r="S14" s="132" t="s">
        <v>183</v>
      </c>
      <c r="T14" s="137"/>
      <c r="U14" s="138">
        <v>0.55</v>
      </c>
    </row>
    <row r="15">
      <c r="A15" s="125" t="s">
        <v>28</v>
      </c>
      <c r="B15" s="125" t="s">
        <v>169</v>
      </c>
      <c r="C15" s="126">
        <v>450.0</v>
      </c>
      <c r="D15" s="126">
        <v>550.0</v>
      </c>
      <c r="E15" s="126">
        <v>100.0</v>
      </c>
      <c r="F15" s="127">
        <v>27.4</v>
      </c>
      <c r="G15" s="127">
        <v>72.6</v>
      </c>
      <c r="H15" s="128">
        <v>2.65</v>
      </c>
      <c r="I15" s="127">
        <v>52.1</v>
      </c>
      <c r="J15" s="128">
        <v>1.9</v>
      </c>
      <c r="K15" s="128">
        <v>0.67</v>
      </c>
      <c r="L15" s="128">
        <v>0.58</v>
      </c>
      <c r="M15" s="126">
        <v>943.0</v>
      </c>
      <c r="N15" s="126">
        <v>474.0</v>
      </c>
      <c r="O15" s="128">
        <v>6.69</v>
      </c>
      <c r="P15" s="128">
        <v>0.65</v>
      </c>
      <c r="Q15" s="128">
        <v>4.07</v>
      </c>
      <c r="R15" s="129" t="str">
        <f t="shared" si="1"/>
        <v>OptionStrat</v>
      </c>
      <c r="S15" s="125" t="s">
        <v>184</v>
      </c>
      <c r="T15" s="125" t="s">
        <v>181</v>
      </c>
      <c r="U15" s="131">
        <v>0.55</v>
      </c>
    </row>
    <row r="16">
      <c r="A16" s="132" t="s">
        <v>28</v>
      </c>
      <c r="B16" s="132" t="s">
        <v>169</v>
      </c>
      <c r="C16" s="133">
        <v>480.0</v>
      </c>
      <c r="D16" s="133">
        <v>550.0</v>
      </c>
      <c r="E16" s="133">
        <v>70.0</v>
      </c>
      <c r="F16" s="134">
        <v>18.18</v>
      </c>
      <c r="G16" s="134">
        <v>51.82</v>
      </c>
      <c r="H16" s="135">
        <v>2.85</v>
      </c>
      <c r="I16" s="134">
        <v>37.29</v>
      </c>
      <c r="J16" s="135">
        <v>2.05</v>
      </c>
      <c r="K16" s="135">
        <v>0.64</v>
      </c>
      <c r="L16" s="135">
        <v>0.58</v>
      </c>
      <c r="M16" s="133">
        <v>403.0</v>
      </c>
      <c r="N16" s="133">
        <v>474.0</v>
      </c>
      <c r="O16" s="135">
        <v>4.37</v>
      </c>
      <c r="P16" s="135">
        <v>0.66</v>
      </c>
      <c r="Q16" s="135">
        <v>4.04</v>
      </c>
      <c r="R16" s="136" t="str">
        <f t="shared" si="1"/>
        <v>OptionStrat</v>
      </c>
      <c r="S16" s="132" t="s">
        <v>185</v>
      </c>
      <c r="T16" s="137"/>
      <c r="U16" s="138">
        <v>0.55</v>
      </c>
    </row>
    <row r="17">
      <c r="A17" s="125" t="s">
        <v>28</v>
      </c>
      <c r="B17" s="125" t="s">
        <v>169</v>
      </c>
      <c r="C17" s="126">
        <v>450.0</v>
      </c>
      <c r="D17" s="126">
        <v>500.0</v>
      </c>
      <c r="E17" s="126">
        <v>50.0</v>
      </c>
      <c r="F17" s="127">
        <v>14.92</v>
      </c>
      <c r="G17" s="127">
        <v>35.08</v>
      </c>
      <c r="H17" s="128">
        <v>2.35</v>
      </c>
      <c r="I17" s="127">
        <v>25.91</v>
      </c>
      <c r="J17" s="128">
        <v>1.74</v>
      </c>
      <c r="K17" s="128">
        <v>0.67</v>
      </c>
      <c r="L17" s="128">
        <v>0.62</v>
      </c>
      <c r="M17" s="126">
        <v>943.0</v>
      </c>
      <c r="N17" s="126">
        <v>2065.0</v>
      </c>
      <c r="O17" s="128">
        <v>13.95</v>
      </c>
      <c r="P17" s="128">
        <v>0.48</v>
      </c>
      <c r="Q17" s="128">
        <v>4.02</v>
      </c>
      <c r="R17" s="129" t="str">
        <f t="shared" si="1"/>
        <v>OptionStrat</v>
      </c>
      <c r="S17" s="125" t="s">
        <v>186</v>
      </c>
      <c r="T17" s="125" t="s">
        <v>181</v>
      </c>
      <c r="U17" s="131">
        <v>0.55</v>
      </c>
    </row>
    <row r="18">
      <c r="A18" s="132" t="s">
        <v>28</v>
      </c>
      <c r="B18" s="132" t="s">
        <v>169</v>
      </c>
      <c r="C18" s="133">
        <v>480.0</v>
      </c>
      <c r="D18" s="133">
        <v>500.0</v>
      </c>
      <c r="E18" s="133">
        <v>20.0</v>
      </c>
      <c r="F18" s="134">
        <v>5.7</v>
      </c>
      <c r="G18" s="134">
        <v>14.3</v>
      </c>
      <c r="H18" s="135">
        <v>2.51</v>
      </c>
      <c r="I18" s="134">
        <v>10.58</v>
      </c>
      <c r="J18" s="135">
        <v>1.86</v>
      </c>
      <c r="K18" s="135">
        <v>0.64</v>
      </c>
      <c r="L18" s="135">
        <v>0.62</v>
      </c>
      <c r="M18" s="133">
        <v>403.0</v>
      </c>
      <c r="N18" s="133">
        <v>2065.0</v>
      </c>
      <c r="O18" s="135">
        <v>9.12</v>
      </c>
      <c r="P18" s="135">
        <v>0.49</v>
      </c>
      <c r="Q18" s="135">
        <v>3.95</v>
      </c>
      <c r="R18" s="136" t="str">
        <f t="shared" si="1"/>
        <v>OptionStrat</v>
      </c>
      <c r="S18" s="132" t="s">
        <v>187</v>
      </c>
      <c r="T18" s="137"/>
      <c r="U18" s="138">
        <v>0.55</v>
      </c>
    </row>
    <row r="19">
      <c r="A19" s="125" t="s">
        <v>28</v>
      </c>
      <c r="B19" s="125" t="s">
        <v>171</v>
      </c>
      <c r="C19" s="126">
        <v>480.0</v>
      </c>
      <c r="D19" s="126">
        <v>500.0</v>
      </c>
      <c r="E19" s="126">
        <v>20.0</v>
      </c>
      <c r="F19" s="127">
        <v>5.48</v>
      </c>
      <c r="G19" s="127">
        <v>14.52</v>
      </c>
      <c r="H19" s="128">
        <v>2.65</v>
      </c>
      <c r="I19" s="127">
        <v>10.77</v>
      </c>
      <c r="J19" s="128">
        <v>1.96</v>
      </c>
      <c r="K19" s="128">
        <v>0.67</v>
      </c>
      <c r="L19" s="128">
        <v>0.65</v>
      </c>
      <c r="M19" s="126">
        <v>139.0</v>
      </c>
      <c r="N19" s="126">
        <v>1214.0</v>
      </c>
      <c r="O19" s="128">
        <v>4.11</v>
      </c>
      <c r="P19" s="128">
        <v>0.28</v>
      </c>
      <c r="Q19" s="128">
        <v>3.92</v>
      </c>
      <c r="R19" s="129" t="str">
        <f t="shared" si="1"/>
        <v>OptionStrat</v>
      </c>
      <c r="S19" s="125" t="s">
        <v>188</v>
      </c>
      <c r="T19" s="130"/>
      <c r="U19" s="131">
        <v>0.55</v>
      </c>
    </row>
    <row r="20">
      <c r="A20" s="132" t="s">
        <v>28</v>
      </c>
      <c r="B20" s="132" t="s">
        <v>171</v>
      </c>
      <c r="C20" s="133">
        <v>500.0</v>
      </c>
      <c r="D20" s="133">
        <v>530.0</v>
      </c>
      <c r="E20" s="133">
        <v>30.0</v>
      </c>
      <c r="F20" s="134">
        <v>7.97</v>
      </c>
      <c r="G20" s="134">
        <v>22.03</v>
      </c>
      <c r="H20" s="135">
        <v>2.76</v>
      </c>
      <c r="I20" s="134">
        <v>16.34</v>
      </c>
      <c r="J20" s="135">
        <v>2.05</v>
      </c>
      <c r="K20" s="135">
        <v>0.65</v>
      </c>
      <c r="L20" s="135">
        <v>0.63</v>
      </c>
      <c r="M20" s="133">
        <v>1214.0</v>
      </c>
      <c r="N20" s="133">
        <v>60.0</v>
      </c>
      <c r="O20" s="135">
        <v>2.7</v>
      </c>
      <c r="P20" s="135">
        <v>0.33</v>
      </c>
      <c r="Q20" s="135">
        <v>3.91</v>
      </c>
      <c r="R20" s="136" t="str">
        <f t="shared" si="1"/>
        <v>OptionStrat</v>
      </c>
      <c r="S20" s="132" t="s">
        <v>189</v>
      </c>
      <c r="T20" s="137"/>
      <c r="U20" s="138">
        <v>0.55</v>
      </c>
    </row>
    <row r="21">
      <c r="A21" s="125" t="s">
        <v>28</v>
      </c>
      <c r="B21" s="125" t="s">
        <v>171</v>
      </c>
      <c r="C21" s="126">
        <v>530.0</v>
      </c>
      <c r="D21" s="126">
        <v>550.0</v>
      </c>
      <c r="E21" s="126">
        <v>20.0</v>
      </c>
      <c r="F21" s="127">
        <v>4.38</v>
      </c>
      <c r="G21" s="127">
        <v>15.62</v>
      </c>
      <c r="H21" s="128">
        <v>3.57</v>
      </c>
      <c r="I21" s="127">
        <v>11.66</v>
      </c>
      <c r="J21" s="128">
        <v>2.66</v>
      </c>
      <c r="K21" s="128">
        <v>0.63</v>
      </c>
      <c r="L21" s="128">
        <v>0.61</v>
      </c>
      <c r="M21" s="126">
        <v>60.0</v>
      </c>
      <c r="N21" s="126">
        <v>78.0</v>
      </c>
      <c r="O21" s="128">
        <v>0.68</v>
      </c>
      <c r="P21" s="128">
        <v>0.32</v>
      </c>
      <c r="Q21" s="128">
        <v>3.91</v>
      </c>
      <c r="R21" s="129" t="str">
        <f t="shared" si="1"/>
        <v>OptionStrat</v>
      </c>
      <c r="S21" s="125" t="s">
        <v>190</v>
      </c>
      <c r="T21" s="130"/>
      <c r="U21" s="131">
        <v>0.55</v>
      </c>
    </row>
    <row r="22">
      <c r="A22" s="132" t="s">
        <v>28</v>
      </c>
      <c r="B22" s="132" t="s">
        <v>169</v>
      </c>
      <c r="C22" s="133">
        <v>470.0</v>
      </c>
      <c r="D22" s="133">
        <v>550.0</v>
      </c>
      <c r="E22" s="133">
        <v>80.0</v>
      </c>
      <c r="F22" s="134">
        <v>21.27</v>
      </c>
      <c r="G22" s="134">
        <v>58.73</v>
      </c>
      <c r="H22" s="135">
        <v>2.76</v>
      </c>
      <c r="I22" s="134">
        <v>42.21</v>
      </c>
      <c r="J22" s="135">
        <v>1.98</v>
      </c>
      <c r="K22" s="135">
        <v>0.65</v>
      </c>
      <c r="L22" s="135">
        <v>0.58</v>
      </c>
      <c r="M22" s="133">
        <v>318.0</v>
      </c>
      <c r="N22" s="133">
        <v>474.0</v>
      </c>
      <c r="O22" s="135">
        <v>3.88</v>
      </c>
      <c r="P22" s="135">
        <v>0.78</v>
      </c>
      <c r="Q22" s="135">
        <v>3.89</v>
      </c>
      <c r="R22" s="136" t="str">
        <f t="shared" si="1"/>
        <v>OptionStrat</v>
      </c>
      <c r="S22" s="132" t="s">
        <v>191</v>
      </c>
      <c r="T22" s="137"/>
      <c r="U22" s="138">
        <v>0.55</v>
      </c>
    </row>
    <row r="23">
      <c r="A23" s="125" t="s">
        <v>28</v>
      </c>
      <c r="B23" s="125" t="s">
        <v>169</v>
      </c>
      <c r="C23" s="126">
        <v>460.0</v>
      </c>
      <c r="D23" s="126">
        <v>550.0</v>
      </c>
      <c r="E23" s="126">
        <v>90.0</v>
      </c>
      <c r="F23" s="127">
        <v>24.25</v>
      </c>
      <c r="G23" s="127">
        <v>65.75</v>
      </c>
      <c r="H23" s="128">
        <v>2.71</v>
      </c>
      <c r="I23" s="127">
        <v>47.23</v>
      </c>
      <c r="J23" s="128">
        <v>1.95</v>
      </c>
      <c r="K23" s="128">
        <v>0.66</v>
      </c>
      <c r="L23" s="128">
        <v>0.58</v>
      </c>
      <c r="M23" s="126">
        <v>419.0</v>
      </c>
      <c r="N23" s="126">
        <v>474.0</v>
      </c>
      <c r="O23" s="128">
        <v>4.46</v>
      </c>
      <c r="P23" s="128">
        <v>0.65</v>
      </c>
      <c r="Q23" s="128">
        <v>3.85</v>
      </c>
      <c r="R23" s="129" t="str">
        <f t="shared" si="1"/>
        <v>OptionStrat</v>
      </c>
      <c r="S23" s="125" t="s">
        <v>192</v>
      </c>
      <c r="T23" s="130"/>
      <c r="U23" s="131">
        <v>0.55</v>
      </c>
    </row>
    <row r="24">
      <c r="A24" s="132" t="s">
        <v>28</v>
      </c>
      <c r="B24" s="132" t="s">
        <v>169</v>
      </c>
      <c r="C24" s="133">
        <v>520.0</v>
      </c>
      <c r="D24" s="133">
        <v>540.0</v>
      </c>
      <c r="E24" s="133">
        <v>20.0</v>
      </c>
      <c r="F24" s="134">
        <v>4.78</v>
      </c>
      <c r="G24" s="134">
        <v>15.22</v>
      </c>
      <c r="H24" s="135">
        <v>3.18</v>
      </c>
      <c r="I24" s="134">
        <v>11.22</v>
      </c>
      <c r="J24" s="135">
        <v>2.35</v>
      </c>
      <c r="K24" s="135">
        <v>0.61</v>
      </c>
      <c r="L24" s="135">
        <v>0.59</v>
      </c>
      <c r="M24" s="133">
        <v>281.0</v>
      </c>
      <c r="N24" s="133">
        <v>116.0</v>
      </c>
      <c r="O24" s="135">
        <v>1.81</v>
      </c>
      <c r="P24" s="135">
        <v>0.63</v>
      </c>
      <c r="Q24" s="135">
        <v>3.83</v>
      </c>
      <c r="R24" s="136" t="str">
        <f t="shared" si="1"/>
        <v>OptionStrat</v>
      </c>
      <c r="S24" s="132" t="s">
        <v>193</v>
      </c>
      <c r="T24" s="137"/>
      <c r="U24" s="138">
        <v>0.55</v>
      </c>
    </row>
    <row r="25">
      <c r="A25" s="125" t="s">
        <v>28</v>
      </c>
      <c r="B25" s="125" t="s">
        <v>171</v>
      </c>
      <c r="C25" s="126">
        <v>450.0</v>
      </c>
      <c r="D25" s="126">
        <v>550.0</v>
      </c>
      <c r="E25" s="126">
        <v>100.0</v>
      </c>
      <c r="F25" s="127">
        <v>27.38</v>
      </c>
      <c r="G25" s="127">
        <v>72.62</v>
      </c>
      <c r="H25" s="128">
        <v>2.65</v>
      </c>
      <c r="I25" s="127">
        <v>53.83</v>
      </c>
      <c r="J25" s="128">
        <v>1.97</v>
      </c>
      <c r="K25" s="128">
        <v>0.69</v>
      </c>
      <c r="L25" s="128">
        <v>0.61</v>
      </c>
      <c r="M25" s="126">
        <v>759.0</v>
      </c>
      <c r="N25" s="126">
        <v>78.0</v>
      </c>
      <c r="O25" s="128">
        <v>2.43</v>
      </c>
      <c r="P25" s="128">
        <v>0.4</v>
      </c>
      <c r="Q25" s="128">
        <v>3.81</v>
      </c>
      <c r="R25" s="129" t="str">
        <f t="shared" si="1"/>
        <v>OptionStrat</v>
      </c>
      <c r="S25" s="125" t="s">
        <v>194</v>
      </c>
      <c r="T25" s="125" t="s">
        <v>181</v>
      </c>
      <c r="U25" s="131">
        <v>0.55</v>
      </c>
    </row>
    <row r="26">
      <c r="A26" s="132" t="s">
        <v>28</v>
      </c>
      <c r="B26" s="132" t="s">
        <v>169</v>
      </c>
      <c r="C26" s="133">
        <v>460.0</v>
      </c>
      <c r="D26" s="133">
        <v>500.0</v>
      </c>
      <c r="E26" s="133">
        <v>40.0</v>
      </c>
      <c r="F26" s="134">
        <v>11.78</v>
      </c>
      <c r="G26" s="134">
        <v>28.22</v>
      </c>
      <c r="H26" s="135">
        <v>2.4</v>
      </c>
      <c r="I26" s="134">
        <v>20.86</v>
      </c>
      <c r="J26" s="135">
        <v>1.77</v>
      </c>
      <c r="K26" s="135">
        <v>0.66</v>
      </c>
      <c r="L26" s="135">
        <v>0.62</v>
      </c>
      <c r="M26" s="133">
        <v>419.0</v>
      </c>
      <c r="N26" s="133">
        <v>2065.0</v>
      </c>
      <c r="O26" s="135">
        <v>9.3</v>
      </c>
      <c r="P26" s="135">
        <v>0.48</v>
      </c>
      <c r="Q26" s="135">
        <v>3.78</v>
      </c>
      <c r="R26" s="136" t="str">
        <f t="shared" si="1"/>
        <v>OptionStrat</v>
      </c>
      <c r="S26" s="132" t="s">
        <v>195</v>
      </c>
      <c r="T26" s="137"/>
      <c r="U26" s="138">
        <v>0.55</v>
      </c>
    </row>
    <row r="27">
      <c r="A27" s="125" t="s">
        <v>28</v>
      </c>
      <c r="B27" s="125" t="s">
        <v>169</v>
      </c>
      <c r="C27" s="126">
        <v>510.0</v>
      </c>
      <c r="D27" s="126">
        <v>540.0</v>
      </c>
      <c r="E27" s="126">
        <v>30.0</v>
      </c>
      <c r="F27" s="127">
        <v>7.4</v>
      </c>
      <c r="G27" s="127">
        <v>22.6</v>
      </c>
      <c r="H27" s="128">
        <v>3.05</v>
      </c>
      <c r="I27" s="127">
        <v>16.64</v>
      </c>
      <c r="J27" s="128">
        <v>2.25</v>
      </c>
      <c r="K27" s="128">
        <v>0.62</v>
      </c>
      <c r="L27" s="128">
        <v>0.59</v>
      </c>
      <c r="M27" s="126">
        <v>359.0</v>
      </c>
      <c r="N27" s="126">
        <v>116.0</v>
      </c>
      <c r="O27" s="128">
        <v>2.04</v>
      </c>
      <c r="P27" s="128">
        <v>0.62</v>
      </c>
      <c r="Q27" s="128">
        <v>3.76</v>
      </c>
      <c r="R27" s="129" t="str">
        <f t="shared" si="1"/>
        <v>OptionStrat</v>
      </c>
      <c r="S27" s="125" t="s">
        <v>196</v>
      </c>
      <c r="T27" s="130"/>
      <c r="U27" s="131">
        <v>0.55</v>
      </c>
    </row>
    <row r="28">
      <c r="A28" s="132" t="s">
        <v>28</v>
      </c>
      <c r="B28" s="132" t="s">
        <v>169</v>
      </c>
      <c r="C28" s="133">
        <v>470.0</v>
      </c>
      <c r="D28" s="133">
        <v>500.0</v>
      </c>
      <c r="E28" s="133">
        <v>30.0</v>
      </c>
      <c r="F28" s="134">
        <v>8.8</v>
      </c>
      <c r="G28" s="134">
        <v>21.2</v>
      </c>
      <c r="H28" s="135">
        <v>2.41</v>
      </c>
      <c r="I28" s="134">
        <v>15.67</v>
      </c>
      <c r="J28" s="135">
        <v>1.78</v>
      </c>
      <c r="K28" s="135">
        <v>0.65</v>
      </c>
      <c r="L28" s="135">
        <v>0.62</v>
      </c>
      <c r="M28" s="133">
        <v>318.0</v>
      </c>
      <c r="N28" s="133">
        <v>2065.0</v>
      </c>
      <c r="O28" s="135">
        <v>8.1</v>
      </c>
      <c r="P28" s="135">
        <v>0.56</v>
      </c>
      <c r="Q28" s="135">
        <v>3.75</v>
      </c>
      <c r="R28" s="136" t="str">
        <f t="shared" si="1"/>
        <v>OptionStrat</v>
      </c>
      <c r="S28" s="132" t="s">
        <v>197</v>
      </c>
      <c r="T28" s="137"/>
      <c r="U28" s="138">
        <v>0.55</v>
      </c>
    </row>
    <row r="29">
      <c r="A29" s="125" t="s">
        <v>28</v>
      </c>
      <c r="B29" s="125" t="s">
        <v>171</v>
      </c>
      <c r="C29" s="126">
        <v>440.0</v>
      </c>
      <c r="D29" s="126">
        <v>500.0</v>
      </c>
      <c r="E29" s="126">
        <v>60.0</v>
      </c>
      <c r="F29" s="127">
        <v>17.23</v>
      </c>
      <c r="G29" s="127">
        <v>42.77</v>
      </c>
      <c r="H29" s="128">
        <v>2.48</v>
      </c>
      <c r="I29" s="127">
        <v>31.65</v>
      </c>
      <c r="J29" s="128">
        <v>1.84</v>
      </c>
      <c r="K29" s="128">
        <v>0.7</v>
      </c>
      <c r="L29" s="128">
        <v>0.65</v>
      </c>
      <c r="M29" s="126">
        <v>144.0</v>
      </c>
      <c r="N29" s="126">
        <v>1214.0</v>
      </c>
      <c r="O29" s="128">
        <v>4.18</v>
      </c>
      <c r="P29" s="128">
        <v>0.32</v>
      </c>
      <c r="Q29" s="128">
        <v>3.72</v>
      </c>
      <c r="R29" s="129" t="str">
        <f t="shared" si="1"/>
        <v>OptionStrat</v>
      </c>
      <c r="S29" s="125" t="s">
        <v>198</v>
      </c>
      <c r="T29" s="125" t="s">
        <v>181</v>
      </c>
      <c r="U29" s="131">
        <v>0.55</v>
      </c>
    </row>
    <row r="30">
      <c r="A30" s="132" t="s">
        <v>28</v>
      </c>
      <c r="B30" s="132" t="s">
        <v>171</v>
      </c>
      <c r="C30" s="133">
        <v>430.0</v>
      </c>
      <c r="D30" s="133">
        <v>450.0</v>
      </c>
      <c r="E30" s="133">
        <v>20.0</v>
      </c>
      <c r="F30" s="134">
        <v>5.65</v>
      </c>
      <c r="G30" s="134">
        <v>14.35</v>
      </c>
      <c r="H30" s="135">
        <v>2.54</v>
      </c>
      <c r="I30" s="134">
        <v>10.62</v>
      </c>
      <c r="J30" s="135">
        <v>1.88</v>
      </c>
      <c r="K30" s="135">
        <v>0.71</v>
      </c>
      <c r="L30" s="135">
        <v>0.69</v>
      </c>
      <c r="M30" s="133">
        <v>213.0</v>
      </c>
      <c r="N30" s="133">
        <v>759.0</v>
      </c>
      <c r="O30" s="135">
        <v>4.02</v>
      </c>
      <c r="P30" s="135">
        <v>0.41</v>
      </c>
      <c r="Q30" s="135">
        <v>3.71</v>
      </c>
      <c r="R30" s="136" t="str">
        <f t="shared" si="1"/>
        <v>OptionStrat</v>
      </c>
      <c r="S30" s="132" t="s">
        <v>199</v>
      </c>
      <c r="T30" s="137"/>
      <c r="U30" s="138">
        <v>0.55</v>
      </c>
    </row>
    <row r="31">
      <c r="A31" s="125" t="s">
        <v>28</v>
      </c>
      <c r="B31" s="125" t="s">
        <v>169</v>
      </c>
      <c r="C31" s="126">
        <v>400.0</v>
      </c>
      <c r="D31" s="126">
        <v>550.0</v>
      </c>
      <c r="E31" s="126">
        <v>150.0</v>
      </c>
      <c r="F31" s="127">
        <v>44.85</v>
      </c>
      <c r="G31" s="127">
        <v>105.15</v>
      </c>
      <c r="H31" s="128">
        <v>2.34</v>
      </c>
      <c r="I31" s="127">
        <v>75.1</v>
      </c>
      <c r="J31" s="128">
        <v>1.67</v>
      </c>
      <c r="K31" s="128">
        <v>0.72</v>
      </c>
      <c r="L31" s="128">
        <v>0.58</v>
      </c>
      <c r="M31" s="126">
        <v>1326.0</v>
      </c>
      <c r="N31" s="126">
        <v>474.0</v>
      </c>
      <c r="O31" s="128">
        <v>7.93</v>
      </c>
      <c r="P31" s="128">
        <v>0.63</v>
      </c>
      <c r="Q31" s="128">
        <v>3.7</v>
      </c>
      <c r="R31" s="129" t="str">
        <f t="shared" si="1"/>
        <v>OptionStrat</v>
      </c>
      <c r="S31" s="125" t="s">
        <v>200</v>
      </c>
      <c r="T31" s="130"/>
      <c r="U31" s="131">
        <v>0.55</v>
      </c>
    </row>
    <row r="32">
      <c r="A32" s="132" t="s">
        <v>28</v>
      </c>
      <c r="B32" s="132" t="s">
        <v>171</v>
      </c>
      <c r="C32" s="133">
        <v>430.0</v>
      </c>
      <c r="D32" s="133">
        <v>500.0</v>
      </c>
      <c r="E32" s="133">
        <v>70.0</v>
      </c>
      <c r="F32" s="134">
        <v>20.68</v>
      </c>
      <c r="G32" s="134">
        <v>49.32</v>
      </c>
      <c r="H32" s="135">
        <v>2.38</v>
      </c>
      <c r="I32" s="134">
        <v>36.45</v>
      </c>
      <c r="J32" s="135">
        <v>1.76</v>
      </c>
      <c r="K32" s="135">
        <v>0.71</v>
      </c>
      <c r="L32" s="135">
        <v>0.65</v>
      </c>
      <c r="M32" s="133">
        <v>213.0</v>
      </c>
      <c r="N32" s="133">
        <v>1214.0</v>
      </c>
      <c r="O32" s="135">
        <v>5.09</v>
      </c>
      <c r="P32" s="135">
        <v>0.3</v>
      </c>
      <c r="Q32" s="135">
        <v>3.68</v>
      </c>
      <c r="R32" s="136" t="str">
        <f t="shared" si="1"/>
        <v>OptionStrat</v>
      </c>
      <c r="S32" s="132" t="s">
        <v>201</v>
      </c>
      <c r="T32" s="137"/>
      <c r="U32" s="138">
        <v>0.55</v>
      </c>
    </row>
    <row r="33">
      <c r="A33" s="125" t="s">
        <v>28</v>
      </c>
      <c r="B33" s="125" t="s">
        <v>171</v>
      </c>
      <c r="C33" s="126">
        <v>500.0</v>
      </c>
      <c r="D33" s="126">
        <v>600.0</v>
      </c>
      <c r="E33" s="126">
        <v>100.0</v>
      </c>
      <c r="F33" s="127">
        <v>23.22</v>
      </c>
      <c r="G33" s="127">
        <v>76.78</v>
      </c>
      <c r="H33" s="128">
        <v>3.31</v>
      </c>
      <c r="I33" s="127">
        <v>54.95</v>
      </c>
      <c r="J33" s="128">
        <v>2.37</v>
      </c>
      <c r="K33" s="128">
        <v>0.65</v>
      </c>
      <c r="L33" s="128">
        <v>0.58</v>
      </c>
      <c r="M33" s="126">
        <v>1214.0</v>
      </c>
      <c r="N33" s="126">
        <v>416.0</v>
      </c>
      <c r="O33" s="128">
        <v>7.11</v>
      </c>
      <c r="P33" s="128">
        <v>0.31</v>
      </c>
      <c r="Q33" s="128">
        <v>3.68</v>
      </c>
      <c r="R33" s="129" t="str">
        <f t="shared" si="1"/>
        <v>OptionStrat</v>
      </c>
      <c r="S33" s="125" t="s">
        <v>202</v>
      </c>
      <c r="T33" s="130"/>
      <c r="U33" s="131">
        <v>0.55</v>
      </c>
    </row>
    <row r="34">
      <c r="A34" s="132" t="s">
        <v>28</v>
      </c>
      <c r="B34" s="132" t="s">
        <v>169</v>
      </c>
      <c r="C34" s="133">
        <v>400.0</v>
      </c>
      <c r="D34" s="133">
        <v>500.0</v>
      </c>
      <c r="E34" s="133">
        <v>100.0</v>
      </c>
      <c r="F34" s="134">
        <v>32.38</v>
      </c>
      <c r="G34" s="134">
        <v>67.62</v>
      </c>
      <c r="H34" s="135">
        <v>2.09</v>
      </c>
      <c r="I34" s="134">
        <v>49.78</v>
      </c>
      <c r="J34" s="135">
        <v>1.54</v>
      </c>
      <c r="K34" s="135">
        <v>0.72</v>
      </c>
      <c r="L34" s="135">
        <v>0.62</v>
      </c>
      <c r="M34" s="133">
        <v>1326.0</v>
      </c>
      <c r="N34" s="133">
        <v>2065.0</v>
      </c>
      <c r="O34" s="135">
        <v>16.55</v>
      </c>
      <c r="P34" s="135">
        <v>0.47</v>
      </c>
      <c r="Q34" s="135">
        <v>3.67</v>
      </c>
      <c r="R34" s="136" t="str">
        <f t="shared" si="1"/>
        <v>OptionStrat</v>
      </c>
      <c r="S34" s="132" t="s">
        <v>203</v>
      </c>
      <c r="T34" s="137"/>
      <c r="U34" s="138">
        <v>0.55</v>
      </c>
    </row>
    <row r="35">
      <c r="A35" s="125" t="s">
        <v>28</v>
      </c>
      <c r="B35" s="125" t="s">
        <v>169</v>
      </c>
      <c r="C35" s="126">
        <v>490.0</v>
      </c>
      <c r="D35" s="126">
        <v>540.0</v>
      </c>
      <c r="E35" s="126">
        <v>50.0</v>
      </c>
      <c r="F35" s="127">
        <v>12.9</v>
      </c>
      <c r="G35" s="127">
        <v>37.1</v>
      </c>
      <c r="H35" s="128">
        <v>2.88</v>
      </c>
      <c r="I35" s="127">
        <v>27.28</v>
      </c>
      <c r="J35" s="128">
        <v>2.11</v>
      </c>
      <c r="K35" s="128">
        <v>0.63</v>
      </c>
      <c r="L35" s="128">
        <v>0.59</v>
      </c>
      <c r="M35" s="126">
        <v>494.0</v>
      </c>
      <c r="N35" s="126">
        <v>116.0</v>
      </c>
      <c r="O35" s="128">
        <v>2.39</v>
      </c>
      <c r="P35" s="128">
        <v>0.67</v>
      </c>
      <c r="Q35" s="128">
        <v>3.67</v>
      </c>
      <c r="R35" s="129" t="str">
        <f t="shared" si="1"/>
        <v>OptionStrat</v>
      </c>
      <c r="S35" s="125" t="s">
        <v>204</v>
      </c>
      <c r="T35" s="130"/>
      <c r="U35" s="131">
        <v>0.55</v>
      </c>
    </row>
    <row r="36">
      <c r="A36" s="132" t="s">
        <v>28</v>
      </c>
      <c r="B36" s="132" t="s">
        <v>169</v>
      </c>
      <c r="C36" s="133">
        <v>490.0</v>
      </c>
      <c r="D36" s="133">
        <v>520.0</v>
      </c>
      <c r="E36" s="133">
        <v>30.0</v>
      </c>
      <c r="F36" s="134">
        <v>8.12</v>
      </c>
      <c r="G36" s="134">
        <v>21.88</v>
      </c>
      <c r="H36" s="135">
        <v>2.69</v>
      </c>
      <c r="I36" s="134">
        <v>16.22</v>
      </c>
      <c r="J36" s="135">
        <v>2.0</v>
      </c>
      <c r="K36" s="135">
        <v>0.63</v>
      </c>
      <c r="L36" s="135">
        <v>0.61</v>
      </c>
      <c r="M36" s="133">
        <v>494.0</v>
      </c>
      <c r="N36" s="133">
        <v>281.0</v>
      </c>
      <c r="O36" s="135">
        <v>3.73</v>
      </c>
      <c r="P36" s="135">
        <v>0.48</v>
      </c>
      <c r="Q36" s="135">
        <v>3.61</v>
      </c>
      <c r="R36" s="136" t="str">
        <f t="shared" si="1"/>
        <v>OptionStrat</v>
      </c>
      <c r="S36" s="132" t="s">
        <v>205</v>
      </c>
      <c r="T36" s="137"/>
      <c r="U36" s="138">
        <v>0.55</v>
      </c>
    </row>
    <row r="37">
      <c r="A37" s="125" t="s">
        <v>28</v>
      </c>
      <c r="B37" s="125" t="s">
        <v>171</v>
      </c>
      <c r="C37" s="126">
        <v>400.0</v>
      </c>
      <c r="D37" s="126">
        <v>500.0</v>
      </c>
      <c r="E37" s="126">
        <v>100.0</v>
      </c>
      <c r="F37" s="127">
        <v>31.38</v>
      </c>
      <c r="G37" s="127">
        <v>68.62</v>
      </c>
      <c r="H37" s="128">
        <v>2.19</v>
      </c>
      <c r="I37" s="127">
        <v>50.59</v>
      </c>
      <c r="J37" s="128">
        <v>1.61</v>
      </c>
      <c r="K37" s="128">
        <v>0.74</v>
      </c>
      <c r="L37" s="128">
        <v>0.65</v>
      </c>
      <c r="M37" s="126">
        <v>369.0</v>
      </c>
      <c r="N37" s="126">
        <v>1214.0</v>
      </c>
      <c r="O37" s="128">
        <v>6.69</v>
      </c>
      <c r="P37" s="128">
        <v>0.34</v>
      </c>
      <c r="Q37" s="128">
        <v>3.6</v>
      </c>
      <c r="R37" s="129" t="str">
        <f t="shared" si="1"/>
        <v>OptionStrat</v>
      </c>
      <c r="S37" s="125" t="s">
        <v>206</v>
      </c>
      <c r="T37" s="130"/>
      <c r="U37" s="131">
        <v>0.55</v>
      </c>
    </row>
    <row r="38">
      <c r="A38" s="132" t="s">
        <v>28</v>
      </c>
      <c r="B38" s="132" t="s">
        <v>171</v>
      </c>
      <c r="C38" s="133">
        <v>460.0</v>
      </c>
      <c r="D38" s="133">
        <v>500.0</v>
      </c>
      <c r="E38" s="133">
        <v>40.0</v>
      </c>
      <c r="F38" s="134">
        <v>11.28</v>
      </c>
      <c r="G38" s="134">
        <v>28.72</v>
      </c>
      <c r="H38" s="135">
        <v>2.55</v>
      </c>
      <c r="I38" s="134">
        <v>21.27</v>
      </c>
      <c r="J38" s="135">
        <v>1.89</v>
      </c>
      <c r="K38" s="135">
        <v>0.68</v>
      </c>
      <c r="L38" s="135">
        <v>0.65</v>
      </c>
      <c r="M38" s="133">
        <v>90.0</v>
      </c>
      <c r="N38" s="133">
        <v>1214.0</v>
      </c>
      <c r="O38" s="135">
        <v>3.31</v>
      </c>
      <c r="P38" s="135">
        <v>0.28</v>
      </c>
      <c r="Q38" s="135">
        <v>3.6</v>
      </c>
      <c r="R38" s="136" t="str">
        <f t="shared" si="1"/>
        <v>OptionStrat</v>
      </c>
      <c r="S38" s="132" t="s">
        <v>207</v>
      </c>
      <c r="T38" s="137"/>
      <c r="U38" s="138">
        <v>0.55</v>
      </c>
    </row>
    <row r="39">
      <c r="A39" s="125" t="s">
        <v>28</v>
      </c>
      <c r="B39" s="125" t="s">
        <v>169</v>
      </c>
      <c r="C39" s="126">
        <v>510.0</v>
      </c>
      <c r="D39" s="126">
        <v>530.0</v>
      </c>
      <c r="E39" s="126">
        <v>20.0</v>
      </c>
      <c r="F39" s="127">
        <v>5.15</v>
      </c>
      <c r="G39" s="127">
        <v>14.85</v>
      </c>
      <c r="H39" s="128">
        <v>2.88</v>
      </c>
      <c r="I39" s="127">
        <v>11.03</v>
      </c>
      <c r="J39" s="128">
        <v>2.14</v>
      </c>
      <c r="K39" s="128">
        <v>0.62</v>
      </c>
      <c r="L39" s="128">
        <v>0.6</v>
      </c>
      <c r="M39" s="126">
        <v>359.0</v>
      </c>
      <c r="N39" s="126">
        <v>171.0</v>
      </c>
      <c r="O39" s="128">
        <v>2.48</v>
      </c>
      <c r="P39" s="128">
        <v>0.48</v>
      </c>
      <c r="Q39" s="128">
        <v>3.59</v>
      </c>
      <c r="R39" s="129" t="str">
        <f t="shared" si="1"/>
        <v>OptionStrat</v>
      </c>
      <c r="S39" s="125" t="s">
        <v>208</v>
      </c>
      <c r="T39" s="130"/>
      <c r="U39" s="131">
        <v>0.55</v>
      </c>
    </row>
    <row r="40">
      <c r="A40" s="132" t="s">
        <v>28</v>
      </c>
      <c r="B40" s="132" t="s">
        <v>169</v>
      </c>
      <c r="C40" s="133">
        <v>490.0</v>
      </c>
      <c r="D40" s="133">
        <v>510.0</v>
      </c>
      <c r="E40" s="133">
        <v>20.0</v>
      </c>
      <c r="F40" s="134">
        <v>5.5</v>
      </c>
      <c r="G40" s="134">
        <v>14.5</v>
      </c>
      <c r="H40" s="135">
        <v>2.64</v>
      </c>
      <c r="I40" s="134">
        <v>10.75</v>
      </c>
      <c r="J40" s="135">
        <v>1.95</v>
      </c>
      <c r="K40" s="135">
        <v>0.63</v>
      </c>
      <c r="L40" s="135">
        <v>0.62</v>
      </c>
      <c r="M40" s="133">
        <v>494.0</v>
      </c>
      <c r="N40" s="133">
        <v>359.0</v>
      </c>
      <c r="O40" s="135">
        <v>4.21</v>
      </c>
      <c r="P40" s="135">
        <v>0.48</v>
      </c>
      <c r="Q40" s="135">
        <v>3.58</v>
      </c>
      <c r="R40" s="136" t="str">
        <f t="shared" si="1"/>
        <v>OptionStrat</v>
      </c>
      <c r="S40" s="132" t="s">
        <v>209</v>
      </c>
      <c r="T40" s="137"/>
      <c r="U40" s="138">
        <v>0.55</v>
      </c>
    </row>
    <row r="41">
      <c r="A41" s="125" t="s">
        <v>28</v>
      </c>
      <c r="B41" s="125" t="s">
        <v>171</v>
      </c>
      <c r="C41" s="126">
        <v>450.0</v>
      </c>
      <c r="D41" s="126">
        <v>540.0</v>
      </c>
      <c r="E41" s="126">
        <v>90.0</v>
      </c>
      <c r="F41" s="127">
        <v>25.07</v>
      </c>
      <c r="G41" s="127">
        <v>64.93</v>
      </c>
      <c r="H41" s="128">
        <v>2.59</v>
      </c>
      <c r="I41" s="127">
        <v>48.09</v>
      </c>
      <c r="J41" s="128">
        <v>1.92</v>
      </c>
      <c r="K41" s="128">
        <v>0.69</v>
      </c>
      <c r="L41" s="128">
        <v>0.62</v>
      </c>
      <c r="M41" s="126">
        <v>759.0</v>
      </c>
      <c r="N41" s="126">
        <v>58.0</v>
      </c>
      <c r="O41" s="128">
        <v>2.1</v>
      </c>
      <c r="P41" s="128">
        <v>0.39</v>
      </c>
      <c r="Q41" s="128">
        <v>3.57</v>
      </c>
      <c r="R41" s="129" t="str">
        <f t="shared" si="1"/>
        <v>OptionStrat</v>
      </c>
      <c r="S41" s="125" t="s">
        <v>210</v>
      </c>
      <c r="T41" s="125" t="s">
        <v>181</v>
      </c>
      <c r="U41" s="131">
        <v>0.55</v>
      </c>
    </row>
    <row r="42">
      <c r="A42" s="132" t="s">
        <v>28</v>
      </c>
      <c r="B42" s="132" t="s">
        <v>169</v>
      </c>
      <c r="C42" s="133">
        <v>490.0</v>
      </c>
      <c r="D42" s="133">
        <v>530.0</v>
      </c>
      <c r="E42" s="133">
        <v>40.0</v>
      </c>
      <c r="F42" s="134">
        <v>10.65</v>
      </c>
      <c r="G42" s="134">
        <v>29.35</v>
      </c>
      <c r="H42" s="135">
        <v>2.76</v>
      </c>
      <c r="I42" s="134">
        <v>21.77</v>
      </c>
      <c r="J42" s="135">
        <v>2.04</v>
      </c>
      <c r="K42" s="135">
        <v>0.63</v>
      </c>
      <c r="L42" s="135">
        <v>0.6</v>
      </c>
      <c r="M42" s="133">
        <v>494.0</v>
      </c>
      <c r="N42" s="133">
        <v>171.0</v>
      </c>
      <c r="O42" s="135">
        <v>2.91</v>
      </c>
      <c r="P42" s="135">
        <v>0.5</v>
      </c>
      <c r="Q42" s="135">
        <v>3.56</v>
      </c>
      <c r="R42" s="136" t="str">
        <f t="shared" si="1"/>
        <v>OptionStrat</v>
      </c>
      <c r="S42" s="132" t="s">
        <v>211</v>
      </c>
      <c r="T42" s="137"/>
      <c r="U42" s="138">
        <v>0.55</v>
      </c>
    </row>
    <row r="43">
      <c r="A43" s="125" t="s">
        <v>28</v>
      </c>
      <c r="B43" s="125" t="s">
        <v>169</v>
      </c>
      <c r="C43" s="126">
        <v>500.0</v>
      </c>
      <c r="D43" s="126">
        <v>600.0</v>
      </c>
      <c r="E43" s="126">
        <v>100.0</v>
      </c>
      <c r="F43" s="127">
        <v>23.45</v>
      </c>
      <c r="G43" s="127">
        <v>76.55</v>
      </c>
      <c r="H43" s="128">
        <v>3.26</v>
      </c>
      <c r="I43" s="127">
        <v>49.76</v>
      </c>
      <c r="J43" s="128">
        <v>2.12</v>
      </c>
      <c r="K43" s="128">
        <v>0.62</v>
      </c>
      <c r="L43" s="128">
        <v>0.54</v>
      </c>
      <c r="M43" s="126">
        <v>2065.0</v>
      </c>
      <c r="N43" s="126">
        <v>1000.0</v>
      </c>
      <c r="O43" s="128">
        <v>14.37</v>
      </c>
      <c r="P43" s="128">
        <v>0.69</v>
      </c>
      <c r="Q43" s="128">
        <v>3.56</v>
      </c>
      <c r="R43" s="129" t="str">
        <f t="shared" si="1"/>
        <v>OptionStrat</v>
      </c>
      <c r="S43" s="125" t="s">
        <v>212</v>
      </c>
      <c r="T43" s="130"/>
      <c r="U43" s="131">
        <v>0.55</v>
      </c>
    </row>
    <row r="44">
      <c r="A44" s="132" t="s">
        <v>28</v>
      </c>
      <c r="B44" s="132" t="s">
        <v>171</v>
      </c>
      <c r="C44" s="133">
        <v>470.0</v>
      </c>
      <c r="D44" s="133">
        <v>500.0</v>
      </c>
      <c r="E44" s="133">
        <v>30.0</v>
      </c>
      <c r="F44" s="134">
        <v>8.38</v>
      </c>
      <c r="G44" s="134">
        <v>21.62</v>
      </c>
      <c r="H44" s="135">
        <v>2.58</v>
      </c>
      <c r="I44" s="134">
        <v>16.02</v>
      </c>
      <c r="J44" s="135">
        <v>1.91</v>
      </c>
      <c r="K44" s="135">
        <v>0.68</v>
      </c>
      <c r="L44" s="135">
        <v>0.65</v>
      </c>
      <c r="M44" s="133">
        <v>68.0</v>
      </c>
      <c r="N44" s="133">
        <v>1214.0</v>
      </c>
      <c r="O44" s="135">
        <v>2.87</v>
      </c>
      <c r="P44" s="135">
        <v>0.29</v>
      </c>
      <c r="Q44" s="135">
        <v>3.55</v>
      </c>
      <c r="R44" s="136" t="str">
        <f t="shared" si="1"/>
        <v>OptionStrat</v>
      </c>
      <c r="S44" s="132" t="s">
        <v>213</v>
      </c>
      <c r="T44" s="137"/>
      <c r="U44" s="138">
        <v>0.55</v>
      </c>
    </row>
    <row r="45">
      <c r="A45" s="125" t="s">
        <v>28</v>
      </c>
      <c r="B45" s="125" t="s">
        <v>171</v>
      </c>
      <c r="C45" s="126">
        <v>520.0</v>
      </c>
      <c r="D45" s="126">
        <v>550.0</v>
      </c>
      <c r="E45" s="126">
        <v>30.0</v>
      </c>
      <c r="F45" s="127">
        <v>7.17</v>
      </c>
      <c r="G45" s="127">
        <v>22.83</v>
      </c>
      <c r="H45" s="128">
        <v>3.18</v>
      </c>
      <c r="I45" s="127">
        <v>16.99</v>
      </c>
      <c r="J45" s="128">
        <v>2.37</v>
      </c>
      <c r="K45" s="128">
        <v>0.64</v>
      </c>
      <c r="L45" s="128">
        <v>0.61</v>
      </c>
      <c r="M45" s="126">
        <v>82.0</v>
      </c>
      <c r="N45" s="126">
        <v>78.0</v>
      </c>
      <c r="O45" s="128">
        <v>0.8</v>
      </c>
      <c r="P45" s="128">
        <v>0.28</v>
      </c>
      <c r="Q45" s="128">
        <v>3.54</v>
      </c>
      <c r="R45" s="129" t="str">
        <f t="shared" si="1"/>
        <v>OptionStrat</v>
      </c>
      <c r="S45" s="125" t="s">
        <v>214</v>
      </c>
      <c r="T45" s="130"/>
      <c r="U45" s="131">
        <v>0.55</v>
      </c>
    </row>
    <row r="46">
      <c r="A46" s="132" t="s">
        <v>28</v>
      </c>
      <c r="B46" s="132" t="s">
        <v>169</v>
      </c>
      <c r="C46" s="133">
        <v>450.0</v>
      </c>
      <c r="D46" s="133">
        <v>540.0</v>
      </c>
      <c r="E46" s="133">
        <v>90.0</v>
      </c>
      <c r="F46" s="134">
        <v>24.97</v>
      </c>
      <c r="G46" s="134">
        <v>65.03</v>
      </c>
      <c r="H46" s="135">
        <v>2.6</v>
      </c>
      <c r="I46" s="134">
        <v>47.67</v>
      </c>
      <c r="J46" s="135">
        <v>1.91</v>
      </c>
      <c r="K46" s="135">
        <v>0.67</v>
      </c>
      <c r="L46" s="135">
        <v>0.59</v>
      </c>
      <c r="M46" s="133">
        <v>943.0</v>
      </c>
      <c r="N46" s="133">
        <v>116.0</v>
      </c>
      <c r="O46" s="135">
        <v>3.31</v>
      </c>
      <c r="P46" s="135">
        <v>0.63</v>
      </c>
      <c r="Q46" s="135">
        <v>3.52</v>
      </c>
      <c r="R46" s="136" t="str">
        <f t="shared" si="1"/>
        <v>OptionStrat</v>
      </c>
      <c r="S46" s="132" t="s">
        <v>215</v>
      </c>
      <c r="T46" s="132" t="s">
        <v>181</v>
      </c>
      <c r="U46" s="138">
        <v>0.55</v>
      </c>
    </row>
    <row r="47">
      <c r="A47" s="125" t="s">
        <v>28</v>
      </c>
      <c r="B47" s="125" t="s">
        <v>169</v>
      </c>
      <c r="C47" s="126">
        <v>450.0</v>
      </c>
      <c r="D47" s="126">
        <v>520.0</v>
      </c>
      <c r="E47" s="126">
        <v>70.0</v>
      </c>
      <c r="F47" s="127">
        <v>20.2</v>
      </c>
      <c r="G47" s="127">
        <v>49.8</v>
      </c>
      <c r="H47" s="128">
        <v>2.47</v>
      </c>
      <c r="I47" s="127">
        <v>36.84</v>
      </c>
      <c r="J47" s="128">
        <v>1.82</v>
      </c>
      <c r="K47" s="128">
        <v>0.67</v>
      </c>
      <c r="L47" s="128">
        <v>0.61</v>
      </c>
      <c r="M47" s="126">
        <v>943.0</v>
      </c>
      <c r="N47" s="126">
        <v>281.0</v>
      </c>
      <c r="O47" s="128">
        <v>5.15</v>
      </c>
      <c r="P47" s="128">
        <v>0.47</v>
      </c>
      <c r="Q47" s="128">
        <v>3.5</v>
      </c>
      <c r="R47" s="129" t="str">
        <f t="shared" si="1"/>
        <v>OptionStrat</v>
      </c>
      <c r="S47" s="125" t="s">
        <v>216</v>
      </c>
      <c r="T47" s="125" t="s">
        <v>181</v>
      </c>
      <c r="U47" s="131">
        <v>0.55</v>
      </c>
    </row>
    <row r="48">
      <c r="A48" s="132" t="s">
        <v>28</v>
      </c>
      <c r="B48" s="132" t="s">
        <v>169</v>
      </c>
      <c r="C48" s="133">
        <v>480.0</v>
      </c>
      <c r="D48" s="133">
        <v>540.0</v>
      </c>
      <c r="E48" s="133">
        <v>60.0</v>
      </c>
      <c r="F48" s="134">
        <v>15.75</v>
      </c>
      <c r="G48" s="134">
        <v>44.25</v>
      </c>
      <c r="H48" s="135">
        <v>2.81</v>
      </c>
      <c r="I48" s="134">
        <v>32.51</v>
      </c>
      <c r="J48" s="135">
        <v>2.06</v>
      </c>
      <c r="K48" s="135">
        <v>0.64</v>
      </c>
      <c r="L48" s="135">
        <v>0.59</v>
      </c>
      <c r="M48" s="133">
        <v>403.0</v>
      </c>
      <c r="N48" s="133">
        <v>116.0</v>
      </c>
      <c r="O48" s="135">
        <v>2.16</v>
      </c>
      <c r="P48" s="135">
        <v>0.65</v>
      </c>
      <c r="Q48" s="135">
        <v>3.5</v>
      </c>
      <c r="R48" s="136" t="str">
        <f t="shared" si="1"/>
        <v>OptionStrat</v>
      </c>
      <c r="S48" s="132" t="s">
        <v>217</v>
      </c>
      <c r="T48" s="137"/>
      <c r="U48" s="138">
        <v>0.55</v>
      </c>
    </row>
    <row r="49">
      <c r="A49" s="125" t="s">
        <v>28</v>
      </c>
      <c r="B49" s="125" t="s">
        <v>169</v>
      </c>
      <c r="C49" s="126">
        <v>450.0</v>
      </c>
      <c r="D49" s="126">
        <v>510.0</v>
      </c>
      <c r="E49" s="126">
        <v>60.0</v>
      </c>
      <c r="F49" s="127">
        <v>17.57</v>
      </c>
      <c r="G49" s="127">
        <v>42.43</v>
      </c>
      <c r="H49" s="128">
        <v>2.41</v>
      </c>
      <c r="I49" s="127">
        <v>31.36</v>
      </c>
      <c r="J49" s="128">
        <v>1.79</v>
      </c>
      <c r="K49" s="128">
        <v>0.67</v>
      </c>
      <c r="L49" s="128">
        <v>0.62</v>
      </c>
      <c r="M49" s="126">
        <v>943.0</v>
      </c>
      <c r="N49" s="126">
        <v>359.0</v>
      </c>
      <c r="O49" s="128">
        <v>5.82</v>
      </c>
      <c r="P49" s="128">
        <v>0.46</v>
      </c>
      <c r="Q49" s="128">
        <v>3.48</v>
      </c>
      <c r="R49" s="129" t="str">
        <f t="shared" si="1"/>
        <v>OptionStrat</v>
      </c>
      <c r="S49" s="125" t="s">
        <v>218</v>
      </c>
      <c r="T49" s="125" t="s">
        <v>181</v>
      </c>
      <c r="U49" s="131">
        <v>0.55</v>
      </c>
    </row>
    <row r="50">
      <c r="A50" s="132" t="s">
        <v>28</v>
      </c>
      <c r="B50" s="132" t="s">
        <v>169</v>
      </c>
      <c r="C50" s="133">
        <v>480.0</v>
      </c>
      <c r="D50" s="133">
        <v>520.0</v>
      </c>
      <c r="E50" s="133">
        <v>40.0</v>
      </c>
      <c r="F50" s="134">
        <v>10.98</v>
      </c>
      <c r="G50" s="134">
        <v>29.02</v>
      </c>
      <c r="H50" s="135">
        <v>2.64</v>
      </c>
      <c r="I50" s="134">
        <v>21.51</v>
      </c>
      <c r="J50" s="135">
        <v>1.96</v>
      </c>
      <c r="K50" s="135">
        <v>0.64</v>
      </c>
      <c r="L50" s="135">
        <v>0.61</v>
      </c>
      <c r="M50" s="133">
        <v>403.0</v>
      </c>
      <c r="N50" s="133">
        <v>281.0</v>
      </c>
      <c r="O50" s="135">
        <v>3.37</v>
      </c>
      <c r="P50" s="135">
        <v>0.47</v>
      </c>
      <c r="Q50" s="135">
        <v>3.46</v>
      </c>
      <c r="R50" s="136" t="str">
        <f t="shared" si="1"/>
        <v>OptionStrat</v>
      </c>
      <c r="S50" s="132" t="s">
        <v>219</v>
      </c>
      <c r="T50" s="137"/>
      <c r="U50" s="138">
        <v>0.55</v>
      </c>
    </row>
    <row r="51">
      <c r="A51" s="125" t="s">
        <v>28</v>
      </c>
      <c r="B51" s="125" t="s">
        <v>169</v>
      </c>
      <c r="C51" s="126">
        <v>450.0</v>
      </c>
      <c r="D51" s="126">
        <v>530.0</v>
      </c>
      <c r="E51" s="126">
        <v>80.0</v>
      </c>
      <c r="F51" s="127">
        <v>22.72</v>
      </c>
      <c r="G51" s="127">
        <v>57.28</v>
      </c>
      <c r="H51" s="128">
        <v>2.52</v>
      </c>
      <c r="I51" s="127">
        <v>42.39</v>
      </c>
      <c r="J51" s="128">
        <v>1.87</v>
      </c>
      <c r="K51" s="128">
        <v>0.67</v>
      </c>
      <c r="L51" s="128">
        <v>0.6</v>
      </c>
      <c r="M51" s="126">
        <v>943.0</v>
      </c>
      <c r="N51" s="126">
        <v>171.0</v>
      </c>
      <c r="O51" s="128">
        <v>4.02</v>
      </c>
      <c r="P51" s="128">
        <v>0.48</v>
      </c>
      <c r="Q51" s="128">
        <v>3.45</v>
      </c>
      <c r="R51" s="129" t="str">
        <f t="shared" si="1"/>
        <v>OptionStrat</v>
      </c>
      <c r="S51" s="125" t="s">
        <v>220</v>
      </c>
      <c r="T51" s="125" t="s">
        <v>181</v>
      </c>
      <c r="U51" s="131">
        <v>0.55</v>
      </c>
    </row>
    <row r="52">
      <c r="A52" s="132" t="s">
        <v>28</v>
      </c>
      <c r="B52" s="132" t="s">
        <v>171</v>
      </c>
      <c r="C52" s="133">
        <v>450.0</v>
      </c>
      <c r="D52" s="133">
        <v>520.0</v>
      </c>
      <c r="E52" s="133">
        <v>70.0</v>
      </c>
      <c r="F52" s="134">
        <v>20.2</v>
      </c>
      <c r="G52" s="134">
        <v>49.8</v>
      </c>
      <c r="H52" s="135">
        <v>2.47</v>
      </c>
      <c r="I52" s="134">
        <v>36.84</v>
      </c>
      <c r="J52" s="135">
        <v>1.82</v>
      </c>
      <c r="K52" s="135">
        <v>0.69</v>
      </c>
      <c r="L52" s="135">
        <v>0.64</v>
      </c>
      <c r="M52" s="133">
        <v>759.0</v>
      </c>
      <c r="N52" s="133">
        <v>82.0</v>
      </c>
      <c r="O52" s="135">
        <v>2.49</v>
      </c>
      <c r="P52" s="135">
        <v>0.38</v>
      </c>
      <c r="Q52" s="135">
        <v>3.45</v>
      </c>
      <c r="R52" s="136" t="str">
        <f t="shared" si="1"/>
        <v>OptionStrat</v>
      </c>
      <c r="S52" s="132" t="s">
        <v>221</v>
      </c>
      <c r="T52" s="132" t="s">
        <v>181</v>
      </c>
      <c r="U52" s="138">
        <v>0.55</v>
      </c>
    </row>
    <row r="53">
      <c r="A53" s="125" t="s">
        <v>28</v>
      </c>
      <c r="B53" s="125" t="s">
        <v>171</v>
      </c>
      <c r="C53" s="126">
        <v>450.0</v>
      </c>
      <c r="D53" s="126">
        <v>530.0</v>
      </c>
      <c r="E53" s="126">
        <v>80.0</v>
      </c>
      <c r="F53" s="127">
        <v>23.0</v>
      </c>
      <c r="G53" s="127">
        <v>57.0</v>
      </c>
      <c r="H53" s="128">
        <v>2.48</v>
      </c>
      <c r="I53" s="127">
        <v>42.17</v>
      </c>
      <c r="J53" s="128">
        <v>1.83</v>
      </c>
      <c r="K53" s="128">
        <v>0.69</v>
      </c>
      <c r="L53" s="128">
        <v>0.63</v>
      </c>
      <c r="M53" s="126">
        <v>759.0</v>
      </c>
      <c r="N53" s="126">
        <v>60.0</v>
      </c>
      <c r="O53" s="128">
        <v>2.13</v>
      </c>
      <c r="P53" s="128">
        <v>0.47</v>
      </c>
      <c r="Q53" s="128">
        <v>3.45</v>
      </c>
      <c r="R53" s="129" t="str">
        <f t="shared" si="1"/>
        <v>OptionStrat</v>
      </c>
      <c r="S53" s="125" t="s">
        <v>222</v>
      </c>
      <c r="T53" s="125" t="s">
        <v>181</v>
      </c>
      <c r="U53" s="131">
        <v>0.55</v>
      </c>
    </row>
    <row r="54">
      <c r="A54" s="132" t="s">
        <v>28</v>
      </c>
      <c r="B54" s="132" t="s">
        <v>169</v>
      </c>
      <c r="C54" s="133">
        <v>480.0</v>
      </c>
      <c r="D54" s="133">
        <v>510.0</v>
      </c>
      <c r="E54" s="133">
        <v>30.0</v>
      </c>
      <c r="F54" s="134">
        <v>8.35</v>
      </c>
      <c r="G54" s="134">
        <v>21.65</v>
      </c>
      <c r="H54" s="135">
        <v>2.59</v>
      </c>
      <c r="I54" s="134">
        <v>16.04</v>
      </c>
      <c r="J54" s="135">
        <v>1.92</v>
      </c>
      <c r="K54" s="135">
        <v>0.64</v>
      </c>
      <c r="L54" s="135">
        <v>0.62</v>
      </c>
      <c r="M54" s="133">
        <v>403.0</v>
      </c>
      <c r="N54" s="133">
        <v>359.0</v>
      </c>
      <c r="O54" s="135">
        <v>3.8</v>
      </c>
      <c r="P54" s="135">
        <v>0.47</v>
      </c>
      <c r="Q54" s="135">
        <v>3.44</v>
      </c>
      <c r="R54" s="136" t="str">
        <f t="shared" si="1"/>
        <v>OptionStrat</v>
      </c>
      <c r="S54" s="132" t="s">
        <v>223</v>
      </c>
      <c r="T54" s="137"/>
      <c r="U54" s="138">
        <v>0.55</v>
      </c>
    </row>
    <row r="55">
      <c r="A55" s="125" t="s">
        <v>28</v>
      </c>
      <c r="B55" s="125" t="s">
        <v>171</v>
      </c>
      <c r="C55" s="126">
        <v>420.0</v>
      </c>
      <c r="D55" s="126">
        <v>500.0</v>
      </c>
      <c r="E55" s="126">
        <v>80.0</v>
      </c>
      <c r="F55" s="127">
        <v>23.93</v>
      </c>
      <c r="G55" s="127">
        <v>56.07</v>
      </c>
      <c r="H55" s="128">
        <v>2.34</v>
      </c>
      <c r="I55" s="127">
        <v>41.42</v>
      </c>
      <c r="J55" s="128">
        <v>1.73</v>
      </c>
      <c r="K55" s="128">
        <v>0.72</v>
      </c>
      <c r="L55" s="128">
        <v>0.65</v>
      </c>
      <c r="M55" s="126">
        <v>131.0</v>
      </c>
      <c r="N55" s="126">
        <v>1214.0</v>
      </c>
      <c r="O55" s="128">
        <v>3.99</v>
      </c>
      <c r="P55" s="128">
        <v>0.29</v>
      </c>
      <c r="Q55" s="128">
        <v>3.44</v>
      </c>
      <c r="R55" s="129" t="str">
        <f t="shared" si="1"/>
        <v>OptionStrat</v>
      </c>
      <c r="S55" s="125" t="s">
        <v>224</v>
      </c>
      <c r="T55" s="130"/>
      <c r="U55" s="131">
        <v>0.55</v>
      </c>
    </row>
    <row r="56">
      <c r="A56" s="132" t="s">
        <v>28</v>
      </c>
      <c r="B56" s="132" t="s">
        <v>171</v>
      </c>
      <c r="C56" s="133">
        <v>480.0</v>
      </c>
      <c r="D56" s="133">
        <v>550.0</v>
      </c>
      <c r="E56" s="133">
        <v>70.0</v>
      </c>
      <c r="F56" s="134">
        <v>17.82</v>
      </c>
      <c r="G56" s="134">
        <v>52.18</v>
      </c>
      <c r="H56" s="135">
        <v>2.93</v>
      </c>
      <c r="I56" s="134">
        <v>38.76</v>
      </c>
      <c r="J56" s="135">
        <v>2.18</v>
      </c>
      <c r="K56" s="135">
        <v>0.67</v>
      </c>
      <c r="L56" s="135">
        <v>0.61</v>
      </c>
      <c r="M56" s="133">
        <v>139.0</v>
      </c>
      <c r="N56" s="133">
        <v>78.0</v>
      </c>
      <c r="O56" s="135">
        <v>1.04</v>
      </c>
      <c r="P56" s="135">
        <v>0.28</v>
      </c>
      <c r="Q56" s="135">
        <v>3.43</v>
      </c>
      <c r="R56" s="136" t="str">
        <f t="shared" si="1"/>
        <v>OptionStrat</v>
      </c>
      <c r="S56" s="132" t="s">
        <v>225</v>
      </c>
      <c r="T56" s="137"/>
      <c r="U56" s="138">
        <v>0.55</v>
      </c>
    </row>
    <row r="57">
      <c r="A57" s="125" t="s">
        <v>28</v>
      </c>
      <c r="B57" s="125" t="s">
        <v>169</v>
      </c>
      <c r="C57" s="126">
        <v>480.0</v>
      </c>
      <c r="D57" s="126">
        <v>530.0</v>
      </c>
      <c r="E57" s="126">
        <v>50.0</v>
      </c>
      <c r="F57" s="127">
        <v>13.5</v>
      </c>
      <c r="G57" s="127">
        <v>36.5</v>
      </c>
      <c r="H57" s="128">
        <v>2.7</v>
      </c>
      <c r="I57" s="127">
        <v>27.06</v>
      </c>
      <c r="J57" s="128">
        <v>2.0</v>
      </c>
      <c r="K57" s="128">
        <v>0.64</v>
      </c>
      <c r="L57" s="128">
        <v>0.6</v>
      </c>
      <c r="M57" s="126">
        <v>403.0</v>
      </c>
      <c r="N57" s="126">
        <v>171.0</v>
      </c>
      <c r="O57" s="128">
        <v>2.63</v>
      </c>
      <c r="P57" s="128">
        <v>0.49</v>
      </c>
      <c r="Q57" s="128">
        <v>3.41</v>
      </c>
      <c r="R57" s="129" t="str">
        <f t="shared" si="1"/>
        <v>OptionStrat</v>
      </c>
      <c r="S57" s="125" t="s">
        <v>226</v>
      </c>
      <c r="T57" s="130"/>
      <c r="U57" s="131">
        <v>0.55</v>
      </c>
    </row>
    <row r="58">
      <c r="A58" s="132" t="s">
        <v>28</v>
      </c>
      <c r="B58" s="132" t="s">
        <v>169</v>
      </c>
      <c r="C58" s="133">
        <v>600.0</v>
      </c>
      <c r="D58" s="133">
        <v>700.0</v>
      </c>
      <c r="E58" s="133">
        <v>100.0</v>
      </c>
      <c r="F58" s="134">
        <v>17.65</v>
      </c>
      <c r="G58" s="134">
        <v>82.35</v>
      </c>
      <c r="H58" s="135">
        <v>4.67</v>
      </c>
      <c r="I58" s="134">
        <v>45.28</v>
      </c>
      <c r="J58" s="135">
        <v>2.57</v>
      </c>
      <c r="K58" s="135">
        <v>0.54</v>
      </c>
      <c r="L58" s="135">
        <v>0.47</v>
      </c>
      <c r="M58" s="133">
        <v>1000.0</v>
      </c>
      <c r="N58" s="133">
        <v>1080.0</v>
      </c>
      <c r="O58" s="135">
        <v>10.39</v>
      </c>
      <c r="P58" s="135">
        <v>1.18</v>
      </c>
      <c r="Q58" s="135">
        <v>3.41</v>
      </c>
      <c r="R58" s="136" t="str">
        <f t="shared" si="1"/>
        <v>OptionStrat</v>
      </c>
      <c r="S58" s="132" t="s">
        <v>227</v>
      </c>
      <c r="T58" s="137"/>
      <c r="U58" s="138">
        <v>0.55</v>
      </c>
    </row>
    <row r="59">
      <c r="A59" s="125" t="s">
        <v>28</v>
      </c>
      <c r="B59" s="125" t="s">
        <v>169</v>
      </c>
      <c r="C59" s="126">
        <v>450.0</v>
      </c>
      <c r="D59" s="126">
        <v>490.0</v>
      </c>
      <c r="E59" s="126">
        <v>40.0</v>
      </c>
      <c r="F59" s="127">
        <v>12.07</v>
      </c>
      <c r="G59" s="127">
        <v>27.93</v>
      </c>
      <c r="H59" s="128">
        <v>2.31</v>
      </c>
      <c r="I59" s="127">
        <v>20.62</v>
      </c>
      <c r="J59" s="128">
        <v>1.71</v>
      </c>
      <c r="K59" s="128">
        <v>0.67</v>
      </c>
      <c r="L59" s="128">
        <v>0.63</v>
      </c>
      <c r="M59" s="126">
        <v>943.0</v>
      </c>
      <c r="N59" s="126">
        <v>494.0</v>
      </c>
      <c r="O59" s="128">
        <v>6.83</v>
      </c>
      <c r="P59" s="128">
        <v>0.48</v>
      </c>
      <c r="Q59" s="128">
        <v>3.4</v>
      </c>
      <c r="R59" s="129" t="str">
        <f t="shared" si="1"/>
        <v>OptionStrat</v>
      </c>
      <c r="S59" s="125" t="s">
        <v>228</v>
      </c>
      <c r="T59" s="125" t="s">
        <v>181</v>
      </c>
      <c r="U59" s="131">
        <v>0.55</v>
      </c>
    </row>
    <row r="60">
      <c r="A60" s="132" t="s">
        <v>28</v>
      </c>
      <c r="B60" s="132" t="s">
        <v>169</v>
      </c>
      <c r="C60" s="133">
        <v>440.0</v>
      </c>
      <c r="D60" s="133">
        <v>550.0</v>
      </c>
      <c r="E60" s="133">
        <v>110.0</v>
      </c>
      <c r="F60" s="134">
        <v>30.72</v>
      </c>
      <c r="G60" s="134">
        <v>79.28</v>
      </c>
      <c r="H60" s="135">
        <v>2.58</v>
      </c>
      <c r="I60" s="134">
        <v>56.84</v>
      </c>
      <c r="J60" s="135">
        <v>1.85</v>
      </c>
      <c r="K60" s="135">
        <v>0.68</v>
      </c>
      <c r="L60" s="135">
        <v>0.58</v>
      </c>
      <c r="M60" s="133">
        <v>208.0</v>
      </c>
      <c r="N60" s="133">
        <v>474.0</v>
      </c>
      <c r="O60" s="135">
        <v>3.14</v>
      </c>
      <c r="P60" s="135">
        <v>0.62</v>
      </c>
      <c r="Q60" s="135">
        <v>3.39</v>
      </c>
      <c r="R60" s="136" t="str">
        <f t="shared" si="1"/>
        <v>OptionStrat</v>
      </c>
      <c r="S60" s="132" t="s">
        <v>229</v>
      </c>
      <c r="T60" s="137"/>
      <c r="U60" s="138">
        <v>0.55</v>
      </c>
    </row>
    <row r="61">
      <c r="A61" s="125" t="s">
        <v>28</v>
      </c>
      <c r="B61" s="125" t="s">
        <v>169</v>
      </c>
      <c r="C61" s="126">
        <v>500.0</v>
      </c>
      <c r="D61" s="126">
        <v>560.0</v>
      </c>
      <c r="E61" s="126">
        <v>60.0</v>
      </c>
      <c r="F61" s="127">
        <v>14.78</v>
      </c>
      <c r="G61" s="127">
        <v>45.22</v>
      </c>
      <c r="H61" s="128">
        <v>3.06</v>
      </c>
      <c r="I61" s="127">
        <v>31.94</v>
      </c>
      <c r="J61" s="128">
        <v>2.16</v>
      </c>
      <c r="K61" s="128">
        <v>0.62</v>
      </c>
      <c r="L61" s="128">
        <v>0.57</v>
      </c>
      <c r="M61" s="126">
        <v>2065.0</v>
      </c>
      <c r="N61" s="126">
        <v>183.0</v>
      </c>
      <c r="O61" s="128">
        <v>6.15</v>
      </c>
      <c r="P61" s="128">
        <v>0.68</v>
      </c>
      <c r="Q61" s="128">
        <v>3.39</v>
      </c>
      <c r="R61" s="129" t="str">
        <f t="shared" si="1"/>
        <v>OptionStrat</v>
      </c>
      <c r="S61" s="125" t="s">
        <v>230</v>
      </c>
      <c r="T61" s="130"/>
      <c r="U61" s="131">
        <v>0.55</v>
      </c>
    </row>
    <row r="62">
      <c r="A62" s="132" t="s">
        <v>28</v>
      </c>
      <c r="B62" s="132" t="s">
        <v>171</v>
      </c>
      <c r="C62" s="133">
        <v>500.0</v>
      </c>
      <c r="D62" s="133">
        <v>570.0</v>
      </c>
      <c r="E62" s="133">
        <v>70.0</v>
      </c>
      <c r="F62" s="134">
        <v>16.92</v>
      </c>
      <c r="G62" s="134">
        <v>53.08</v>
      </c>
      <c r="H62" s="135">
        <v>3.14</v>
      </c>
      <c r="I62" s="134">
        <v>39.49</v>
      </c>
      <c r="J62" s="135">
        <v>2.33</v>
      </c>
      <c r="K62" s="135">
        <v>0.65</v>
      </c>
      <c r="L62" s="135">
        <v>0.6</v>
      </c>
      <c r="M62" s="133">
        <v>1214.0</v>
      </c>
      <c r="N62" s="133">
        <v>110.0</v>
      </c>
      <c r="O62" s="135">
        <v>3.65</v>
      </c>
      <c r="P62" s="135">
        <v>0.29</v>
      </c>
      <c r="Q62" s="135">
        <v>3.39</v>
      </c>
      <c r="R62" s="136" t="str">
        <f t="shared" si="1"/>
        <v>OptionStrat</v>
      </c>
      <c r="S62" s="132" t="s">
        <v>231</v>
      </c>
      <c r="T62" s="137"/>
      <c r="U62" s="138">
        <v>0.55</v>
      </c>
    </row>
    <row r="63">
      <c r="A63" s="125" t="s">
        <v>28</v>
      </c>
      <c r="B63" s="125" t="s">
        <v>171</v>
      </c>
      <c r="C63" s="126">
        <v>600.0</v>
      </c>
      <c r="D63" s="126">
        <v>700.0</v>
      </c>
      <c r="E63" s="126">
        <v>100.0</v>
      </c>
      <c r="F63" s="127">
        <v>17.78</v>
      </c>
      <c r="G63" s="127">
        <v>82.22</v>
      </c>
      <c r="H63" s="128">
        <v>4.62</v>
      </c>
      <c r="I63" s="127">
        <v>51.31</v>
      </c>
      <c r="J63" s="128">
        <v>2.89</v>
      </c>
      <c r="K63" s="128">
        <v>0.58</v>
      </c>
      <c r="L63" s="128">
        <v>0.52</v>
      </c>
      <c r="M63" s="126">
        <v>416.0</v>
      </c>
      <c r="N63" s="126">
        <v>617.0</v>
      </c>
      <c r="O63" s="128">
        <v>5.07</v>
      </c>
      <c r="P63" s="128">
        <v>0.33</v>
      </c>
      <c r="Q63" s="128">
        <v>3.39</v>
      </c>
      <c r="R63" s="129" t="str">
        <f t="shared" si="1"/>
        <v>OptionStrat</v>
      </c>
      <c r="S63" s="125" t="s">
        <v>232</v>
      </c>
      <c r="T63" s="125" t="s">
        <v>181</v>
      </c>
      <c r="U63" s="131">
        <v>0.55</v>
      </c>
    </row>
    <row r="64">
      <c r="A64" s="132" t="s">
        <v>28</v>
      </c>
      <c r="B64" s="132" t="s">
        <v>171</v>
      </c>
      <c r="C64" s="133">
        <v>450.0</v>
      </c>
      <c r="D64" s="133">
        <v>600.0</v>
      </c>
      <c r="E64" s="133">
        <v>150.0</v>
      </c>
      <c r="F64" s="134">
        <v>38.25</v>
      </c>
      <c r="G64" s="134">
        <v>111.75</v>
      </c>
      <c r="H64" s="135">
        <v>2.92</v>
      </c>
      <c r="I64" s="134">
        <v>79.64</v>
      </c>
      <c r="J64" s="135">
        <v>2.08</v>
      </c>
      <c r="K64" s="135">
        <v>0.69</v>
      </c>
      <c r="L64" s="135">
        <v>0.58</v>
      </c>
      <c r="M64" s="133">
        <v>759.0</v>
      </c>
      <c r="N64" s="133">
        <v>416.0</v>
      </c>
      <c r="O64" s="135">
        <v>5.62</v>
      </c>
      <c r="P64" s="135">
        <v>0.43</v>
      </c>
      <c r="Q64" s="135">
        <v>3.38</v>
      </c>
      <c r="R64" s="136" t="str">
        <f t="shared" si="1"/>
        <v>OptionStrat</v>
      </c>
      <c r="S64" s="132" t="s">
        <v>233</v>
      </c>
      <c r="T64" s="132" t="s">
        <v>181</v>
      </c>
      <c r="U64" s="138">
        <v>0.55</v>
      </c>
    </row>
    <row r="65">
      <c r="A65" s="125" t="s">
        <v>28</v>
      </c>
      <c r="B65" s="125" t="s">
        <v>169</v>
      </c>
      <c r="C65" s="126">
        <v>500.0</v>
      </c>
      <c r="D65" s="126">
        <v>570.0</v>
      </c>
      <c r="E65" s="126">
        <v>70.0</v>
      </c>
      <c r="F65" s="127">
        <v>17.03</v>
      </c>
      <c r="G65" s="127">
        <v>52.97</v>
      </c>
      <c r="H65" s="128">
        <v>3.11</v>
      </c>
      <c r="I65" s="127">
        <v>36.67</v>
      </c>
      <c r="J65" s="128">
        <v>2.15</v>
      </c>
      <c r="K65" s="128">
        <v>0.62</v>
      </c>
      <c r="L65" s="128">
        <v>0.56</v>
      </c>
      <c r="M65" s="126">
        <v>2065.0</v>
      </c>
      <c r="N65" s="126">
        <v>254.0</v>
      </c>
      <c r="O65" s="128">
        <v>7.24</v>
      </c>
      <c r="P65" s="128">
        <v>0.68</v>
      </c>
      <c r="Q65" s="128">
        <v>3.37</v>
      </c>
      <c r="R65" s="129" t="str">
        <f t="shared" si="1"/>
        <v>OptionStrat</v>
      </c>
      <c r="S65" s="125" t="s">
        <v>234</v>
      </c>
      <c r="T65" s="130"/>
      <c r="U65" s="131">
        <v>0.55</v>
      </c>
    </row>
    <row r="66">
      <c r="A66" s="132" t="s">
        <v>28</v>
      </c>
      <c r="B66" s="132" t="s">
        <v>169</v>
      </c>
      <c r="C66" s="133">
        <v>470.0</v>
      </c>
      <c r="D66" s="133">
        <v>540.0</v>
      </c>
      <c r="E66" s="133">
        <v>70.0</v>
      </c>
      <c r="F66" s="134">
        <v>18.85</v>
      </c>
      <c r="G66" s="134">
        <v>51.15</v>
      </c>
      <c r="H66" s="135">
        <v>2.71</v>
      </c>
      <c r="I66" s="134">
        <v>37.54</v>
      </c>
      <c r="J66" s="135">
        <v>1.99</v>
      </c>
      <c r="K66" s="135">
        <v>0.65</v>
      </c>
      <c r="L66" s="135">
        <v>0.59</v>
      </c>
      <c r="M66" s="133">
        <v>318.0</v>
      </c>
      <c r="N66" s="133">
        <v>116.0</v>
      </c>
      <c r="O66" s="135">
        <v>1.92</v>
      </c>
      <c r="P66" s="135">
        <v>0.77</v>
      </c>
      <c r="Q66" s="135">
        <v>3.36</v>
      </c>
      <c r="R66" s="136" t="str">
        <f t="shared" si="1"/>
        <v>OptionStrat</v>
      </c>
      <c r="S66" s="132" t="s">
        <v>235</v>
      </c>
      <c r="T66" s="137"/>
      <c r="U66" s="138">
        <v>0.55</v>
      </c>
    </row>
    <row r="67">
      <c r="A67" s="125" t="s">
        <v>28</v>
      </c>
      <c r="B67" s="125" t="s">
        <v>171</v>
      </c>
      <c r="C67" s="126">
        <v>490.0</v>
      </c>
      <c r="D67" s="126">
        <v>550.0</v>
      </c>
      <c r="E67" s="126">
        <v>60.0</v>
      </c>
      <c r="F67" s="127">
        <v>15.07</v>
      </c>
      <c r="G67" s="127">
        <v>44.93</v>
      </c>
      <c r="H67" s="128">
        <v>2.98</v>
      </c>
      <c r="I67" s="127">
        <v>33.39</v>
      </c>
      <c r="J67" s="128">
        <v>2.22</v>
      </c>
      <c r="K67" s="128">
        <v>0.66</v>
      </c>
      <c r="L67" s="128">
        <v>0.61</v>
      </c>
      <c r="M67" s="126">
        <v>93.0</v>
      </c>
      <c r="N67" s="126">
        <v>78.0</v>
      </c>
      <c r="O67" s="128">
        <v>0.85</v>
      </c>
      <c r="P67" s="128">
        <v>0.28</v>
      </c>
      <c r="Q67" s="128">
        <v>3.36</v>
      </c>
      <c r="R67" s="129" t="str">
        <f t="shared" si="1"/>
        <v>OptionStrat</v>
      </c>
      <c r="S67" s="125" t="s">
        <v>236</v>
      </c>
      <c r="T67" s="125" t="s">
        <v>181</v>
      </c>
      <c r="U67" s="131">
        <v>0.55</v>
      </c>
    </row>
    <row r="68">
      <c r="A68" s="132" t="s">
        <v>28</v>
      </c>
      <c r="B68" s="132" t="s">
        <v>169</v>
      </c>
      <c r="C68" s="133">
        <v>430.0</v>
      </c>
      <c r="D68" s="133">
        <v>550.0</v>
      </c>
      <c r="E68" s="133">
        <v>120.0</v>
      </c>
      <c r="F68" s="134">
        <v>34.05</v>
      </c>
      <c r="G68" s="134">
        <v>85.95</v>
      </c>
      <c r="H68" s="135">
        <v>2.52</v>
      </c>
      <c r="I68" s="134">
        <v>61.57</v>
      </c>
      <c r="J68" s="135">
        <v>1.81</v>
      </c>
      <c r="K68" s="135">
        <v>0.69</v>
      </c>
      <c r="L68" s="135">
        <v>0.58</v>
      </c>
      <c r="M68" s="133">
        <v>230.0</v>
      </c>
      <c r="N68" s="133">
        <v>474.0</v>
      </c>
      <c r="O68" s="135">
        <v>3.3</v>
      </c>
      <c r="P68" s="135">
        <v>0.63</v>
      </c>
      <c r="Q68" s="135">
        <v>3.35</v>
      </c>
      <c r="R68" s="136" t="str">
        <f t="shared" si="1"/>
        <v>OptionStrat</v>
      </c>
      <c r="S68" s="132" t="s">
        <v>237</v>
      </c>
      <c r="T68" s="137"/>
      <c r="U68" s="138">
        <v>0.55</v>
      </c>
    </row>
    <row r="69">
      <c r="A69" s="125" t="s">
        <v>28</v>
      </c>
      <c r="B69" s="125" t="s">
        <v>169</v>
      </c>
      <c r="C69" s="126">
        <v>440.0</v>
      </c>
      <c r="D69" s="126">
        <v>500.0</v>
      </c>
      <c r="E69" s="126">
        <v>60.0</v>
      </c>
      <c r="F69" s="127">
        <v>18.25</v>
      </c>
      <c r="G69" s="127">
        <v>41.75</v>
      </c>
      <c r="H69" s="128">
        <v>2.29</v>
      </c>
      <c r="I69" s="127">
        <v>30.82</v>
      </c>
      <c r="J69" s="128">
        <v>1.69</v>
      </c>
      <c r="K69" s="128">
        <v>0.68</v>
      </c>
      <c r="L69" s="128">
        <v>0.62</v>
      </c>
      <c r="M69" s="126">
        <v>208.0</v>
      </c>
      <c r="N69" s="126">
        <v>2065.0</v>
      </c>
      <c r="O69" s="128">
        <v>6.55</v>
      </c>
      <c r="P69" s="128">
        <v>0.47</v>
      </c>
      <c r="Q69" s="128">
        <v>3.35</v>
      </c>
      <c r="R69" s="129" t="str">
        <f t="shared" si="1"/>
        <v>OptionStrat</v>
      </c>
      <c r="S69" s="125" t="s">
        <v>238</v>
      </c>
      <c r="T69" s="130"/>
      <c r="U69" s="131">
        <v>0.55</v>
      </c>
    </row>
    <row r="70">
      <c r="A70" s="132" t="s">
        <v>28</v>
      </c>
      <c r="B70" s="132" t="s">
        <v>169</v>
      </c>
      <c r="C70" s="133">
        <v>420.0</v>
      </c>
      <c r="D70" s="133">
        <v>550.0</v>
      </c>
      <c r="E70" s="133">
        <v>130.0</v>
      </c>
      <c r="F70" s="134">
        <v>37.55</v>
      </c>
      <c r="G70" s="134">
        <v>92.45</v>
      </c>
      <c r="H70" s="135">
        <v>2.46</v>
      </c>
      <c r="I70" s="134">
        <v>66.16</v>
      </c>
      <c r="J70" s="135">
        <v>1.76</v>
      </c>
      <c r="K70" s="135">
        <v>0.7</v>
      </c>
      <c r="L70" s="135">
        <v>0.58</v>
      </c>
      <c r="M70" s="133">
        <v>290.0</v>
      </c>
      <c r="N70" s="133">
        <v>474.0</v>
      </c>
      <c r="O70" s="135">
        <v>3.71</v>
      </c>
      <c r="P70" s="135">
        <v>0.63</v>
      </c>
      <c r="Q70" s="135">
        <v>3.34</v>
      </c>
      <c r="R70" s="136" t="str">
        <f t="shared" si="1"/>
        <v>OptionStrat</v>
      </c>
      <c r="S70" s="132" t="s">
        <v>239</v>
      </c>
      <c r="T70" s="137"/>
      <c r="U70" s="138">
        <v>0.55</v>
      </c>
    </row>
    <row r="71">
      <c r="A71" s="125" t="s">
        <v>28</v>
      </c>
      <c r="B71" s="125" t="s">
        <v>171</v>
      </c>
      <c r="C71" s="126">
        <v>650.0</v>
      </c>
      <c r="D71" s="126">
        <v>700.0</v>
      </c>
      <c r="E71" s="126">
        <v>50.0</v>
      </c>
      <c r="F71" s="127">
        <v>8.32</v>
      </c>
      <c r="G71" s="127">
        <v>41.68</v>
      </c>
      <c r="H71" s="128">
        <v>5.01</v>
      </c>
      <c r="I71" s="127">
        <v>26.13</v>
      </c>
      <c r="J71" s="128">
        <v>3.14</v>
      </c>
      <c r="K71" s="128">
        <v>0.54</v>
      </c>
      <c r="L71" s="128">
        <v>0.52</v>
      </c>
      <c r="M71" s="126">
        <v>220.0</v>
      </c>
      <c r="N71" s="126">
        <v>617.0</v>
      </c>
      <c r="O71" s="128">
        <v>3.68</v>
      </c>
      <c r="P71" s="128">
        <v>0.33</v>
      </c>
      <c r="Q71" s="128">
        <v>3.34</v>
      </c>
      <c r="R71" s="129" t="str">
        <f t="shared" si="1"/>
        <v>OptionStrat</v>
      </c>
      <c r="S71" s="125" t="s">
        <v>240</v>
      </c>
      <c r="T71" s="130"/>
      <c r="U71" s="131">
        <v>0.55</v>
      </c>
    </row>
    <row r="72">
      <c r="A72" s="132" t="s">
        <v>28</v>
      </c>
      <c r="B72" s="132" t="s">
        <v>169</v>
      </c>
      <c r="C72" s="133">
        <v>430.0</v>
      </c>
      <c r="D72" s="133">
        <v>500.0</v>
      </c>
      <c r="E72" s="133">
        <v>70.0</v>
      </c>
      <c r="F72" s="134">
        <v>21.58</v>
      </c>
      <c r="G72" s="134">
        <v>48.42</v>
      </c>
      <c r="H72" s="135">
        <v>2.24</v>
      </c>
      <c r="I72" s="134">
        <v>35.72</v>
      </c>
      <c r="J72" s="135">
        <v>1.66</v>
      </c>
      <c r="K72" s="135">
        <v>0.69</v>
      </c>
      <c r="L72" s="135">
        <v>0.62</v>
      </c>
      <c r="M72" s="133">
        <v>230.0</v>
      </c>
      <c r="N72" s="133">
        <v>2065.0</v>
      </c>
      <c r="O72" s="135">
        <v>6.89</v>
      </c>
      <c r="P72" s="135">
        <v>0.47</v>
      </c>
      <c r="Q72" s="135">
        <v>3.32</v>
      </c>
      <c r="R72" s="136" t="str">
        <f t="shared" si="1"/>
        <v>OptionStrat</v>
      </c>
      <c r="S72" s="132" t="s">
        <v>241</v>
      </c>
      <c r="T72" s="137"/>
      <c r="U72" s="138">
        <v>0.55</v>
      </c>
    </row>
    <row r="73">
      <c r="A73" s="125" t="s">
        <v>28</v>
      </c>
      <c r="B73" s="125" t="s">
        <v>169</v>
      </c>
      <c r="C73" s="126">
        <v>460.0</v>
      </c>
      <c r="D73" s="126">
        <v>540.0</v>
      </c>
      <c r="E73" s="126">
        <v>80.0</v>
      </c>
      <c r="F73" s="127">
        <v>21.83</v>
      </c>
      <c r="G73" s="127">
        <v>58.17</v>
      </c>
      <c r="H73" s="128">
        <v>2.66</v>
      </c>
      <c r="I73" s="127">
        <v>42.68</v>
      </c>
      <c r="J73" s="128">
        <v>1.96</v>
      </c>
      <c r="K73" s="128">
        <v>0.66</v>
      </c>
      <c r="L73" s="128">
        <v>0.59</v>
      </c>
      <c r="M73" s="126">
        <v>419.0</v>
      </c>
      <c r="N73" s="126">
        <v>116.0</v>
      </c>
      <c r="O73" s="128">
        <v>2.2</v>
      </c>
      <c r="P73" s="128">
        <v>0.63</v>
      </c>
      <c r="Q73" s="128">
        <v>3.32</v>
      </c>
      <c r="R73" s="129" t="str">
        <f t="shared" si="1"/>
        <v>OptionStrat</v>
      </c>
      <c r="S73" s="125" t="s">
        <v>242</v>
      </c>
      <c r="T73" s="130"/>
      <c r="U73" s="131">
        <v>0.55</v>
      </c>
    </row>
    <row r="74">
      <c r="A74" s="132" t="s">
        <v>28</v>
      </c>
      <c r="B74" s="132" t="s">
        <v>171</v>
      </c>
      <c r="C74" s="133">
        <v>520.0</v>
      </c>
      <c r="D74" s="133">
        <v>540.0</v>
      </c>
      <c r="E74" s="133">
        <v>20.0</v>
      </c>
      <c r="F74" s="134">
        <v>4.87</v>
      </c>
      <c r="G74" s="134">
        <v>15.13</v>
      </c>
      <c r="H74" s="135">
        <v>3.11</v>
      </c>
      <c r="I74" s="134">
        <v>11.25</v>
      </c>
      <c r="J74" s="135">
        <v>2.31</v>
      </c>
      <c r="K74" s="135">
        <v>0.64</v>
      </c>
      <c r="L74" s="135">
        <v>0.62</v>
      </c>
      <c r="M74" s="133">
        <v>82.0</v>
      </c>
      <c r="N74" s="133">
        <v>58.0</v>
      </c>
      <c r="O74" s="135">
        <v>0.69</v>
      </c>
      <c r="P74" s="135">
        <v>0.27</v>
      </c>
      <c r="Q74" s="135">
        <v>3.32</v>
      </c>
      <c r="R74" s="136" t="str">
        <f t="shared" si="1"/>
        <v>OptionStrat</v>
      </c>
      <c r="S74" s="132" t="s">
        <v>243</v>
      </c>
      <c r="T74" s="137"/>
      <c r="U74" s="138">
        <v>0.55</v>
      </c>
    </row>
    <row r="75">
      <c r="A75" s="125" t="s">
        <v>28</v>
      </c>
      <c r="B75" s="125" t="s">
        <v>169</v>
      </c>
      <c r="C75" s="126">
        <v>420.0</v>
      </c>
      <c r="D75" s="126">
        <v>500.0</v>
      </c>
      <c r="E75" s="126">
        <v>80.0</v>
      </c>
      <c r="F75" s="127">
        <v>25.08</v>
      </c>
      <c r="G75" s="127">
        <v>54.92</v>
      </c>
      <c r="H75" s="128">
        <v>2.19</v>
      </c>
      <c r="I75" s="127">
        <v>40.49</v>
      </c>
      <c r="J75" s="128">
        <v>1.61</v>
      </c>
      <c r="K75" s="128">
        <v>0.7</v>
      </c>
      <c r="L75" s="128">
        <v>0.62</v>
      </c>
      <c r="M75" s="126">
        <v>290.0</v>
      </c>
      <c r="N75" s="126">
        <v>2065.0</v>
      </c>
      <c r="O75" s="128">
        <v>7.74</v>
      </c>
      <c r="P75" s="128">
        <v>0.47</v>
      </c>
      <c r="Q75" s="128">
        <v>3.31</v>
      </c>
      <c r="R75" s="129" t="str">
        <f t="shared" si="1"/>
        <v>OptionStrat</v>
      </c>
      <c r="S75" s="125" t="s">
        <v>244</v>
      </c>
      <c r="T75" s="130"/>
      <c r="U75" s="131">
        <v>0.55</v>
      </c>
    </row>
    <row r="76">
      <c r="A76" s="132" t="s">
        <v>28</v>
      </c>
      <c r="B76" s="132" t="s">
        <v>169</v>
      </c>
      <c r="C76" s="133">
        <v>460.0</v>
      </c>
      <c r="D76" s="133">
        <v>520.0</v>
      </c>
      <c r="E76" s="133">
        <v>60.0</v>
      </c>
      <c r="F76" s="134">
        <v>17.05</v>
      </c>
      <c r="G76" s="134">
        <v>42.95</v>
      </c>
      <c r="H76" s="135">
        <v>2.52</v>
      </c>
      <c r="I76" s="134">
        <v>31.79</v>
      </c>
      <c r="J76" s="135">
        <v>1.86</v>
      </c>
      <c r="K76" s="135">
        <v>0.66</v>
      </c>
      <c r="L76" s="135">
        <v>0.61</v>
      </c>
      <c r="M76" s="133">
        <v>419.0</v>
      </c>
      <c r="N76" s="133">
        <v>281.0</v>
      </c>
      <c r="O76" s="135">
        <v>3.43</v>
      </c>
      <c r="P76" s="135">
        <v>0.47</v>
      </c>
      <c r="Q76" s="135">
        <v>3.3</v>
      </c>
      <c r="R76" s="136" t="str">
        <f t="shared" si="1"/>
        <v>OptionStrat</v>
      </c>
      <c r="S76" s="132" t="s">
        <v>245</v>
      </c>
      <c r="T76" s="137"/>
      <c r="U76" s="138">
        <v>0.55</v>
      </c>
    </row>
    <row r="77">
      <c r="A77" s="125" t="s">
        <v>28</v>
      </c>
      <c r="B77" s="125" t="s">
        <v>169</v>
      </c>
      <c r="C77" s="126">
        <v>470.0</v>
      </c>
      <c r="D77" s="126">
        <v>520.0</v>
      </c>
      <c r="E77" s="126">
        <v>50.0</v>
      </c>
      <c r="F77" s="127">
        <v>14.07</v>
      </c>
      <c r="G77" s="127">
        <v>35.93</v>
      </c>
      <c r="H77" s="128">
        <v>2.55</v>
      </c>
      <c r="I77" s="127">
        <v>26.6</v>
      </c>
      <c r="J77" s="128">
        <v>1.89</v>
      </c>
      <c r="K77" s="128">
        <v>0.65</v>
      </c>
      <c r="L77" s="128">
        <v>0.61</v>
      </c>
      <c r="M77" s="126">
        <v>318.0</v>
      </c>
      <c r="N77" s="126">
        <v>281.0</v>
      </c>
      <c r="O77" s="128">
        <v>2.99</v>
      </c>
      <c r="P77" s="128">
        <v>0.53</v>
      </c>
      <c r="Q77" s="128">
        <v>3.3</v>
      </c>
      <c r="R77" s="129" t="str">
        <f t="shared" si="1"/>
        <v>OptionStrat</v>
      </c>
      <c r="S77" s="125" t="s">
        <v>246</v>
      </c>
      <c r="T77" s="130"/>
      <c r="U77" s="131">
        <v>0.55</v>
      </c>
    </row>
    <row r="78">
      <c r="A78" s="132" t="s">
        <v>28</v>
      </c>
      <c r="B78" s="132" t="s">
        <v>169</v>
      </c>
      <c r="C78" s="133">
        <v>500.0</v>
      </c>
      <c r="D78" s="133">
        <v>580.0</v>
      </c>
      <c r="E78" s="133">
        <v>80.0</v>
      </c>
      <c r="F78" s="134">
        <v>19.17</v>
      </c>
      <c r="G78" s="134">
        <v>60.83</v>
      </c>
      <c r="H78" s="135">
        <v>3.17</v>
      </c>
      <c r="I78" s="134">
        <v>41.28</v>
      </c>
      <c r="J78" s="135">
        <v>2.15</v>
      </c>
      <c r="K78" s="135">
        <v>0.62</v>
      </c>
      <c r="L78" s="135">
        <v>0.56</v>
      </c>
      <c r="M78" s="133">
        <v>2065.0</v>
      </c>
      <c r="N78" s="133">
        <v>263.0</v>
      </c>
      <c r="O78" s="135">
        <v>7.37</v>
      </c>
      <c r="P78" s="135">
        <v>0.7</v>
      </c>
      <c r="Q78" s="135">
        <v>3.29</v>
      </c>
      <c r="R78" s="136" t="str">
        <f t="shared" si="1"/>
        <v>OptionStrat</v>
      </c>
      <c r="S78" s="132" t="s">
        <v>247</v>
      </c>
      <c r="T78" s="137"/>
      <c r="U78" s="138">
        <v>0.55</v>
      </c>
    </row>
    <row r="79">
      <c r="A79" s="125" t="s">
        <v>28</v>
      </c>
      <c r="B79" s="125" t="s">
        <v>169</v>
      </c>
      <c r="C79" s="126">
        <v>460.0</v>
      </c>
      <c r="D79" s="126">
        <v>510.0</v>
      </c>
      <c r="E79" s="126">
        <v>50.0</v>
      </c>
      <c r="F79" s="127">
        <v>14.43</v>
      </c>
      <c r="G79" s="127">
        <v>35.57</v>
      </c>
      <c r="H79" s="128">
        <v>2.47</v>
      </c>
      <c r="I79" s="127">
        <v>26.32</v>
      </c>
      <c r="J79" s="128">
        <v>1.82</v>
      </c>
      <c r="K79" s="128">
        <v>0.66</v>
      </c>
      <c r="L79" s="128">
        <v>0.62</v>
      </c>
      <c r="M79" s="126">
        <v>419.0</v>
      </c>
      <c r="N79" s="126">
        <v>359.0</v>
      </c>
      <c r="O79" s="128">
        <v>3.88</v>
      </c>
      <c r="P79" s="128">
        <v>0.46</v>
      </c>
      <c r="Q79" s="128">
        <v>3.28</v>
      </c>
      <c r="R79" s="129" t="str">
        <f t="shared" si="1"/>
        <v>OptionStrat</v>
      </c>
      <c r="S79" s="125" t="s">
        <v>248</v>
      </c>
      <c r="T79" s="130"/>
      <c r="U79" s="131">
        <v>0.55</v>
      </c>
    </row>
    <row r="80">
      <c r="A80" s="132" t="s">
        <v>28</v>
      </c>
      <c r="B80" s="132" t="s">
        <v>171</v>
      </c>
      <c r="C80" s="133">
        <v>420.0</v>
      </c>
      <c r="D80" s="133">
        <v>450.0</v>
      </c>
      <c r="E80" s="133">
        <v>30.0</v>
      </c>
      <c r="F80" s="134">
        <v>8.9</v>
      </c>
      <c r="G80" s="134">
        <v>21.1</v>
      </c>
      <c r="H80" s="135">
        <v>2.37</v>
      </c>
      <c r="I80" s="134">
        <v>15.59</v>
      </c>
      <c r="J80" s="135">
        <v>1.75</v>
      </c>
      <c r="K80" s="135">
        <v>0.72</v>
      </c>
      <c r="L80" s="135">
        <v>0.69</v>
      </c>
      <c r="M80" s="133">
        <v>131.0</v>
      </c>
      <c r="N80" s="133">
        <v>759.0</v>
      </c>
      <c r="O80" s="135">
        <v>3.15</v>
      </c>
      <c r="P80" s="135">
        <v>0.39</v>
      </c>
      <c r="Q80" s="135">
        <v>3.28</v>
      </c>
      <c r="R80" s="136" t="str">
        <f t="shared" si="1"/>
        <v>OptionStrat</v>
      </c>
      <c r="S80" s="132" t="s">
        <v>249</v>
      </c>
      <c r="T80" s="137"/>
      <c r="U80" s="138">
        <v>0.55</v>
      </c>
    </row>
    <row r="81">
      <c r="A81" s="125" t="s">
        <v>28</v>
      </c>
      <c r="B81" s="125" t="s">
        <v>171</v>
      </c>
      <c r="C81" s="126">
        <v>500.0</v>
      </c>
      <c r="D81" s="126">
        <v>650.0</v>
      </c>
      <c r="E81" s="126">
        <v>150.0</v>
      </c>
      <c r="F81" s="127">
        <v>32.67</v>
      </c>
      <c r="G81" s="127">
        <v>117.33</v>
      </c>
      <c r="H81" s="128">
        <v>3.59</v>
      </c>
      <c r="I81" s="127">
        <v>77.48</v>
      </c>
      <c r="J81" s="128">
        <v>2.37</v>
      </c>
      <c r="K81" s="128">
        <v>0.65</v>
      </c>
      <c r="L81" s="128">
        <v>0.54</v>
      </c>
      <c r="M81" s="126">
        <v>1214.0</v>
      </c>
      <c r="N81" s="126">
        <v>220.0</v>
      </c>
      <c r="O81" s="128">
        <v>5.17</v>
      </c>
      <c r="P81" s="128">
        <v>0.31</v>
      </c>
      <c r="Q81" s="128">
        <v>3.28</v>
      </c>
      <c r="R81" s="129" t="str">
        <f t="shared" si="1"/>
        <v>OptionStrat</v>
      </c>
      <c r="S81" s="125" t="s">
        <v>250</v>
      </c>
      <c r="T81" s="130"/>
      <c r="U81" s="131">
        <v>0.55</v>
      </c>
    </row>
    <row r="82">
      <c r="A82" s="132" t="s">
        <v>28</v>
      </c>
      <c r="B82" s="132" t="s">
        <v>169</v>
      </c>
      <c r="C82" s="133">
        <v>470.0</v>
      </c>
      <c r="D82" s="133">
        <v>510.0</v>
      </c>
      <c r="E82" s="133">
        <v>40.0</v>
      </c>
      <c r="F82" s="134">
        <v>11.45</v>
      </c>
      <c r="G82" s="134">
        <v>28.55</v>
      </c>
      <c r="H82" s="135">
        <v>2.49</v>
      </c>
      <c r="I82" s="134">
        <v>21.13</v>
      </c>
      <c r="J82" s="135">
        <v>1.85</v>
      </c>
      <c r="K82" s="135">
        <v>0.65</v>
      </c>
      <c r="L82" s="135">
        <v>0.62</v>
      </c>
      <c r="M82" s="133">
        <v>318.0</v>
      </c>
      <c r="N82" s="133">
        <v>359.0</v>
      </c>
      <c r="O82" s="135">
        <v>3.38</v>
      </c>
      <c r="P82" s="135">
        <v>0.53</v>
      </c>
      <c r="Q82" s="135">
        <v>3.27</v>
      </c>
      <c r="R82" s="136" t="str">
        <f t="shared" si="1"/>
        <v>OptionStrat</v>
      </c>
      <c r="S82" s="132" t="s">
        <v>251</v>
      </c>
      <c r="T82" s="137"/>
      <c r="U82" s="138">
        <v>0.55</v>
      </c>
    </row>
    <row r="83">
      <c r="A83" s="125" t="s">
        <v>28</v>
      </c>
      <c r="B83" s="125" t="s">
        <v>169</v>
      </c>
      <c r="C83" s="126">
        <v>680.0</v>
      </c>
      <c r="D83" s="126">
        <v>700.0</v>
      </c>
      <c r="E83" s="126">
        <v>20.0</v>
      </c>
      <c r="F83" s="127">
        <v>3.13</v>
      </c>
      <c r="G83" s="127">
        <v>16.87</v>
      </c>
      <c r="H83" s="128">
        <v>5.39</v>
      </c>
      <c r="I83" s="127">
        <v>9.4</v>
      </c>
      <c r="J83" s="128">
        <v>3.0</v>
      </c>
      <c r="K83" s="128">
        <v>0.48</v>
      </c>
      <c r="L83" s="128">
        <v>0.47</v>
      </c>
      <c r="M83" s="126">
        <v>245.0</v>
      </c>
      <c r="N83" s="126">
        <v>1080.0</v>
      </c>
      <c r="O83" s="128">
        <v>5.14</v>
      </c>
      <c r="P83" s="128">
        <v>1.21</v>
      </c>
      <c r="Q83" s="128">
        <v>3.27</v>
      </c>
      <c r="R83" s="129" t="str">
        <f t="shared" si="1"/>
        <v>OptionStrat</v>
      </c>
      <c r="S83" s="125" t="s">
        <v>252</v>
      </c>
      <c r="T83" s="130"/>
      <c r="U83" s="131">
        <v>0.55</v>
      </c>
    </row>
    <row r="84">
      <c r="A84" s="132" t="s">
        <v>28</v>
      </c>
      <c r="B84" s="132" t="s">
        <v>169</v>
      </c>
      <c r="C84" s="133">
        <v>470.0</v>
      </c>
      <c r="D84" s="133">
        <v>530.0</v>
      </c>
      <c r="E84" s="133">
        <v>60.0</v>
      </c>
      <c r="F84" s="134">
        <v>16.6</v>
      </c>
      <c r="G84" s="134">
        <v>43.4</v>
      </c>
      <c r="H84" s="135">
        <v>2.61</v>
      </c>
      <c r="I84" s="134">
        <v>32.15</v>
      </c>
      <c r="J84" s="135">
        <v>1.94</v>
      </c>
      <c r="K84" s="135">
        <v>0.65</v>
      </c>
      <c r="L84" s="135">
        <v>0.6</v>
      </c>
      <c r="M84" s="133">
        <v>318.0</v>
      </c>
      <c r="N84" s="133">
        <v>171.0</v>
      </c>
      <c r="O84" s="135">
        <v>2.33</v>
      </c>
      <c r="P84" s="135">
        <v>0.56</v>
      </c>
      <c r="Q84" s="135">
        <v>3.26</v>
      </c>
      <c r="R84" s="136" t="str">
        <f t="shared" si="1"/>
        <v>OptionStrat</v>
      </c>
      <c r="S84" s="132" t="s">
        <v>253</v>
      </c>
      <c r="T84" s="137"/>
      <c r="U84" s="138">
        <v>0.55</v>
      </c>
    </row>
    <row r="85">
      <c r="A85" s="125" t="s">
        <v>28</v>
      </c>
      <c r="B85" s="125" t="s">
        <v>171</v>
      </c>
      <c r="C85" s="126">
        <v>510.0</v>
      </c>
      <c r="D85" s="126">
        <v>550.0</v>
      </c>
      <c r="E85" s="126">
        <v>40.0</v>
      </c>
      <c r="F85" s="127">
        <v>9.72</v>
      </c>
      <c r="G85" s="127">
        <v>30.28</v>
      </c>
      <c r="H85" s="128">
        <v>3.12</v>
      </c>
      <c r="I85" s="127">
        <v>22.52</v>
      </c>
      <c r="J85" s="128">
        <v>2.32</v>
      </c>
      <c r="K85" s="128">
        <v>0.64</v>
      </c>
      <c r="L85" s="128">
        <v>0.61</v>
      </c>
      <c r="M85" s="126">
        <v>45.0</v>
      </c>
      <c r="N85" s="126">
        <v>78.0</v>
      </c>
      <c r="O85" s="128">
        <v>0.59</v>
      </c>
      <c r="P85" s="128">
        <v>0.28</v>
      </c>
      <c r="Q85" s="128">
        <v>3.26</v>
      </c>
      <c r="R85" s="129" t="str">
        <f t="shared" si="1"/>
        <v>OptionStrat</v>
      </c>
      <c r="S85" s="125" t="s">
        <v>254</v>
      </c>
      <c r="T85" s="130"/>
      <c r="U85" s="131">
        <v>0.55</v>
      </c>
    </row>
    <row r="86">
      <c r="A86" s="132" t="s">
        <v>28</v>
      </c>
      <c r="B86" s="132" t="s">
        <v>169</v>
      </c>
      <c r="C86" s="133">
        <v>460.0</v>
      </c>
      <c r="D86" s="133">
        <v>530.0</v>
      </c>
      <c r="E86" s="133">
        <v>70.0</v>
      </c>
      <c r="F86" s="134">
        <v>19.58</v>
      </c>
      <c r="G86" s="134">
        <v>50.42</v>
      </c>
      <c r="H86" s="135">
        <v>2.58</v>
      </c>
      <c r="I86" s="134">
        <v>37.34</v>
      </c>
      <c r="J86" s="135">
        <v>1.91</v>
      </c>
      <c r="K86" s="135">
        <v>0.66</v>
      </c>
      <c r="L86" s="135">
        <v>0.6</v>
      </c>
      <c r="M86" s="133">
        <v>419.0</v>
      </c>
      <c r="N86" s="133">
        <v>171.0</v>
      </c>
      <c r="O86" s="135">
        <v>2.68</v>
      </c>
      <c r="P86" s="135">
        <v>0.48</v>
      </c>
      <c r="Q86" s="135">
        <v>3.25</v>
      </c>
      <c r="R86" s="136" t="str">
        <f t="shared" si="1"/>
        <v>OptionStrat</v>
      </c>
      <c r="S86" s="132" t="s">
        <v>255</v>
      </c>
      <c r="T86" s="137"/>
      <c r="U86" s="138">
        <v>0.55</v>
      </c>
    </row>
    <row r="87">
      <c r="A87" s="125" t="s">
        <v>28</v>
      </c>
      <c r="B87" s="125" t="s">
        <v>171</v>
      </c>
      <c r="C87" s="126">
        <v>430.0</v>
      </c>
      <c r="D87" s="126">
        <v>550.0</v>
      </c>
      <c r="E87" s="126">
        <v>120.0</v>
      </c>
      <c r="F87" s="127">
        <v>33.02</v>
      </c>
      <c r="G87" s="127">
        <v>86.98</v>
      </c>
      <c r="H87" s="128">
        <v>2.63</v>
      </c>
      <c r="I87" s="127">
        <v>64.45</v>
      </c>
      <c r="J87" s="128">
        <v>1.95</v>
      </c>
      <c r="K87" s="128">
        <v>0.71</v>
      </c>
      <c r="L87" s="128">
        <v>0.61</v>
      </c>
      <c r="M87" s="126">
        <v>213.0</v>
      </c>
      <c r="N87" s="126">
        <v>78.0</v>
      </c>
      <c r="O87" s="128">
        <v>1.29</v>
      </c>
      <c r="P87" s="128">
        <v>0.29</v>
      </c>
      <c r="Q87" s="128">
        <v>3.23</v>
      </c>
      <c r="R87" s="129" t="str">
        <f t="shared" si="1"/>
        <v>OptionStrat</v>
      </c>
      <c r="S87" s="125" t="s">
        <v>256</v>
      </c>
      <c r="T87" s="130"/>
      <c r="U87" s="131">
        <v>0.55</v>
      </c>
    </row>
    <row r="88">
      <c r="A88" s="132" t="s">
        <v>28</v>
      </c>
      <c r="B88" s="132" t="s">
        <v>171</v>
      </c>
      <c r="C88" s="133">
        <v>440.0</v>
      </c>
      <c r="D88" s="133">
        <v>550.0</v>
      </c>
      <c r="E88" s="133">
        <v>110.0</v>
      </c>
      <c r="F88" s="134">
        <v>29.57</v>
      </c>
      <c r="G88" s="134">
        <v>80.43</v>
      </c>
      <c r="H88" s="135">
        <v>2.72</v>
      </c>
      <c r="I88" s="134">
        <v>59.64</v>
      </c>
      <c r="J88" s="135">
        <v>2.02</v>
      </c>
      <c r="K88" s="135">
        <v>0.7</v>
      </c>
      <c r="L88" s="135">
        <v>0.61</v>
      </c>
      <c r="M88" s="133">
        <v>144.0</v>
      </c>
      <c r="N88" s="133">
        <v>78.0</v>
      </c>
      <c r="O88" s="135">
        <v>1.06</v>
      </c>
      <c r="P88" s="135">
        <v>0.31</v>
      </c>
      <c r="Q88" s="135">
        <v>3.23</v>
      </c>
      <c r="R88" s="136" t="str">
        <f t="shared" si="1"/>
        <v>OptionStrat</v>
      </c>
      <c r="S88" s="132" t="s">
        <v>257</v>
      </c>
      <c r="T88" s="132" t="s">
        <v>181</v>
      </c>
      <c r="U88" s="138">
        <v>0.55</v>
      </c>
    </row>
    <row r="89">
      <c r="A89" s="125" t="s">
        <v>28</v>
      </c>
      <c r="B89" s="125" t="s">
        <v>171</v>
      </c>
      <c r="C89" s="126">
        <v>480.0</v>
      </c>
      <c r="D89" s="126">
        <v>540.0</v>
      </c>
      <c r="E89" s="126">
        <v>60.0</v>
      </c>
      <c r="F89" s="127">
        <v>15.52</v>
      </c>
      <c r="G89" s="127">
        <v>44.48</v>
      </c>
      <c r="H89" s="128">
        <v>2.87</v>
      </c>
      <c r="I89" s="127">
        <v>33.02</v>
      </c>
      <c r="J89" s="128">
        <v>2.13</v>
      </c>
      <c r="K89" s="128">
        <v>0.67</v>
      </c>
      <c r="L89" s="128">
        <v>0.62</v>
      </c>
      <c r="M89" s="126">
        <v>139.0</v>
      </c>
      <c r="N89" s="126">
        <v>58.0</v>
      </c>
      <c r="O89" s="128">
        <v>0.9</v>
      </c>
      <c r="P89" s="128">
        <v>0.27</v>
      </c>
      <c r="Q89" s="128">
        <v>3.22</v>
      </c>
      <c r="R89" s="129" t="str">
        <f t="shared" si="1"/>
        <v>OptionStrat</v>
      </c>
      <c r="S89" s="125" t="s">
        <v>258</v>
      </c>
      <c r="T89" s="130"/>
      <c r="U89" s="131">
        <v>0.55</v>
      </c>
    </row>
    <row r="90">
      <c r="A90" s="132" t="s">
        <v>28</v>
      </c>
      <c r="B90" s="132" t="s">
        <v>169</v>
      </c>
      <c r="C90" s="133">
        <v>620.0</v>
      </c>
      <c r="D90" s="133">
        <v>700.0</v>
      </c>
      <c r="E90" s="133">
        <v>80.0</v>
      </c>
      <c r="F90" s="134">
        <v>13.7</v>
      </c>
      <c r="G90" s="134">
        <v>66.3</v>
      </c>
      <c r="H90" s="135">
        <v>4.84</v>
      </c>
      <c r="I90" s="134">
        <v>36.58</v>
      </c>
      <c r="J90" s="135">
        <v>2.67</v>
      </c>
      <c r="K90" s="135">
        <v>0.53</v>
      </c>
      <c r="L90" s="135">
        <v>0.47</v>
      </c>
      <c r="M90" s="133">
        <v>426.0</v>
      </c>
      <c r="N90" s="133">
        <v>1080.0</v>
      </c>
      <c r="O90" s="135">
        <v>6.78</v>
      </c>
      <c r="P90" s="135">
        <v>1.18</v>
      </c>
      <c r="Q90" s="135">
        <v>3.21</v>
      </c>
      <c r="R90" s="136" t="str">
        <f t="shared" si="1"/>
        <v>OptionStrat</v>
      </c>
      <c r="S90" s="132" t="s">
        <v>259</v>
      </c>
      <c r="T90" s="137"/>
      <c r="U90" s="138">
        <v>0.55</v>
      </c>
    </row>
    <row r="91">
      <c r="A91" s="125" t="s">
        <v>28</v>
      </c>
      <c r="B91" s="125" t="s">
        <v>171</v>
      </c>
      <c r="C91" s="126">
        <v>400.0</v>
      </c>
      <c r="D91" s="126">
        <v>450.0</v>
      </c>
      <c r="E91" s="126">
        <v>50.0</v>
      </c>
      <c r="F91" s="127">
        <v>16.35</v>
      </c>
      <c r="G91" s="127">
        <v>33.65</v>
      </c>
      <c r="H91" s="128">
        <v>2.06</v>
      </c>
      <c r="I91" s="127">
        <v>24.76</v>
      </c>
      <c r="J91" s="128">
        <v>1.51</v>
      </c>
      <c r="K91" s="128">
        <v>0.74</v>
      </c>
      <c r="L91" s="128">
        <v>0.69</v>
      </c>
      <c r="M91" s="126">
        <v>369.0</v>
      </c>
      <c r="N91" s="126">
        <v>759.0</v>
      </c>
      <c r="O91" s="128">
        <v>5.29</v>
      </c>
      <c r="P91" s="128">
        <v>0.49</v>
      </c>
      <c r="Q91" s="128">
        <v>3.21</v>
      </c>
      <c r="R91" s="129" t="str">
        <f t="shared" si="1"/>
        <v>OptionStrat</v>
      </c>
      <c r="S91" s="125" t="s">
        <v>260</v>
      </c>
      <c r="T91" s="130"/>
      <c r="U91" s="131">
        <v>0.55</v>
      </c>
    </row>
    <row r="92">
      <c r="A92" s="132" t="s">
        <v>28</v>
      </c>
      <c r="B92" s="132" t="s">
        <v>169</v>
      </c>
      <c r="C92" s="133">
        <v>400.0</v>
      </c>
      <c r="D92" s="133">
        <v>520.0</v>
      </c>
      <c r="E92" s="133">
        <v>120.0</v>
      </c>
      <c r="F92" s="134">
        <v>37.65</v>
      </c>
      <c r="G92" s="134">
        <v>82.35</v>
      </c>
      <c r="H92" s="135">
        <v>2.19</v>
      </c>
      <c r="I92" s="134">
        <v>60.7</v>
      </c>
      <c r="J92" s="135">
        <v>1.61</v>
      </c>
      <c r="K92" s="135">
        <v>0.72</v>
      </c>
      <c r="L92" s="135">
        <v>0.61</v>
      </c>
      <c r="M92" s="133">
        <v>1326.0</v>
      </c>
      <c r="N92" s="133">
        <v>281.0</v>
      </c>
      <c r="O92" s="135">
        <v>6.1</v>
      </c>
      <c r="P92" s="135">
        <v>0.45</v>
      </c>
      <c r="Q92" s="135">
        <v>3.2</v>
      </c>
      <c r="R92" s="136" t="str">
        <f t="shared" si="1"/>
        <v>OptionStrat</v>
      </c>
      <c r="S92" s="132" t="s">
        <v>261</v>
      </c>
      <c r="T92" s="137"/>
      <c r="U92" s="138">
        <v>0.55</v>
      </c>
    </row>
    <row r="93">
      <c r="A93" s="125" t="s">
        <v>28</v>
      </c>
      <c r="B93" s="125" t="s">
        <v>169</v>
      </c>
      <c r="C93" s="126">
        <v>450.0</v>
      </c>
      <c r="D93" s="126">
        <v>480.0</v>
      </c>
      <c r="E93" s="126">
        <v>30.0</v>
      </c>
      <c r="F93" s="127">
        <v>9.22</v>
      </c>
      <c r="G93" s="127">
        <v>20.78</v>
      </c>
      <c r="H93" s="128">
        <v>2.25</v>
      </c>
      <c r="I93" s="127">
        <v>15.33</v>
      </c>
      <c r="J93" s="128">
        <v>1.66</v>
      </c>
      <c r="K93" s="128">
        <v>0.67</v>
      </c>
      <c r="L93" s="128">
        <v>0.64</v>
      </c>
      <c r="M93" s="126">
        <v>943.0</v>
      </c>
      <c r="N93" s="126">
        <v>403.0</v>
      </c>
      <c r="O93" s="128">
        <v>6.16</v>
      </c>
      <c r="P93" s="128">
        <v>0.47</v>
      </c>
      <c r="Q93" s="128">
        <v>3.2</v>
      </c>
      <c r="R93" s="129" t="str">
        <f t="shared" si="1"/>
        <v>OptionStrat</v>
      </c>
      <c r="S93" s="125" t="s">
        <v>262</v>
      </c>
      <c r="T93" s="125" t="s">
        <v>181</v>
      </c>
      <c r="U93" s="131">
        <v>0.55</v>
      </c>
    </row>
    <row r="94">
      <c r="A94" s="132" t="s">
        <v>28</v>
      </c>
      <c r="B94" s="132" t="s">
        <v>169</v>
      </c>
      <c r="C94" s="133">
        <v>460.0</v>
      </c>
      <c r="D94" s="133">
        <v>490.0</v>
      </c>
      <c r="E94" s="133">
        <v>30.0</v>
      </c>
      <c r="F94" s="134">
        <v>8.93</v>
      </c>
      <c r="G94" s="134">
        <v>21.07</v>
      </c>
      <c r="H94" s="135">
        <v>2.36</v>
      </c>
      <c r="I94" s="134">
        <v>15.57</v>
      </c>
      <c r="J94" s="135">
        <v>1.74</v>
      </c>
      <c r="K94" s="135">
        <v>0.66</v>
      </c>
      <c r="L94" s="135">
        <v>0.63</v>
      </c>
      <c r="M94" s="133">
        <v>419.0</v>
      </c>
      <c r="N94" s="133">
        <v>494.0</v>
      </c>
      <c r="O94" s="135">
        <v>4.55</v>
      </c>
      <c r="P94" s="135">
        <v>0.48</v>
      </c>
      <c r="Q94" s="135">
        <v>3.2</v>
      </c>
      <c r="R94" s="136" t="str">
        <f t="shared" si="1"/>
        <v>OptionStrat</v>
      </c>
      <c r="S94" s="132" t="s">
        <v>263</v>
      </c>
      <c r="T94" s="137"/>
      <c r="U94" s="138">
        <v>0.55</v>
      </c>
    </row>
    <row r="95">
      <c r="A95" s="125" t="s">
        <v>28</v>
      </c>
      <c r="B95" s="125" t="s">
        <v>169</v>
      </c>
      <c r="C95" s="126">
        <v>400.0</v>
      </c>
      <c r="D95" s="126">
        <v>540.0</v>
      </c>
      <c r="E95" s="126">
        <v>140.0</v>
      </c>
      <c r="F95" s="127">
        <v>42.43</v>
      </c>
      <c r="G95" s="127">
        <v>97.57</v>
      </c>
      <c r="H95" s="128">
        <v>2.3</v>
      </c>
      <c r="I95" s="127">
        <v>71.26</v>
      </c>
      <c r="J95" s="128">
        <v>1.68</v>
      </c>
      <c r="K95" s="128">
        <v>0.72</v>
      </c>
      <c r="L95" s="128">
        <v>0.59</v>
      </c>
      <c r="M95" s="126">
        <v>1326.0</v>
      </c>
      <c r="N95" s="126">
        <v>116.0</v>
      </c>
      <c r="O95" s="128">
        <v>3.92</v>
      </c>
      <c r="P95" s="128">
        <v>0.62</v>
      </c>
      <c r="Q95" s="128">
        <v>3.19</v>
      </c>
      <c r="R95" s="129" t="str">
        <f t="shared" si="1"/>
        <v>OptionStrat</v>
      </c>
      <c r="S95" s="125" t="s">
        <v>264</v>
      </c>
      <c r="T95" s="130"/>
      <c r="U95" s="131">
        <v>0.55</v>
      </c>
    </row>
    <row r="96">
      <c r="A96" s="132" t="s">
        <v>28</v>
      </c>
      <c r="B96" s="132" t="s">
        <v>169</v>
      </c>
      <c r="C96" s="133">
        <v>650.0</v>
      </c>
      <c r="D96" s="133">
        <v>700.0</v>
      </c>
      <c r="E96" s="133">
        <v>50.0</v>
      </c>
      <c r="F96" s="134">
        <v>8.22</v>
      </c>
      <c r="G96" s="134">
        <v>41.78</v>
      </c>
      <c r="H96" s="135">
        <v>5.08</v>
      </c>
      <c r="I96" s="134">
        <v>23.15</v>
      </c>
      <c r="J96" s="135">
        <v>2.82</v>
      </c>
      <c r="K96" s="135">
        <v>0.5</v>
      </c>
      <c r="L96" s="135">
        <v>0.47</v>
      </c>
      <c r="M96" s="133">
        <v>284.0</v>
      </c>
      <c r="N96" s="133">
        <v>1080.0</v>
      </c>
      <c r="O96" s="135">
        <v>5.54</v>
      </c>
      <c r="P96" s="135">
        <v>1.21</v>
      </c>
      <c r="Q96" s="135">
        <v>3.19</v>
      </c>
      <c r="R96" s="136" t="str">
        <f t="shared" si="1"/>
        <v>OptionStrat</v>
      </c>
      <c r="S96" s="132" t="s">
        <v>265</v>
      </c>
      <c r="T96" s="137"/>
      <c r="U96" s="138">
        <v>0.55</v>
      </c>
    </row>
    <row r="97">
      <c r="A97" s="125" t="s">
        <v>28</v>
      </c>
      <c r="B97" s="125" t="s">
        <v>169</v>
      </c>
      <c r="C97" s="126">
        <v>670.0</v>
      </c>
      <c r="D97" s="126">
        <v>700.0</v>
      </c>
      <c r="E97" s="126">
        <v>30.0</v>
      </c>
      <c r="F97" s="127">
        <v>4.8</v>
      </c>
      <c r="G97" s="127">
        <v>25.2</v>
      </c>
      <c r="H97" s="128">
        <v>5.25</v>
      </c>
      <c r="I97" s="127">
        <v>14.01</v>
      </c>
      <c r="J97" s="128">
        <v>2.92</v>
      </c>
      <c r="K97" s="128">
        <v>0.49</v>
      </c>
      <c r="L97" s="128">
        <v>0.47</v>
      </c>
      <c r="M97" s="126">
        <v>228.0</v>
      </c>
      <c r="N97" s="126">
        <v>1080.0</v>
      </c>
      <c r="O97" s="128">
        <v>4.96</v>
      </c>
      <c r="P97" s="128">
        <v>1.25</v>
      </c>
      <c r="Q97" s="128">
        <v>3.19</v>
      </c>
      <c r="R97" s="129" t="str">
        <f t="shared" si="1"/>
        <v>OptionStrat</v>
      </c>
      <c r="S97" s="125" t="s">
        <v>266</v>
      </c>
      <c r="T97" s="130"/>
      <c r="U97" s="131">
        <v>0.55</v>
      </c>
    </row>
    <row r="98">
      <c r="A98" s="132" t="s">
        <v>28</v>
      </c>
      <c r="B98" s="132" t="s">
        <v>171</v>
      </c>
      <c r="C98" s="133">
        <v>400.0</v>
      </c>
      <c r="D98" s="133">
        <v>550.0</v>
      </c>
      <c r="E98" s="133">
        <v>150.0</v>
      </c>
      <c r="F98" s="134">
        <v>43.72</v>
      </c>
      <c r="G98" s="134">
        <v>106.28</v>
      </c>
      <c r="H98" s="135">
        <v>2.43</v>
      </c>
      <c r="I98" s="134">
        <v>78.58</v>
      </c>
      <c r="J98" s="135">
        <v>1.8</v>
      </c>
      <c r="K98" s="135">
        <v>0.74</v>
      </c>
      <c r="L98" s="135">
        <v>0.61</v>
      </c>
      <c r="M98" s="133">
        <v>369.0</v>
      </c>
      <c r="N98" s="133">
        <v>78.0</v>
      </c>
      <c r="O98" s="135">
        <v>1.7</v>
      </c>
      <c r="P98" s="135">
        <v>0.33</v>
      </c>
      <c r="Q98" s="135">
        <v>3.18</v>
      </c>
      <c r="R98" s="136" t="str">
        <f t="shared" si="1"/>
        <v>OptionStrat</v>
      </c>
      <c r="S98" s="132" t="s">
        <v>267</v>
      </c>
      <c r="T98" s="137"/>
      <c r="U98" s="138">
        <v>0.55</v>
      </c>
    </row>
    <row r="99">
      <c r="A99" s="125" t="s">
        <v>28</v>
      </c>
      <c r="B99" s="125" t="s">
        <v>169</v>
      </c>
      <c r="C99" s="126">
        <v>400.0</v>
      </c>
      <c r="D99" s="126">
        <v>510.0</v>
      </c>
      <c r="E99" s="126">
        <v>110.0</v>
      </c>
      <c r="F99" s="127">
        <v>35.03</v>
      </c>
      <c r="G99" s="127">
        <v>74.97</v>
      </c>
      <c r="H99" s="128">
        <v>2.14</v>
      </c>
      <c r="I99" s="127">
        <v>55.23</v>
      </c>
      <c r="J99" s="128">
        <v>1.58</v>
      </c>
      <c r="K99" s="128">
        <v>0.72</v>
      </c>
      <c r="L99" s="128">
        <v>0.62</v>
      </c>
      <c r="M99" s="126">
        <v>1326.0</v>
      </c>
      <c r="N99" s="126">
        <v>359.0</v>
      </c>
      <c r="O99" s="128">
        <v>6.9</v>
      </c>
      <c r="P99" s="128">
        <v>0.45</v>
      </c>
      <c r="Q99" s="128">
        <v>3.17</v>
      </c>
      <c r="R99" s="129" t="str">
        <f t="shared" si="1"/>
        <v>OptionStrat</v>
      </c>
      <c r="S99" s="125" t="s">
        <v>268</v>
      </c>
      <c r="T99" s="130"/>
      <c r="U99" s="131">
        <v>0.55</v>
      </c>
    </row>
    <row r="100">
      <c r="A100" s="132" t="s">
        <v>28</v>
      </c>
      <c r="B100" s="132" t="s">
        <v>169</v>
      </c>
      <c r="C100" s="133">
        <v>500.0</v>
      </c>
      <c r="D100" s="133">
        <v>620.0</v>
      </c>
      <c r="E100" s="133">
        <v>120.0</v>
      </c>
      <c r="F100" s="134">
        <v>27.4</v>
      </c>
      <c r="G100" s="134">
        <v>92.6</v>
      </c>
      <c r="H100" s="135">
        <v>3.38</v>
      </c>
      <c r="I100" s="134">
        <v>58.02</v>
      </c>
      <c r="J100" s="135">
        <v>2.12</v>
      </c>
      <c r="K100" s="135">
        <v>0.62</v>
      </c>
      <c r="L100" s="135">
        <v>0.53</v>
      </c>
      <c r="M100" s="133">
        <v>2065.0</v>
      </c>
      <c r="N100" s="133">
        <v>426.0</v>
      </c>
      <c r="O100" s="135">
        <v>9.38</v>
      </c>
      <c r="P100" s="135">
        <v>0.69</v>
      </c>
      <c r="Q100" s="135">
        <v>3.17</v>
      </c>
      <c r="R100" s="136" t="str">
        <f t="shared" si="1"/>
        <v>OptionStrat</v>
      </c>
      <c r="S100" s="132" t="s">
        <v>269</v>
      </c>
      <c r="T100" s="137"/>
      <c r="U100" s="138">
        <v>0.55</v>
      </c>
    </row>
    <row r="101">
      <c r="A101" s="125" t="s">
        <v>28</v>
      </c>
      <c r="B101" s="125" t="s">
        <v>169</v>
      </c>
      <c r="C101" s="126">
        <v>450.0</v>
      </c>
      <c r="D101" s="126">
        <v>470.0</v>
      </c>
      <c r="E101" s="126">
        <v>20.0</v>
      </c>
      <c r="F101" s="127">
        <v>6.13</v>
      </c>
      <c r="G101" s="127">
        <v>13.87</v>
      </c>
      <c r="H101" s="128">
        <v>2.26</v>
      </c>
      <c r="I101" s="127">
        <v>10.24</v>
      </c>
      <c r="J101" s="128">
        <v>1.67</v>
      </c>
      <c r="K101" s="128">
        <v>0.67</v>
      </c>
      <c r="L101" s="128">
        <v>0.65</v>
      </c>
      <c r="M101" s="126">
        <v>943.0</v>
      </c>
      <c r="N101" s="126">
        <v>318.0</v>
      </c>
      <c r="O101" s="128">
        <v>5.48</v>
      </c>
      <c r="P101" s="128">
        <v>0.53</v>
      </c>
      <c r="Q101" s="128">
        <v>3.16</v>
      </c>
      <c r="R101" s="129" t="str">
        <f t="shared" si="1"/>
        <v>OptionStrat</v>
      </c>
      <c r="S101" s="125" t="s">
        <v>270</v>
      </c>
      <c r="T101" s="125" t="s">
        <v>181</v>
      </c>
      <c r="U101" s="131">
        <v>0.55</v>
      </c>
    </row>
    <row r="102">
      <c r="A102" s="132" t="s">
        <v>28</v>
      </c>
      <c r="B102" s="132" t="s">
        <v>169</v>
      </c>
      <c r="C102" s="133">
        <v>470.0</v>
      </c>
      <c r="D102" s="133">
        <v>490.0</v>
      </c>
      <c r="E102" s="133">
        <v>20.0</v>
      </c>
      <c r="F102" s="134">
        <v>5.95</v>
      </c>
      <c r="G102" s="134">
        <v>14.05</v>
      </c>
      <c r="H102" s="135">
        <v>2.36</v>
      </c>
      <c r="I102" s="134">
        <v>10.38</v>
      </c>
      <c r="J102" s="135">
        <v>1.74</v>
      </c>
      <c r="K102" s="135">
        <v>0.65</v>
      </c>
      <c r="L102" s="135">
        <v>0.63</v>
      </c>
      <c r="M102" s="133">
        <v>318.0</v>
      </c>
      <c r="N102" s="133">
        <v>494.0</v>
      </c>
      <c r="O102" s="135">
        <v>3.96</v>
      </c>
      <c r="P102" s="135">
        <v>0.56</v>
      </c>
      <c r="Q102" s="135">
        <v>3.16</v>
      </c>
      <c r="R102" s="136" t="str">
        <f t="shared" si="1"/>
        <v>OptionStrat</v>
      </c>
      <c r="S102" s="132" t="s">
        <v>271</v>
      </c>
      <c r="T102" s="137"/>
      <c r="U102" s="138">
        <v>0.55</v>
      </c>
    </row>
    <row r="103">
      <c r="A103" s="125" t="s">
        <v>28</v>
      </c>
      <c r="B103" s="125" t="s">
        <v>169</v>
      </c>
      <c r="C103" s="126">
        <v>400.0</v>
      </c>
      <c r="D103" s="126">
        <v>530.0</v>
      </c>
      <c r="E103" s="126">
        <v>130.0</v>
      </c>
      <c r="F103" s="127">
        <v>40.17</v>
      </c>
      <c r="G103" s="127">
        <v>89.83</v>
      </c>
      <c r="H103" s="128">
        <v>2.24</v>
      </c>
      <c r="I103" s="127">
        <v>66.26</v>
      </c>
      <c r="J103" s="128">
        <v>1.65</v>
      </c>
      <c r="K103" s="128">
        <v>0.72</v>
      </c>
      <c r="L103" s="128">
        <v>0.6</v>
      </c>
      <c r="M103" s="126">
        <v>1326.0</v>
      </c>
      <c r="N103" s="126">
        <v>171.0</v>
      </c>
      <c r="O103" s="128">
        <v>4.76</v>
      </c>
      <c r="P103" s="128">
        <v>0.47</v>
      </c>
      <c r="Q103" s="128">
        <v>3.15</v>
      </c>
      <c r="R103" s="129" t="str">
        <f t="shared" si="1"/>
        <v>OptionStrat</v>
      </c>
      <c r="S103" s="125" t="s">
        <v>272</v>
      </c>
      <c r="T103" s="130"/>
      <c r="U103" s="131">
        <v>0.55</v>
      </c>
    </row>
    <row r="104">
      <c r="A104" s="132" t="s">
        <v>28</v>
      </c>
      <c r="B104" s="132" t="s">
        <v>169</v>
      </c>
      <c r="C104" s="133">
        <v>500.0</v>
      </c>
      <c r="D104" s="133">
        <v>610.0</v>
      </c>
      <c r="E104" s="133">
        <v>110.0</v>
      </c>
      <c r="F104" s="134">
        <v>25.45</v>
      </c>
      <c r="G104" s="134">
        <v>84.55</v>
      </c>
      <c r="H104" s="135">
        <v>3.32</v>
      </c>
      <c r="I104" s="134">
        <v>54.03</v>
      </c>
      <c r="J104" s="135">
        <v>2.12</v>
      </c>
      <c r="K104" s="135">
        <v>0.62</v>
      </c>
      <c r="L104" s="135">
        <v>0.53</v>
      </c>
      <c r="M104" s="133">
        <v>2065.0</v>
      </c>
      <c r="N104" s="133">
        <v>340.0</v>
      </c>
      <c r="O104" s="135">
        <v>8.38</v>
      </c>
      <c r="P104" s="135">
        <v>0.69</v>
      </c>
      <c r="Q104" s="135">
        <v>3.15</v>
      </c>
      <c r="R104" s="136" t="str">
        <f t="shared" si="1"/>
        <v>OptionStrat</v>
      </c>
      <c r="S104" s="132" t="s">
        <v>273</v>
      </c>
      <c r="T104" s="137"/>
      <c r="U104" s="138">
        <v>0.55</v>
      </c>
    </row>
    <row r="105">
      <c r="A105" s="125" t="s">
        <v>28</v>
      </c>
      <c r="B105" s="125" t="s">
        <v>171</v>
      </c>
      <c r="C105" s="126">
        <v>460.0</v>
      </c>
      <c r="D105" s="126">
        <v>550.0</v>
      </c>
      <c r="E105" s="126">
        <v>90.0</v>
      </c>
      <c r="F105" s="127">
        <v>23.63</v>
      </c>
      <c r="G105" s="127">
        <v>66.37</v>
      </c>
      <c r="H105" s="128">
        <v>2.81</v>
      </c>
      <c r="I105" s="127">
        <v>49.26</v>
      </c>
      <c r="J105" s="128">
        <v>2.08</v>
      </c>
      <c r="K105" s="128">
        <v>0.68</v>
      </c>
      <c r="L105" s="128">
        <v>0.61</v>
      </c>
      <c r="M105" s="126">
        <v>90.0</v>
      </c>
      <c r="N105" s="126">
        <v>78.0</v>
      </c>
      <c r="O105" s="128">
        <v>0.84</v>
      </c>
      <c r="P105" s="128">
        <v>0.28</v>
      </c>
      <c r="Q105" s="128">
        <v>3.15</v>
      </c>
      <c r="R105" s="129" t="str">
        <f t="shared" si="1"/>
        <v>OptionStrat</v>
      </c>
      <c r="S105" s="125" t="s">
        <v>274</v>
      </c>
      <c r="T105" s="130"/>
      <c r="U105" s="131">
        <v>0.55</v>
      </c>
    </row>
    <row r="106">
      <c r="A106" s="132" t="s">
        <v>28</v>
      </c>
      <c r="B106" s="132" t="s">
        <v>171</v>
      </c>
      <c r="C106" s="133">
        <v>480.0</v>
      </c>
      <c r="D106" s="133">
        <v>520.0</v>
      </c>
      <c r="E106" s="133">
        <v>40.0</v>
      </c>
      <c r="F106" s="134">
        <v>10.65</v>
      </c>
      <c r="G106" s="134">
        <v>29.35</v>
      </c>
      <c r="H106" s="135">
        <v>2.76</v>
      </c>
      <c r="I106" s="134">
        <v>21.77</v>
      </c>
      <c r="J106" s="135">
        <v>2.04</v>
      </c>
      <c r="K106" s="135">
        <v>0.67</v>
      </c>
      <c r="L106" s="135">
        <v>0.64</v>
      </c>
      <c r="M106" s="133">
        <v>139.0</v>
      </c>
      <c r="N106" s="133">
        <v>82.0</v>
      </c>
      <c r="O106" s="135">
        <v>1.07</v>
      </c>
      <c r="P106" s="135">
        <v>0.27</v>
      </c>
      <c r="Q106" s="135">
        <v>3.15</v>
      </c>
      <c r="R106" s="136" t="str">
        <f t="shared" si="1"/>
        <v>OptionStrat</v>
      </c>
      <c r="S106" s="132" t="s">
        <v>275</v>
      </c>
      <c r="T106" s="137"/>
      <c r="U106" s="138">
        <v>0.55</v>
      </c>
    </row>
    <row r="107">
      <c r="A107" s="125" t="s">
        <v>28</v>
      </c>
      <c r="B107" s="125" t="s">
        <v>171</v>
      </c>
      <c r="C107" s="126">
        <v>490.0</v>
      </c>
      <c r="D107" s="126">
        <v>540.0</v>
      </c>
      <c r="E107" s="126">
        <v>50.0</v>
      </c>
      <c r="F107" s="127">
        <v>12.77</v>
      </c>
      <c r="G107" s="127">
        <v>37.23</v>
      </c>
      <c r="H107" s="128">
        <v>2.92</v>
      </c>
      <c r="I107" s="127">
        <v>27.65</v>
      </c>
      <c r="J107" s="128">
        <v>2.17</v>
      </c>
      <c r="K107" s="128">
        <v>0.66</v>
      </c>
      <c r="L107" s="128">
        <v>0.62</v>
      </c>
      <c r="M107" s="126">
        <v>93.0</v>
      </c>
      <c r="N107" s="126">
        <v>58.0</v>
      </c>
      <c r="O107" s="128">
        <v>0.73</v>
      </c>
      <c r="P107" s="128">
        <v>0.27</v>
      </c>
      <c r="Q107" s="128">
        <v>3.15</v>
      </c>
      <c r="R107" s="129" t="str">
        <f t="shared" si="1"/>
        <v>OptionStrat</v>
      </c>
      <c r="S107" s="125" t="s">
        <v>276</v>
      </c>
      <c r="T107" s="125" t="s">
        <v>181</v>
      </c>
      <c r="U107" s="131">
        <v>0.55</v>
      </c>
    </row>
    <row r="108">
      <c r="A108" s="132" t="s">
        <v>28</v>
      </c>
      <c r="B108" s="132" t="s">
        <v>171</v>
      </c>
      <c r="C108" s="133">
        <v>450.0</v>
      </c>
      <c r="D108" s="133">
        <v>510.0</v>
      </c>
      <c r="E108" s="133">
        <v>60.0</v>
      </c>
      <c r="F108" s="134">
        <v>17.65</v>
      </c>
      <c r="G108" s="134">
        <v>42.35</v>
      </c>
      <c r="H108" s="135">
        <v>2.4</v>
      </c>
      <c r="I108" s="134">
        <v>31.3</v>
      </c>
      <c r="J108" s="135">
        <v>1.77</v>
      </c>
      <c r="K108" s="135">
        <v>0.69</v>
      </c>
      <c r="L108" s="135">
        <v>0.64</v>
      </c>
      <c r="M108" s="133">
        <v>759.0</v>
      </c>
      <c r="N108" s="133">
        <v>45.0</v>
      </c>
      <c r="O108" s="135">
        <v>1.85</v>
      </c>
      <c r="P108" s="135">
        <v>0.38</v>
      </c>
      <c r="Q108" s="135">
        <v>3.13</v>
      </c>
      <c r="R108" s="136" t="str">
        <f t="shared" si="1"/>
        <v>OptionStrat</v>
      </c>
      <c r="S108" s="132" t="s">
        <v>277</v>
      </c>
      <c r="T108" s="132" t="s">
        <v>181</v>
      </c>
      <c r="U108" s="138">
        <v>0.55</v>
      </c>
    </row>
    <row r="109">
      <c r="A109" s="125" t="s">
        <v>28</v>
      </c>
      <c r="B109" s="125" t="s">
        <v>169</v>
      </c>
      <c r="C109" s="126">
        <v>410.0</v>
      </c>
      <c r="D109" s="126">
        <v>550.0</v>
      </c>
      <c r="E109" s="126">
        <v>140.0</v>
      </c>
      <c r="F109" s="127">
        <v>41.15</v>
      </c>
      <c r="G109" s="127">
        <v>98.85</v>
      </c>
      <c r="H109" s="128">
        <v>2.4</v>
      </c>
      <c r="I109" s="127">
        <v>70.67</v>
      </c>
      <c r="J109" s="128">
        <v>1.72</v>
      </c>
      <c r="K109" s="128">
        <v>0.71</v>
      </c>
      <c r="L109" s="128">
        <v>0.58</v>
      </c>
      <c r="M109" s="126">
        <v>194.0</v>
      </c>
      <c r="N109" s="126">
        <v>474.0</v>
      </c>
      <c r="O109" s="128">
        <v>3.03</v>
      </c>
      <c r="P109" s="128">
        <v>0.61</v>
      </c>
      <c r="Q109" s="128">
        <v>3.12</v>
      </c>
      <c r="R109" s="129" t="str">
        <f t="shared" si="1"/>
        <v>OptionStrat</v>
      </c>
      <c r="S109" s="125" t="s">
        <v>278</v>
      </c>
      <c r="T109" s="130"/>
      <c r="U109" s="131">
        <v>0.55</v>
      </c>
    </row>
    <row r="110">
      <c r="A110" s="132" t="s">
        <v>28</v>
      </c>
      <c r="B110" s="132" t="s">
        <v>171</v>
      </c>
      <c r="C110" s="133">
        <v>470.0</v>
      </c>
      <c r="D110" s="133">
        <v>550.0</v>
      </c>
      <c r="E110" s="133">
        <v>80.0</v>
      </c>
      <c r="F110" s="134">
        <v>20.72</v>
      </c>
      <c r="G110" s="134">
        <v>59.28</v>
      </c>
      <c r="H110" s="135">
        <v>2.86</v>
      </c>
      <c r="I110" s="134">
        <v>44.01</v>
      </c>
      <c r="J110" s="135">
        <v>2.12</v>
      </c>
      <c r="K110" s="135">
        <v>0.68</v>
      </c>
      <c r="L110" s="135">
        <v>0.61</v>
      </c>
      <c r="M110" s="133">
        <v>68.0</v>
      </c>
      <c r="N110" s="133">
        <v>78.0</v>
      </c>
      <c r="O110" s="135">
        <v>0.73</v>
      </c>
      <c r="P110" s="135">
        <v>0.28</v>
      </c>
      <c r="Q110" s="135">
        <v>3.12</v>
      </c>
      <c r="R110" s="136" t="str">
        <f t="shared" si="1"/>
        <v>OptionStrat</v>
      </c>
      <c r="S110" s="132" t="s">
        <v>279</v>
      </c>
      <c r="T110" s="137"/>
      <c r="U110" s="138">
        <v>0.55</v>
      </c>
    </row>
    <row r="111">
      <c r="A111" s="125" t="s">
        <v>28</v>
      </c>
      <c r="B111" s="125" t="s">
        <v>169</v>
      </c>
      <c r="C111" s="126">
        <v>600.0</v>
      </c>
      <c r="D111" s="126">
        <v>620.0</v>
      </c>
      <c r="E111" s="126">
        <v>20.0</v>
      </c>
      <c r="F111" s="127">
        <v>3.95</v>
      </c>
      <c r="G111" s="127">
        <v>16.05</v>
      </c>
      <c r="H111" s="128">
        <v>4.06</v>
      </c>
      <c r="I111" s="127">
        <v>10.18</v>
      </c>
      <c r="J111" s="128">
        <v>2.58</v>
      </c>
      <c r="K111" s="128">
        <v>0.54</v>
      </c>
      <c r="L111" s="128">
        <v>0.53</v>
      </c>
      <c r="M111" s="126">
        <v>1000.0</v>
      </c>
      <c r="N111" s="126">
        <v>426.0</v>
      </c>
      <c r="O111" s="128">
        <v>6.53</v>
      </c>
      <c r="P111" s="128">
        <v>1.11</v>
      </c>
      <c r="Q111" s="128">
        <v>3.11</v>
      </c>
      <c r="R111" s="129" t="str">
        <f t="shared" si="1"/>
        <v>OptionStrat</v>
      </c>
      <c r="S111" s="125" t="s">
        <v>280</v>
      </c>
      <c r="T111" s="130"/>
      <c r="U111" s="131">
        <v>0.55</v>
      </c>
    </row>
    <row r="112">
      <c r="A112" s="132" t="s">
        <v>28</v>
      </c>
      <c r="B112" s="132" t="s">
        <v>171</v>
      </c>
      <c r="C112" s="133">
        <v>360.0</v>
      </c>
      <c r="D112" s="133">
        <v>500.0</v>
      </c>
      <c r="E112" s="133">
        <v>140.0</v>
      </c>
      <c r="F112" s="134">
        <v>46.1</v>
      </c>
      <c r="G112" s="134">
        <v>93.9</v>
      </c>
      <c r="H112" s="135">
        <v>2.04</v>
      </c>
      <c r="I112" s="134">
        <v>69.06</v>
      </c>
      <c r="J112" s="135">
        <v>1.5</v>
      </c>
      <c r="K112" s="135">
        <v>0.77</v>
      </c>
      <c r="L112" s="135">
        <v>0.65</v>
      </c>
      <c r="M112" s="133">
        <v>212.0</v>
      </c>
      <c r="N112" s="133">
        <v>1214.0</v>
      </c>
      <c r="O112" s="135">
        <v>5.07</v>
      </c>
      <c r="P112" s="135">
        <v>0.28</v>
      </c>
      <c r="Q112" s="135">
        <v>3.11</v>
      </c>
      <c r="R112" s="136" t="str">
        <f t="shared" si="1"/>
        <v>OptionStrat</v>
      </c>
      <c r="S112" s="132" t="s">
        <v>281</v>
      </c>
      <c r="T112" s="137"/>
      <c r="U112" s="138">
        <v>0.55</v>
      </c>
    </row>
    <row r="113">
      <c r="A113" s="125" t="s">
        <v>28</v>
      </c>
      <c r="B113" s="125" t="s">
        <v>169</v>
      </c>
      <c r="C113" s="126">
        <v>410.0</v>
      </c>
      <c r="D113" s="126">
        <v>500.0</v>
      </c>
      <c r="E113" s="126">
        <v>90.0</v>
      </c>
      <c r="F113" s="127">
        <v>28.67</v>
      </c>
      <c r="G113" s="127">
        <v>61.33</v>
      </c>
      <c r="H113" s="128">
        <v>2.14</v>
      </c>
      <c r="I113" s="127">
        <v>45.17</v>
      </c>
      <c r="J113" s="128">
        <v>1.58</v>
      </c>
      <c r="K113" s="128">
        <v>0.71</v>
      </c>
      <c r="L113" s="128">
        <v>0.62</v>
      </c>
      <c r="M113" s="126">
        <v>194.0</v>
      </c>
      <c r="N113" s="126">
        <v>2065.0</v>
      </c>
      <c r="O113" s="128">
        <v>6.33</v>
      </c>
      <c r="P113" s="128">
        <v>0.46</v>
      </c>
      <c r="Q113" s="128">
        <v>3.1</v>
      </c>
      <c r="R113" s="129" t="str">
        <f t="shared" si="1"/>
        <v>OptionStrat</v>
      </c>
      <c r="S113" s="125" t="s">
        <v>282</v>
      </c>
      <c r="T113" s="130"/>
      <c r="U113" s="131">
        <v>0.55</v>
      </c>
    </row>
    <row r="114">
      <c r="A114" s="132" t="s">
        <v>28</v>
      </c>
      <c r="B114" s="132" t="s">
        <v>169</v>
      </c>
      <c r="C114" s="133">
        <v>610.0</v>
      </c>
      <c r="D114" s="133">
        <v>700.0</v>
      </c>
      <c r="E114" s="133">
        <v>90.0</v>
      </c>
      <c r="F114" s="134">
        <v>15.65</v>
      </c>
      <c r="G114" s="134">
        <v>74.35</v>
      </c>
      <c r="H114" s="135">
        <v>4.75</v>
      </c>
      <c r="I114" s="134">
        <v>40.96</v>
      </c>
      <c r="J114" s="135">
        <v>2.62</v>
      </c>
      <c r="K114" s="135">
        <v>0.53</v>
      </c>
      <c r="L114" s="135">
        <v>0.47</v>
      </c>
      <c r="M114" s="133">
        <v>340.0</v>
      </c>
      <c r="N114" s="133">
        <v>1080.0</v>
      </c>
      <c r="O114" s="135">
        <v>6.06</v>
      </c>
      <c r="P114" s="135">
        <v>1.18</v>
      </c>
      <c r="Q114" s="135">
        <v>3.1</v>
      </c>
      <c r="R114" s="136" t="str">
        <f t="shared" si="1"/>
        <v>OptionStrat</v>
      </c>
      <c r="S114" s="132" t="s">
        <v>283</v>
      </c>
      <c r="T114" s="137"/>
      <c r="U114" s="138">
        <v>0.55</v>
      </c>
    </row>
    <row r="115">
      <c r="A115" s="125" t="s">
        <v>28</v>
      </c>
      <c r="B115" s="125" t="s">
        <v>171</v>
      </c>
      <c r="C115" s="126">
        <v>450.0</v>
      </c>
      <c r="D115" s="126">
        <v>490.0</v>
      </c>
      <c r="E115" s="126">
        <v>40.0</v>
      </c>
      <c r="F115" s="127">
        <v>12.3</v>
      </c>
      <c r="G115" s="127">
        <v>27.7</v>
      </c>
      <c r="H115" s="128">
        <v>2.25</v>
      </c>
      <c r="I115" s="127">
        <v>20.44</v>
      </c>
      <c r="J115" s="128">
        <v>1.66</v>
      </c>
      <c r="K115" s="128">
        <v>0.69</v>
      </c>
      <c r="L115" s="128">
        <v>0.66</v>
      </c>
      <c r="M115" s="126">
        <v>759.0</v>
      </c>
      <c r="N115" s="126">
        <v>93.0</v>
      </c>
      <c r="O115" s="128">
        <v>2.66</v>
      </c>
      <c r="P115" s="128">
        <v>0.38</v>
      </c>
      <c r="Q115" s="128">
        <v>3.1</v>
      </c>
      <c r="R115" s="129" t="str">
        <f t="shared" si="1"/>
        <v>OptionStrat</v>
      </c>
      <c r="S115" s="125" t="s">
        <v>284</v>
      </c>
      <c r="T115" s="125" t="s">
        <v>181</v>
      </c>
      <c r="U115" s="131">
        <v>0.55</v>
      </c>
    </row>
    <row r="116">
      <c r="A116" s="132" t="s">
        <v>28</v>
      </c>
      <c r="B116" s="132" t="s">
        <v>169</v>
      </c>
      <c r="C116" s="133">
        <v>400.0</v>
      </c>
      <c r="D116" s="133">
        <v>490.0</v>
      </c>
      <c r="E116" s="133">
        <v>90.0</v>
      </c>
      <c r="F116" s="134">
        <v>29.53</v>
      </c>
      <c r="G116" s="134">
        <v>60.47</v>
      </c>
      <c r="H116" s="135">
        <v>2.05</v>
      </c>
      <c r="I116" s="134">
        <v>44.48</v>
      </c>
      <c r="J116" s="135">
        <v>1.51</v>
      </c>
      <c r="K116" s="135">
        <v>0.72</v>
      </c>
      <c r="L116" s="135">
        <v>0.63</v>
      </c>
      <c r="M116" s="133">
        <v>1326.0</v>
      </c>
      <c r="N116" s="133">
        <v>494.0</v>
      </c>
      <c r="O116" s="135">
        <v>8.09</v>
      </c>
      <c r="P116" s="135">
        <v>0.47</v>
      </c>
      <c r="Q116" s="135">
        <v>3.09</v>
      </c>
      <c r="R116" s="136" t="str">
        <f t="shared" si="1"/>
        <v>OptionStrat</v>
      </c>
      <c r="S116" s="132" t="s">
        <v>285</v>
      </c>
      <c r="T116" s="137"/>
      <c r="U116" s="138">
        <v>0.55</v>
      </c>
    </row>
    <row r="117">
      <c r="A117" s="125" t="s">
        <v>28</v>
      </c>
      <c r="B117" s="125" t="s">
        <v>171</v>
      </c>
      <c r="C117" s="126">
        <v>500.0</v>
      </c>
      <c r="D117" s="126">
        <v>640.0</v>
      </c>
      <c r="E117" s="126">
        <v>140.0</v>
      </c>
      <c r="F117" s="127">
        <v>30.85</v>
      </c>
      <c r="G117" s="127">
        <v>109.15</v>
      </c>
      <c r="H117" s="128">
        <v>3.54</v>
      </c>
      <c r="I117" s="127">
        <v>73.23</v>
      </c>
      <c r="J117" s="128">
        <v>2.37</v>
      </c>
      <c r="K117" s="128">
        <v>0.65</v>
      </c>
      <c r="L117" s="128">
        <v>0.55</v>
      </c>
      <c r="M117" s="126">
        <v>1214.0</v>
      </c>
      <c r="N117" s="126">
        <v>112.0</v>
      </c>
      <c r="O117" s="128">
        <v>3.69</v>
      </c>
      <c r="P117" s="128">
        <v>0.31</v>
      </c>
      <c r="Q117" s="128">
        <v>3.09</v>
      </c>
      <c r="R117" s="129" t="str">
        <f t="shared" si="1"/>
        <v>OptionStrat</v>
      </c>
      <c r="S117" s="125" t="s">
        <v>286</v>
      </c>
      <c r="T117" s="130"/>
      <c r="U117" s="131">
        <v>0.55</v>
      </c>
    </row>
    <row r="118">
      <c r="A118" s="132" t="s">
        <v>28</v>
      </c>
      <c r="B118" s="132" t="s">
        <v>169</v>
      </c>
      <c r="C118" s="133">
        <v>630.0</v>
      </c>
      <c r="D118" s="133">
        <v>700.0</v>
      </c>
      <c r="E118" s="133">
        <v>70.0</v>
      </c>
      <c r="F118" s="134">
        <v>11.83</v>
      </c>
      <c r="G118" s="134">
        <v>58.17</v>
      </c>
      <c r="H118" s="135">
        <v>4.92</v>
      </c>
      <c r="I118" s="134">
        <v>32.15</v>
      </c>
      <c r="J118" s="135">
        <v>2.72</v>
      </c>
      <c r="K118" s="135">
        <v>0.52</v>
      </c>
      <c r="L118" s="135">
        <v>0.47</v>
      </c>
      <c r="M118" s="133">
        <v>247.0</v>
      </c>
      <c r="N118" s="133">
        <v>1080.0</v>
      </c>
      <c r="O118" s="135">
        <v>5.16</v>
      </c>
      <c r="P118" s="135">
        <v>1.21</v>
      </c>
      <c r="Q118" s="135">
        <v>3.08</v>
      </c>
      <c r="R118" s="136" t="str">
        <f t="shared" si="1"/>
        <v>OptionStrat</v>
      </c>
      <c r="S118" s="132" t="s">
        <v>287</v>
      </c>
      <c r="T118" s="137"/>
      <c r="U118" s="138">
        <v>0.55</v>
      </c>
    </row>
    <row r="119">
      <c r="A119" s="125" t="s">
        <v>28</v>
      </c>
      <c r="B119" s="125" t="s">
        <v>171</v>
      </c>
      <c r="C119" s="126">
        <v>500.0</v>
      </c>
      <c r="D119" s="126">
        <v>580.0</v>
      </c>
      <c r="E119" s="126">
        <v>80.0</v>
      </c>
      <c r="F119" s="127">
        <v>19.07</v>
      </c>
      <c r="G119" s="127">
        <v>60.93</v>
      </c>
      <c r="H119" s="128">
        <v>3.2</v>
      </c>
      <c r="I119" s="127">
        <v>45.07</v>
      </c>
      <c r="J119" s="128">
        <v>2.36</v>
      </c>
      <c r="K119" s="128">
        <v>0.65</v>
      </c>
      <c r="L119" s="128">
        <v>0.59</v>
      </c>
      <c r="M119" s="126">
        <v>1214.0</v>
      </c>
      <c r="N119" s="126">
        <v>50.0</v>
      </c>
      <c r="O119" s="128">
        <v>2.46</v>
      </c>
      <c r="P119" s="128">
        <v>0.29</v>
      </c>
      <c r="Q119" s="128">
        <v>3.08</v>
      </c>
      <c r="R119" s="129" t="str">
        <f t="shared" si="1"/>
        <v>OptionStrat</v>
      </c>
      <c r="S119" s="125" t="s">
        <v>288</v>
      </c>
      <c r="T119" s="130"/>
      <c r="U119" s="131">
        <v>0.55</v>
      </c>
    </row>
    <row r="120">
      <c r="A120" s="132" t="s">
        <v>28</v>
      </c>
      <c r="B120" s="132" t="s">
        <v>171</v>
      </c>
      <c r="C120" s="133">
        <v>640.0</v>
      </c>
      <c r="D120" s="133">
        <v>700.0</v>
      </c>
      <c r="E120" s="133">
        <v>60.0</v>
      </c>
      <c r="F120" s="134">
        <v>10.15</v>
      </c>
      <c r="G120" s="134">
        <v>49.85</v>
      </c>
      <c r="H120" s="135">
        <v>4.91</v>
      </c>
      <c r="I120" s="134">
        <v>31.22</v>
      </c>
      <c r="J120" s="135">
        <v>3.08</v>
      </c>
      <c r="K120" s="135">
        <v>0.55</v>
      </c>
      <c r="L120" s="135">
        <v>0.52</v>
      </c>
      <c r="M120" s="133">
        <v>112.0</v>
      </c>
      <c r="N120" s="133">
        <v>617.0</v>
      </c>
      <c r="O120" s="135">
        <v>2.63</v>
      </c>
      <c r="P120" s="135">
        <v>0.33</v>
      </c>
      <c r="Q120" s="135">
        <v>3.08</v>
      </c>
      <c r="R120" s="136" t="str">
        <f t="shared" si="1"/>
        <v>OptionStrat</v>
      </c>
      <c r="S120" s="132" t="s">
        <v>289</v>
      </c>
      <c r="T120" s="137"/>
      <c r="U120" s="138">
        <v>0.55</v>
      </c>
    </row>
    <row r="121">
      <c r="A121" s="125" t="s">
        <v>28</v>
      </c>
      <c r="B121" s="125" t="s">
        <v>169</v>
      </c>
      <c r="C121" s="126">
        <v>600.0</v>
      </c>
      <c r="D121" s="126">
        <v>690.0</v>
      </c>
      <c r="E121" s="126">
        <v>90.0</v>
      </c>
      <c r="F121" s="127">
        <v>16.1</v>
      </c>
      <c r="G121" s="127">
        <v>73.9</v>
      </c>
      <c r="H121" s="128">
        <v>4.59</v>
      </c>
      <c r="I121" s="127">
        <v>41.36</v>
      </c>
      <c r="J121" s="128">
        <v>2.57</v>
      </c>
      <c r="K121" s="128">
        <v>0.54</v>
      </c>
      <c r="L121" s="128">
        <v>0.48</v>
      </c>
      <c r="M121" s="126">
        <v>1000.0</v>
      </c>
      <c r="N121" s="126">
        <v>370.0</v>
      </c>
      <c r="O121" s="128">
        <v>6.08</v>
      </c>
      <c r="P121" s="128">
        <v>1.18</v>
      </c>
      <c r="Q121" s="128">
        <v>3.07</v>
      </c>
      <c r="R121" s="129" t="str">
        <f t="shared" si="1"/>
        <v>OptionStrat</v>
      </c>
      <c r="S121" s="125" t="s">
        <v>290</v>
      </c>
      <c r="T121" s="130"/>
      <c r="U121" s="131">
        <v>0.55</v>
      </c>
    </row>
    <row r="122">
      <c r="A122" s="132" t="s">
        <v>28</v>
      </c>
      <c r="B122" s="132" t="s">
        <v>169</v>
      </c>
      <c r="C122" s="133">
        <v>640.0</v>
      </c>
      <c r="D122" s="133">
        <v>700.0</v>
      </c>
      <c r="E122" s="133">
        <v>60.0</v>
      </c>
      <c r="F122" s="134">
        <v>10.03</v>
      </c>
      <c r="G122" s="134">
        <v>49.97</v>
      </c>
      <c r="H122" s="135">
        <v>4.98</v>
      </c>
      <c r="I122" s="134">
        <v>27.65</v>
      </c>
      <c r="J122" s="135">
        <v>2.76</v>
      </c>
      <c r="K122" s="135">
        <v>0.51</v>
      </c>
      <c r="L122" s="135">
        <v>0.47</v>
      </c>
      <c r="M122" s="133">
        <v>222.0</v>
      </c>
      <c r="N122" s="133">
        <v>1080.0</v>
      </c>
      <c r="O122" s="135">
        <v>4.9</v>
      </c>
      <c r="P122" s="135">
        <v>1.21</v>
      </c>
      <c r="Q122" s="135">
        <v>3.07</v>
      </c>
      <c r="R122" s="136" t="str">
        <f t="shared" si="1"/>
        <v>OptionStrat</v>
      </c>
      <c r="S122" s="132" t="s">
        <v>291</v>
      </c>
      <c r="T122" s="137"/>
      <c r="U122" s="138">
        <v>0.55</v>
      </c>
    </row>
    <row r="123">
      <c r="A123" s="125" t="s">
        <v>28</v>
      </c>
      <c r="B123" s="125" t="s">
        <v>171</v>
      </c>
      <c r="C123" s="126">
        <v>480.0</v>
      </c>
      <c r="D123" s="126">
        <v>530.0</v>
      </c>
      <c r="E123" s="126">
        <v>50.0</v>
      </c>
      <c r="F123" s="127">
        <v>13.45</v>
      </c>
      <c r="G123" s="127">
        <v>36.55</v>
      </c>
      <c r="H123" s="128">
        <v>2.72</v>
      </c>
      <c r="I123" s="127">
        <v>27.11</v>
      </c>
      <c r="J123" s="128">
        <v>2.02</v>
      </c>
      <c r="K123" s="128">
        <v>0.67</v>
      </c>
      <c r="L123" s="128">
        <v>0.63</v>
      </c>
      <c r="M123" s="126">
        <v>139.0</v>
      </c>
      <c r="N123" s="126">
        <v>60.0</v>
      </c>
      <c r="O123" s="128">
        <v>0.91</v>
      </c>
      <c r="P123" s="128">
        <v>0.31</v>
      </c>
      <c r="Q123" s="128">
        <v>3.07</v>
      </c>
      <c r="R123" s="129" t="str">
        <f t="shared" si="1"/>
        <v>OptionStrat</v>
      </c>
      <c r="S123" s="125" t="s">
        <v>292</v>
      </c>
      <c r="T123" s="130"/>
      <c r="U123" s="131">
        <v>0.55</v>
      </c>
    </row>
    <row r="124">
      <c r="A124" s="132" t="s">
        <v>28</v>
      </c>
      <c r="B124" s="132" t="s">
        <v>171</v>
      </c>
      <c r="C124" s="133">
        <v>490.0</v>
      </c>
      <c r="D124" s="133">
        <v>520.0</v>
      </c>
      <c r="E124" s="133">
        <v>30.0</v>
      </c>
      <c r="F124" s="134">
        <v>7.9</v>
      </c>
      <c r="G124" s="134">
        <v>22.1</v>
      </c>
      <c r="H124" s="135">
        <v>2.8</v>
      </c>
      <c r="I124" s="134">
        <v>16.4</v>
      </c>
      <c r="J124" s="135">
        <v>2.08</v>
      </c>
      <c r="K124" s="135">
        <v>0.66</v>
      </c>
      <c r="L124" s="135">
        <v>0.64</v>
      </c>
      <c r="M124" s="133">
        <v>93.0</v>
      </c>
      <c r="N124" s="133">
        <v>82.0</v>
      </c>
      <c r="O124" s="135">
        <v>0.87</v>
      </c>
      <c r="P124" s="135">
        <v>0.27</v>
      </c>
      <c r="Q124" s="135">
        <v>3.07</v>
      </c>
      <c r="R124" s="136" t="str">
        <f t="shared" si="1"/>
        <v>OptionStrat</v>
      </c>
      <c r="S124" s="132" t="s">
        <v>293</v>
      </c>
      <c r="T124" s="132" t="s">
        <v>181</v>
      </c>
      <c r="U124" s="138">
        <v>0.55</v>
      </c>
    </row>
    <row r="125">
      <c r="A125" s="125" t="s">
        <v>28</v>
      </c>
      <c r="B125" s="125" t="s">
        <v>171</v>
      </c>
      <c r="C125" s="126">
        <v>410.0</v>
      </c>
      <c r="D125" s="126">
        <v>500.0</v>
      </c>
      <c r="E125" s="126">
        <v>90.0</v>
      </c>
      <c r="F125" s="127">
        <v>27.4</v>
      </c>
      <c r="G125" s="127">
        <v>62.6</v>
      </c>
      <c r="H125" s="128">
        <v>2.28</v>
      </c>
      <c r="I125" s="127">
        <v>46.21</v>
      </c>
      <c r="J125" s="128">
        <v>1.69</v>
      </c>
      <c r="K125" s="128">
        <v>0.73</v>
      </c>
      <c r="L125" s="128">
        <v>0.65</v>
      </c>
      <c r="M125" s="126">
        <v>54.0</v>
      </c>
      <c r="N125" s="126">
        <v>1214.0</v>
      </c>
      <c r="O125" s="128">
        <v>2.56</v>
      </c>
      <c r="P125" s="128">
        <v>0.29</v>
      </c>
      <c r="Q125" s="128">
        <v>3.06</v>
      </c>
      <c r="R125" s="129" t="str">
        <f t="shared" si="1"/>
        <v>OptionStrat</v>
      </c>
      <c r="S125" s="125" t="s">
        <v>294</v>
      </c>
      <c r="T125" s="130"/>
      <c r="U125" s="131">
        <v>0.56</v>
      </c>
    </row>
    <row r="126">
      <c r="A126" s="132" t="s">
        <v>28</v>
      </c>
      <c r="B126" s="132" t="s">
        <v>171</v>
      </c>
      <c r="C126" s="133">
        <v>510.0</v>
      </c>
      <c r="D126" s="133">
        <v>540.0</v>
      </c>
      <c r="E126" s="133">
        <v>30.0</v>
      </c>
      <c r="F126" s="134">
        <v>7.42</v>
      </c>
      <c r="G126" s="134">
        <v>22.58</v>
      </c>
      <c r="H126" s="135">
        <v>3.04</v>
      </c>
      <c r="I126" s="134">
        <v>16.79</v>
      </c>
      <c r="J126" s="135">
        <v>2.26</v>
      </c>
      <c r="K126" s="135">
        <v>0.64</v>
      </c>
      <c r="L126" s="135">
        <v>0.62</v>
      </c>
      <c r="M126" s="133">
        <v>45.0</v>
      </c>
      <c r="N126" s="133">
        <v>58.0</v>
      </c>
      <c r="O126" s="135">
        <v>0.51</v>
      </c>
      <c r="P126" s="135">
        <v>0.27</v>
      </c>
      <c r="Q126" s="135">
        <v>3.06</v>
      </c>
      <c r="R126" s="136" t="str">
        <f t="shared" si="1"/>
        <v>OptionStrat</v>
      </c>
      <c r="S126" s="132" t="s">
        <v>295</v>
      </c>
      <c r="T126" s="137"/>
      <c r="U126" s="138">
        <v>0.55</v>
      </c>
    </row>
    <row r="127">
      <c r="A127" s="125" t="s">
        <v>28</v>
      </c>
      <c r="B127" s="125" t="s">
        <v>171</v>
      </c>
      <c r="C127" s="126">
        <v>680.0</v>
      </c>
      <c r="D127" s="126">
        <v>700.0</v>
      </c>
      <c r="E127" s="126">
        <v>20.0</v>
      </c>
      <c r="F127" s="127">
        <v>3.22</v>
      </c>
      <c r="G127" s="127">
        <v>16.78</v>
      </c>
      <c r="H127" s="128">
        <v>5.21</v>
      </c>
      <c r="I127" s="127">
        <v>10.54</v>
      </c>
      <c r="J127" s="128">
        <v>3.27</v>
      </c>
      <c r="K127" s="128">
        <v>0.53</v>
      </c>
      <c r="L127" s="128">
        <v>0.52</v>
      </c>
      <c r="M127" s="126">
        <v>77.0</v>
      </c>
      <c r="N127" s="126">
        <v>617.0</v>
      </c>
      <c r="O127" s="128">
        <v>2.18</v>
      </c>
      <c r="P127" s="128">
        <v>0.33</v>
      </c>
      <c r="Q127" s="128">
        <v>3.06</v>
      </c>
      <c r="R127" s="129" t="str">
        <f t="shared" si="1"/>
        <v>OptionStrat</v>
      </c>
      <c r="S127" s="125" t="s">
        <v>296</v>
      </c>
      <c r="T127" s="130"/>
      <c r="U127" s="131">
        <v>0.55</v>
      </c>
    </row>
    <row r="128">
      <c r="A128" s="132" t="s">
        <v>28</v>
      </c>
      <c r="B128" s="132" t="s">
        <v>169</v>
      </c>
      <c r="C128" s="133">
        <v>450.0</v>
      </c>
      <c r="D128" s="133">
        <v>600.0</v>
      </c>
      <c r="E128" s="133">
        <v>150.0</v>
      </c>
      <c r="F128" s="134">
        <v>38.37</v>
      </c>
      <c r="G128" s="134">
        <v>111.63</v>
      </c>
      <c r="H128" s="135">
        <v>2.91</v>
      </c>
      <c r="I128" s="134">
        <v>72.0</v>
      </c>
      <c r="J128" s="135">
        <v>1.88</v>
      </c>
      <c r="K128" s="135">
        <v>0.67</v>
      </c>
      <c r="L128" s="135">
        <v>0.54</v>
      </c>
      <c r="M128" s="133">
        <v>943.0</v>
      </c>
      <c r="N128" s="133">
        <v>1000.0</v>
      </c>
      <c r="O128" s="135">
        <v>9.71</v>
      </c>
      <c r="P128" s="135">
        <v>0.66</v>
      </c>
      <c r="Q128" s="135">
        <v>3.05</v>
      </c>
      <c r="R128" s="136" t="str">
        <f t="shared" si="1"/>
        <v>OptionStrat</v>
      </c>
      <c r="S128" s="132" t="s">
        <v>297</v>
      </c>
      <c r="T128" s="132" t="s">
        <v>181</v>
      </c>
      <c r="U128" s="138">
        <v>0.55</v>
      </c>
    </row>
    <row r="129">
      <c r="A129" s="125" t="s">
        <v>28</v>
      </c>
      <c r="B129" s="125" t="s">
        <v>169</v>
      </c>
      <c r="C129" s="126">
        <v>490.0</v>
      </c>
      <c r="D129" s="126">
        <v>600.0</v>
      </c>
      <c r="E129" s="126">
        <v>110.0</v>
      </c>
      <c r="F129" s="127">
        <v>26.3</v>
      </c>
      <c r="G129" s="127">
        <v>83.7</v>
      </c>
      <c r="H129" s="128">
        <v>3.18</v>
      </c>
      <c r="I129" s="127">
        <v>54.32</v>
      </c>
      <c r="J129" s="128">
        <v>2.07</v>
      </c>
      <c r="K129" s="128">
        <v>0.63</v>
      </c>
      <c r="L129" s="128">
        <v>0.54</v>
      </c>
      <c r="M129" s="126">
        <v>494.0</v>
      </c>
      <c r="N129" s="126">
        <v>1000.0</v>
      </c>
      <c r="O129" s="128">
        <v>7.03</v>
      </c>
      <c r="P129" s="128">
        <v>0.69</v>
      </c>
      <c r="Q129" s="128">
        <v>3.05</v>
      </c>
      <c r="R129" s="129" t="str">
        <f t="shared" si="1"/>
        <v>OptionStrat</v>
      </c>
      <c r="S129" s="125" t="s">
        <v>298</v>
      </c>
      <c r="T129" s="130"/>
      <c r="U129" s="131">
        <v>0.55</v>
      </c>
    </row>
    <row r="130">
      <c r="A130" s="132" t="s">
        <v>28</v>
      </c>
      <c r="B130" s="132" t="s">
        <v>171</v>
      </c>
      <c r="C130" s="133">
        <v>440.0</v>
      </c>
      <c r="D130" s="133">
        <v>540.0</v>
      </c>
      <c r="E130" s="133">
        <v>100.0</v>
      </c>
      <c r="F130" s="134">
        <v>27.27</v>
      </c>
      <c r="G130" s="134">
        <v>72.73</v>
      </c>
      <c r="H130" s="135">
        <v>2.67</v>
      </c>
      <c r="I130" s="134">
        <v>53.91</v>
      </c>
      <c r="J130" s="135">
        <v>1.98</v>
      </c>
      <c r="K130" s="135">
        <v>0.7</v>
      </c>
      <c r="L130" s="135">
        <v>0.62</v>
      </c>
      <c r="M130" s="133">
        <v>144.0</v>
      </c>
      <c r="N130" s="133">
        <v>58.0</v>
      </c>
      <c r="O130" s="135">
        <v>0.91</v>
      </c>
      <c r="P130" s="135">
        <v>0.31</v>
      </c>
      <c r="Q130" s="135">
        <v>3.04</v>
      </c>
      <c r="R130" s="136" t="str">
        <f t="shared" si="1"/>
        <v>OptionStrat</v>
      </c>
      <c r="S130" s="132" t="s">
        <v>299</v>
      </c>
      <c r="T130" s="132" t="s">
        <v>181</v>
      </c>
      <c r="U130" s="138">
        <v>0.55</v>
      </c>
    </row>
    <row r="131">
      <c r="A131" s="125" t="s">
        <v>28</v>
      </c>
      <c r="B131" s="125" t="s">
        <v>171</v>
      </c>
      <c r="C131" s="126">
        <v>450.0</v>
      </c>
      <c r="D131" s="126">
        <v>480.0</v>
      </c>
      <c r="E131" s="126">
        <v>30.0</v>
      </c>
      <c r="F131" s="127">
        <v>9.55</v>
      </c>
      <c r="G131" s="127">
        <v>20.45</v>
      </c>
      <c r="H131" s="128">
        <v>2.14</v>
      </c>
      <c r="I131" s="127">
        <v>15.06</v>
      </c>
      <c r="J131" s="128">
        <v>1.58</v>
      </c>
      <c r="K131" s="128">
        <v>0.69</v>
      </c>
      <c r="L131" s="128">
        <v>0.67</v>
      </c>
      <c r="M131" s="126">
        <v>759.0</v>
      </c>
      <c r="N131" s="126">
        <v>139.0</v>
      </c>
      <c r="O131" s="128">
        <v>3.25</v>
      </c>
      <c r="P131" s="128">
        <v>0.38</v>
      </c>
      <c r="Q131" s="128">
        <v>3.04</v>
      </c>
      <c r="R131" s="129" t="str">
        <f t="shared" si="1"/>
        <v>OptionStrat</v>
      </c>
      <c r="S131" s="125" t="s">
        <v>300</v>
      </c>
      <c r="T131" s="125" t="s">
        <v>181</v>
      </c>
      <c r="U131" s="131">
        <v>0.55</v>
      </c>
    </row>
    <row r="132">
      <c r="A132" s="132" t="s">
        <v>28</v>
      </c>
      <c r="B132" s="132" t="s">
        <v>171</v>
      </c>
      <c r="C132" s="133">
        <v>430.0</v>
      </c>
      <c r="D132" s="133">
        <v>540.0</v>
      </c>
      <c r="E132" s="133">
        <v>110.0</v>
      </c>
      <c r="F132" s="134">
        <v>30.72</v>
      </c>
      <c r="G132" s="134">
        <v>79.28</v>
      </c>
      <c r="H132" s="135">
        <v>2.58</v>
      </c>
      <c r="I132" s="134">
        <v>58.71</v>
      </c>
      <c r="J132" s="135">
        <v>1.91</v>
      </c>
      <c r="K132" s="135">
        <v>0.71</v>
      </c>
      <c r="L132" s="135">
        <v>0.62</v>
      </c>
      <c r="M132" s="133">
        <v>213.0</v>
      </c>
      <c r="N132" s="133">
        <v>58.0</v>
      </c>
      <c r="O132" s="135">
        <v>1.11</v>
      </c>
      <c r="P132" s="135">
        <v>0.28</v>
      </c>
      <c r="Q132" s="135">
        <v>3.03</v>
      </c>
      <c r="R132" s="136" t="str">
        <f t="shared" si="1"/>
        <v>OptionStrat</v>
      </c>
      <c r="S132" s="132" t="s">
        <v>301</v>
      </c>
      <c r="T132" s="137"/>
      <c r="U132" s="138">
        <v>0.55</v>
      </c>
    </row>
    <row r="133">
      <c r="A133" s="125" t="s">
        <v>28</v>
      </c>
      <c r="B133" s="125" t="s">
        <v>171</v>
      </c>
      <c r="C133" s="126">
        <v>450.0</v>
      </c>
      <c r="D133" s="126">
        <v>570.0</v>
      </c>
      <c r="E133" s="126">
        <v>120.0</v>
      </c>
      <c r="F133" s="127">
        <v>31.95</v>
      </c>
      <c r="G133" s="127">
        <v>88.05</v>
      </c>
      <c r="H133" s="128">
        <v>2.76</v>
      </c>
      <c r="I133" s="127">
        <v>65.32</v>
      </c>
      <c r="J133" s="128">
        <v>2.04</v>
      </c>
      <c r="K133" s="128">
        <v>0.69</v>
      </c>
      <c r="L133" s="128">
        <v>0.6</v>
      </c>
      <c r="M133" s="126">
        <v>759.0</v>
      </c>
      <c r="N133" s="126">
        <v>110.0</v>
      </c>
      <c r="O133" s="128">
        <v>2.89</v>
      </c>
      <c r="P133" s="128">
        <v>0.39</v>
      </c>
      <c r="Q133" s="128">
        <v>3.03</v>
      </c>
      <c r="R133" s="129" t="str">
        <f t="shared" si="1"/>
        <v>OptionStrat</v>
      </c>
      <c r="S133" s="125" t="s">
        <v>302</v>
      </c>
      <c r="T133" s="125" t="s">
        <v>181</v>
      </c>
      <c r="U133" s="131">
        <v>0.55</v>
      </c>
    </row>
    <row r="134">
      <c r="A134" s="132" t="s">
        <v>28</v>
      </c>
      <c r="B134" s="132" t="s">
        <v>171</v>
      </c>
      <c r="C134" s="133">
        <v>600.0</v>
      </c>
      <c r="D134" s="133">
        <v>650.0</v>
      </c>
      <c r="E134" s="133">
        <v>50.0</v>
      </c>
      <c r="F134" s="134">
        <v>9.45</v>
      </c>
      <c r="G134" s="134">
        <v>40.55</v>
      </c>
      <c r="H134" s="135">
        <v>4.29</v>
      </c>
      <c r="I134" s="134">
        <v>27.02</v>
      </c>
      <c r="J134" s="135">
        <v>2.86</v>
      </c>
      <c r="K134" s="135">
        <v>0.58</v>
      </c>
      <c r="L134" s="135">
        <v>0.54</v>
      </c>
      <c r="M134" s="133">
        <v>416.0</v>
      </c>
      <c r="N134" s="133">
        <v>220.0</v>
      </c>
      <c r="O134" s="135">
        <v>3.03</v>
      </c>
      <c r="P134" s="135">
        <v>0.32</v>
      </c>
      <c r="Q134" s="135">
        <v>3.03</v>
      </c>
      <c r="R134" s="136" t="str">
        <f t="shared" si="1"/>
        <v>OptionStrat</v>
      </c>
      <c r="S134" s="132" t="s">
        <v>303</v>
      </c>
      <c r="T134" s="132" t="s">
        <v>181</v>
      </c>
      <c r="U134" s="138">
        <v>0.55</v>
      </c>
    </row>
    <row r="135">
      <c r="A135" s="125" t="s">
        <v>28</v>
      </c>
      <c r="B135" s="125" t="s">
        <v>171</v>
      </c>
      <c r="C135" s="126">
        <v>380.0</v>
      </c>
      <c r="D135" s="126">
        <v>500.0</v>
      </c>
      <c r="E135" s="126">
        <v>120.0</v>
      </c>
      <c r="F135" s="127">
        <v>38.3</v>
      </c>
      <c r="G135" s="127">
        <v>81.7</v>
      </c>
      <c r="H135" s="128">
        <v>2.13</v>
      </c>
      <c r="I135" s="127">
        <v>60.18</v>
      </c>
      <c r="J135" s="128">
        <v>1.57</v>
      </c>
      <c r="K135" s="128">
        <v>0.75</v>
      </c>
      <c r="L135" s="128">
        <v>0.65</v>
      </c>
      <c r="M135" s="126">
        <v>97.0</v>
      </c>
      <c r="N135" s="126">
        <v>1214.0</v>
      </c>
      <c r="O135" s="128">
        <v>3.43</v>
      </c>
      <c r="P135" s="128">
        <v>0.28</v>
      </c>
      <c r="Q135" s="128">
        <v>3.02</v>
      </c>
      <c r="R135" s="129" t="str">
        <f t="shared" si="1"/>
        <v>OptionStrat</v>
      </c>
      <c r="S135" s="125" t="s">
        <v>304</v>
      </c>
      <c r="T135" s="130"/>
      <c r="U135" s="131">
        <v>0.55</v>
      </c>
    </row>
    <row r="136">
      <c r="A136" s="132" t="s">
        <v>28</v>
      </c>
      <c r="B136" s="132" t="s">
        <v>169</v>
      </c>
      <c r="C136" s="133">
        <v>460.0</v>
      </c>
      <c r="D136" s="133">
        <v>480.0</v>
      </c>
      <c r="E136" s="133">
        <v>20.0</v>
      </c>
      <c r="F136" s="134">
        <v>6.07</v>
      </c>
      <c r="G136" s="134">
        <v>13.93</v>
      </c>
      <c r="H136" s="135">
        <v>2.29</v>
      </c>
      <c r="I136" s="134">
        <v>10.28</v>
      </c>
      <c r="J136" s="135">
        <v>1.69</v>
      </c>
      <c r="K136" s="135">
        <v>0.66</v>
      </c>
      <c r="L136" s="135">
        <v>0.64</v>
      </c>
      <c r="M136" s="133">
        <v>419.0</v>
      </c>
      <c r="N136" s="133">
        <v>403.0</v>
      </c>
      <c r="O136" s="135">
        <v>4.11</v>
      </c>
      <c r="P136" s="135">
        <v>0.47</v>
      </c>
      <c r="Q136" s="135">
        <v>3.01</v>
      </c>
      <c r="R136" s="136" t="str">
        <f t="shared" si="1"/>
        <v>OptionStrat</v>
      </c>
      <c r="S136" s="132" t="s">
        <v>305</v>
      </c>
      <c r="T136" s="137"/>
      <c r="U136" s="138">
        <v>0.55</v>
      </c>
    </row>
    <row r="137">
      <c r="A137" s="125" t="s">
        <v>28</v>
      </c>
      <c r="B137" s="125" t="s">
        <v>169</v>
      </c>
      <c r="C137" s="126">
        <v>600.0</v>
      </c>
      <c r="D137" s="126">
        <v>650.0</v>
      </c>
      <c r="E137" s="126">
        <v>50.0</v>
      </c>
      <c r="F137" s="127">
        <v>9.43</v>
      </c>
      <c r="G137" s="127">
        <v>40.57</v>
      </c>
      <c r="H137" s="128">
        <v>4.3</v>
      </c>
      <c r="I137" s="127">
        <v>24.38</v>
      </c>
      <c r="J137" s="128">
        <v>2.59</v>
      </c>
      <c r="K137" s="128">
        <v>0.54</v>
      </c>
      <c r="L137" s="128">
        <v>0.5</v>
      </c>
      <c r="M137" s="126">
        <v>1000.0</v>
      </c>
      <c r="N137" s="126">
        <v>284.0</v>
      </c>
      <c r="O137" s="128">
        <v>5.33</v>
      </c>
      <c r="P137" s="128">
        <v>1.14</v>
      </c>
      <c r="Q137" s="128">
        <v>3.0</v>
      </c>
      <c r="R137" s="129" t="str">
        <f t="shared" si="1"/>
        <v>OptionStrat</v>
      </c>
      <c r="S137" s="125" t="s">
        <v>306</v>
      </c>
      <c r="T137" s="130"/>
      <c r="U137" s="131">
        <v>0.55</v>
      </c>
    </row>
    <row r="138">
      <c r="A138" s="132" t="s">
        <v>28</v>
      </c>
      <c r="B138" s="132" t="s">
        <v>171</v>
      </c>
      <c r="C138" s="133">
        <v>420.0</v>
      </c>
      <c r="D138" s="133">
        <v>550.0</v>
      </c>
      <c r="E138" s="133">
        <v>130.0</v>
      </c>
      <c r="F138" s="134">
        <v>36.27</v>
      </c>
      <c r="G138" s="134">
        <v>93.73</v>
      </c>
      <c r="H138" s="135">
        <v>2.58</v>
      </c>
      <c r="I138" s="134">
        <v>69.42</v>
      </c>
      <c r="J138" s="135">
        <v>1.91</v>
      </c>
      <c r="K138" s="135">
        <v>0.72</v>
      </c>
      <c r="L138" s="135">
        <v>0.61</v>
      </c>
      <c r="M138" s="133">
        <v>131.0</v>
      </c>
      <c r="N138" s="133">
        <v>78.0</v>
      </c>
      <c r="O138" s="135">
        <v>1.01</v>
      </c>
      <c r="P138" s="135">
        <v>0.28</v>
      </c>
      <c r="Q138" s="135">
        <v>3.0</v>
      </c>
      <c r="R138" s="136" t="str">
        <f t="shared" si="1"/>
        <v>OptionStrat</v>
      </c>
      <c r="S138" s="132" t="s">
        <v>307</v>
      </c>
      <c r="T138" s="137"/>
      <c r="U138" s="138">
        <v>0.55</v>
      </c>
    </row>
    <row r="139">
      <c r="A139" s="125" t="s">
        <v>28</v>
      </c>
      <c r="B139" s="125" t="s">
        <v>169</v>
      </c>
      <c r="C139" s="126">
        <v>660.0</v>
      </c>
      <c r="D139" s="126">
        <v>700.0</v>
      </c>
      <c r="E139" s="126">
        <v>40.0</v>
      </c>
      <c r="F139" s="127">
        <v>6.47</v>
      </c>
      <c r="G139" s="127">
        <v>33.53</v>
      </c>
      <c r="H139" s="128">
        <v>5.18</v>
      </c>
      <c r="I139" s="127">
        <v>18.61</v>
      </c>
      <c r="J139" s="128">
        <v>2.88</v>
      </c>
      <c r="K139" s="128">
        <v>0.5</v>
      </c>
      <c r="L139" s="128">
        <v>0.47</v>
      </c>
      <c r="M139" s="126">
        <v>129.0</v>
      </c>
      <c r="N139" s="126">
        <v>1080.0</v>
      </c>
      <c r="O139" s="128">
        <v>3.73</v>
      </c>
      <c r="P139" s="128">
        <v>1.21</v>
      </c>
      <c r="Q139" s="128">
        <v>2.99</v>
      </c>
      <c r="R139" s="129" t="str">
        <f t="shared" si="1"/>
        <v>OptionStrat</v>
      </c>
      <c r="S139" s="125" t="s">
        <v>308</v>
      </c>
      <c r="T139" s="130"/>
      <c r="U139" s="131">
        <v>0.55</v>
      </c>
    </row>
    <row r="140">
      <c r="A140" s="132" t="s">
        <v>28</v>
      </c>
      <c r="B140" s="132" t="s">
        <v>171</v>
      </c>
      <c r="C140" s="133">
        <v>400.0</v>
      </c>
      <c r="D140" s="133">
        <v>540.0</v>
      </c>
      <c r="E140" s="133">
        <v>140.0</v>
      </c>
      <c r="F140" s="134">
        <v>41.42</v>
      </c>
      <c r="G140" s="134">
        <v>98.58</v>
      </c>
      <c r="H140" s="135">
        <v>2.38</v>
      </c>
      <c r="I140" s="134">
        <v>72.85</v>
      </c>
      <c r="J140" s="135">
        <v>1.76</v>
      </c>
      <c r="K140" s="135">
        <v>0.74</v>
      </c>
      <c r="L140" s="135">
        <v>0.62</v>
      </c>
      <c r="M140" s="133">
        <v>369.0</v>
      </c>
      <c r="N140" s="133">
        <v>58.0</v>
      </c>
      <c r="O140" s="135">
        <v>1.46</v>
      </c>
      <c r="P140" s="135">
        <v>0.32</v>
      </c>
      <c r="Q140" s="135">
        <v>2.98</v>
      </c>
      <c r="R140" s="136" t="str">
        <f t="shared" si="1"/>
        <v>OptionStrat</v>
      </c>
      <c r="S140" s="132" t="s">
        <v>309</v>
      </c>
      <c r="T140" s="137"/>
      <c r="U140" s="138">
        <v>0.55</v>
      </c>
    </row>
    <row r="141">
      <c r="A141" s="125" t="s">
        <v>28</v>
      </c>
      <c r="B141" s="125" t="s">
        <v>171</v>
      </c>
      <c r="C141" s="126">
        <v>440.0</v>
      </c>
      <c r="D141" s="126">
        <v>520.0</v>
      </c>
      <c r="E141" s="126">
        <v>80.0</v>
      </c>
      <c r="F141" s="127">
        <v>22.4</v>
      </c>
      <c r="G141" s="127">
        <v>57.6</v>
      </c>
      <c r="H141" s="128">
        <v>2.57</v>
      </c>
      <c r="I141" s="127">
        <v>42.66</v>
      </c>
      <c r="J141" s="128">
        <v>1.9</v>
      </c>
      <c r="K141" s="128">
        <v>0.7</v>
      </c>
      <c r="L141" s="128">
        <v>0.64</v>
      </c>
      <c r="M141" s="126">
        <v>144.0</v>
      </c>
      <c r="N141" s="126">
        <v>82.0</v>
      </c>
      <c r="O141" s="128">
        <v>1.09</v>
      </c>
      <c r="P141" s="128">
        <v>0.3</v>
      </c>
      <c r="Q141" s="128">
        <v>2.98</v>
      </c>
      <c r="R141" s="129" t="str">
        <f t="shared" si="1"/>
        <v>OptionStrat</v>
      </c>
      <c r="S141" s="125" t="s">
        <v>310</v>
      </c>
      <c r="T141" s="125" t="s">
        <v>181</v>
      </c>
      <c r="U141" s="131">
        <v>0.55</v>
      </c>
    </row>
    <row r="142">
      <c r="A142" s="132" t="s">
        <v>28</v>
      </c>
      <c r="B142" s="132" t="s">
        <v>171</v>
      </c>
      <c r="C142" s="133">
        <v>490.0</v>
      </c>
      <c r="D142" s="133">
        <v>530.0</v>
      </c>
      <c r="E142" s="133">
        <v>40.0</v>
      </c>
      <c r="F142" s="134">
        <v>10.7</v>
      </c>
      <c r="G142" s="134">
        <v>29.3</v>
      </c>
      <c r="H142" s="135">
        <v>2.74</v>
      </c>
      <c r="I142" s="134">
        <v>21.73</v>
      </c>
      <c r="J142" s="135">
        <v>2.03</v>
      </c>
      <c r="K142" s="135">
        <v>0.66</v>
      </c>
      <c r="L142" s="135">
        <v>0.63</v>
      </c>
      <c r="M142" s="133">
        <v>93.0</v>
      </c>
      <c r="N142" s="133">
        <v>60.0</v>
      </c>
      <c r="O142" s="135">
        <v>0.75</v>
      </c>
      <c r="P142" s="135">
        <v>0.31</v>
      </c>
      <c r="Q142" s="135">
        <v>2.98</v>
      </c>
      <c r="R142" s="136" t="str">
        <f t="shared" si="1"/>
        <v>OptionStrat</v>
      </c>
      <c r="S142" s="132" t="s">
        <v>311</v>
      </c>
      <c r="T142" s="132" t="s">
        <v>181</v>
      </c>
      <c r="U142" s="138">
        <v>0.55</v>
      </c>
    </row>
    <row r="143">
      <c r="A143" s="125" t="s">
        <v>28</v>
      </c>
      <c r="B143" s="125" t="s">
        <v>169</v>
      </c>
      <c r="C143" s="126">
        <v>500.0</v>
      </c>
      <c r="D143" s="126">
        <v>630.0</v>
      </c>
      <c r="E143" s="126">
        <v>130.0</v>
      </c>
      <c r="F143" s="127">
        <v>29.27</v>
      </c>
      <c r="G143" s="127">
        <v>100.73</v>
      </c>
      <c r="H143" s="128">
        <v>3.44</v>
      </c>
      <c r="I143" s="127">
        <v>61.91</v>
      </c>
      <c r="J143" s="128">
        <v>2.12</v>
      </c>
      <c r="K143" s="128">
        <v>0.62</v>
      </c>
      <c r="L143" s="128">
        <v>0.52</v>
      </c>
      <c r="M143" s="126">
        <v>2065.0</v>
      </c>
      <c r="N143" s="126">
        <v>247.0</v>
      </c>
      <c r="O143" s="128">
        <v>7.14</v>
      </c>
      <c r="P143" s="128">
        <v>0.7</v>
      </c>
      <c r="Q143" s="128">
        <v>2.97</v>
      </c>
      <c r="R143" s="129" t="str">
        <f t="shared" si="1"/>
        <v>OptionStrat</v>
      </c>
      <c r="S143" s="125" t="s">
        <v>312</v>
      </c>
      <c r="T143" s="130"/>
      <c r="U143" s="131">
        <v>0.55</v>
      </c>
    </row>
    <row r="144">
      <c r="A144" s="132" t="s">
        <v>28</v>
      </c>
      <c r="B144" s="132" t="s">
        <v>169</v>
      </c>
      <c r="C144" s="133">
        <v>510.0</v>
      </c>
      <c r="D144" s="133">
        <v>600.0</v>
      </c>
      <c r="E144" s="133">
        <v>90.0</v>
      </c>
      <c r="F144" s="134">
        <v>20.8</v>
      </c>
      <c r="G144" s="134">
        <v>69.2</v>
      </c>
      <c r="H144" s="135">
        <v>3.33</v>
      </c>
      <c r="I144" s="134">
        <v>45.04</v>
      </c>
      <c r="J144" s="135">
        <v>2.17</v>
      </c>
      <c r="K144" s="135">
        <v>0.62</v>
      </c>
      <c r="L144" s="135">
        <v>0.54</v>
      </c>
      <c r="M144" s="133">
        <v>359.0</v>
      </c>
      <c r="N144" s="133">
        <v>1000.0</v>
      </c>
      <c r="O144" s="135">
        <v>5.99</v>
      </c>
      <c r="P144" s="135">
        <v>0.65</v>
      </c>
      <c r="Q144" s="135">
        <v>2.97</v>
      </c>
      <c r="R144" s="136" t="str">
        <f t="shared" si="1"/>
        <v>OptionStrat</v>
      </c>
      <c r="S144" s="132" t="s">
        <v>313</v>
      </c>
      <c r="T144" s="137"/>
      <c r="U144" s="138">
        <v>0.55</v>
      </c>
    </row>
    <row r="145">
      <c r="A145" s="125" t="s">
        <v>28</v>
      </c>
      <c r="B145" s="125" t="s">
        <v>171</v>
      </c>
      <c r="C145" s="126">
        <v>430.0</v>
      </c>
      <c r="D145" s="126">
        <v>520.0</v>
      </c>
      <c r="E145" s="126">
        <v>90.0</v>
      </c>
      <c r="F145" s="127">
        <v>25.85</v>
      </c>
      <c r="G145" s="127">
        <v>64.15</v>
      </c>
      <c r="H145" s="128">
        <v>2.48</v>
      </c>
      <c r="I145" s="127">
        <v>47.46</v>
      </c>
      <c r="J145" s="128">
        <v>1.84</v>
      </c>
      <c r="K145" s="128">
        <v>0.71</v>
      </c>
      <c r="L145" s="128">
        <v>0.64</v>
      </c>
      <c r="M145" s="126">
        <v>213.0</v>
      </c>
      <c r="N145" s="126">
        <v>82.0</v>
      </c>
      <c r="O145" s="128">
        <v>1.32</v>
      </c>
      <c r="P145" s="128">
        <v>0.28</v>
      </c>
      <c r="Q145" s="128">
        <v>2.97</v>
      </c>
      <c r="R145" s="129" t="str">
        <f t="shared" si="1"/>
        <v>OptionStrat</v>
      </c>
      <c r="S145" s="125" t="s">
        <v>314</v>
      </c>
      <c r="T145" s="130"/>
      <c r="U145" s="131">
        <v>0.55</v>
      </c>
    </row>
    <row r="146">
      <c r="A146" s="132" t="s">
        <v>28</v>
      </c>
      <c r="B146" s="132" t="s">
        <v>169</v>
      </c>
      <c r="C146" s="133">
        <v>600.0</v>
      </c>
      <c r="D146" s="133">
        <v>630.0</v>
      </c>
      <c r="E146" s="133">
        <v>30.0</v>
      </c>
      <c r="F146" s="134">
        <v>5.83</v>
      </c>
      <c r="G146" s="134">
        <v>24.17</v>
      </c>
      <c r="H146" s="135">
        <v>4.15</v>
      </c>
      <c r="I146" s="134">
        <v>15.06</v>
      </c>
      <c r="J146" s="135">
        <v>2.58</v>
      </c>
      <c r="K146" s="135">
        <v>0.54</v>
      </c>
      <c r="L146" s="135">
        <v>0.52</v>
      </c>
      <c r="M146" s="133">
        <v>1000.0</v>
      </c>
      <c r="N146" s="133">
        <v>247.0</v>
      </c>
      <c r="O146" s="135">
        <v>4.97</v>
      </c>
      <c r="P146" s="135">
        <v>1.14</v>
      </c>
      <c r="Q146" s="135">
        <v>2.96</v>
      </c>
      <c r="R146" s="136" t="str">
        <f t="shared" si="1"/>
        <v>OptionStrat</v>
      </c>
      <c r="S146" s="132" t="s">
        <v>315</v>
      </c>
      <c r="T146" s="137"/>
      <c r="U146" s="138">
        <v>0.55</v>
      </c>
    </row>
    <row r="147">
      <c r="A147" s="125" t="s">
        <v>28</v>
      </c>
      <c r="B147" s="125" t="s">
        <v>171</v>
      </c>
      <c r="C147" s="126">
        <v>460.0</v>
      </c>
      <c r="D147" s="126">
        <v>540.0</v>
      </c>
      <c r="E147" s="126">
        <v>80.0</v>
      </c>
      <c r="F147" s="127">
        <v>21.32</v>
      </c>
      <c r="G147" s="127">
        <v>58.68</v>
      </c>
      <c r="H147" s="128">
        <v>2.75</v>
      </c>
      <c r="I147" s="127">
        <v>43.53</v>
      </c>
      <c r="J147" s="128">
        <v>2.04</v>
      </c>
      <c r="K147" s="128">
        <v>0.68</v>
      </c>
      <c r="L147" s="128">
        <v>0.62</v>
      </c>
      <c r="M147" s="126">
        <v>90.0</v>
      </c>
      <c r="N147" s="126">
        <v>58.0</v>
      </c>
      <c r="O147" s="128">
        <v>0.72</v>
      </c>
      <c r="P147" s="128">
        <v>0.27</v>
      </c>
      <c r="Q147" s="128">
        <v>2.96</v>
      </c>
      <c r="R147" s="129" t="str">
        <f t="shared" si="1"/>
        <v>OptionStrat</v>
      </c>
      <c r="S147" s="125" t="s">
        <v>316</v>
      </c>
      <c r="T147" s="130"/>
      <c r="U147" s="131">
        <v>0.55</v>
      </c>
    </row>
    <row r="148">
      <c r="A148" s="132" t="s">
        <v>28</v>
      </c>
      <c r="B148" s="132" t="s">
        <v>169</v>
      </c>
      <c r="C148" s="133">
        <v>500.0</v>
      </c>
      <c r="D148" s="133">
        <v>650.0</v>
      </c>
      <c r="E148" s="133">
        <v>150.0</v>
      </c>
      <c r="F148" s="134">
        <v>32.88</v>
      </c>
      <c r="G148" s="134">
        <v>117.12</v>
      </c>
      <c r="H148" s="135">
        <v>3.56</v>
      </c>
      <c r="I148" s="134">
        <v>69.3</v>
      </c>
      <c r="J148" s="135">
        <v>2.11</v>
      </c>
      <c r="K148" s="135">
        <v>0.62</v>
      </c>
      <c r="L148" s="135">
        <v>0.5</v>
      </c>
      <c r="M148" s="133">
        <v>2065.0</v>
      </c>
      <c r="N148" s="133">
        <v>284.0</v>
      </c>
      <c r="O148" s="135">
        <v>7.66</v>
      </c>
      <c r="P148" s="135">
        <v>0.7</v>
      </c>
      <c r="Q148" s="135">
        <v>2.95</v>
      </c>
      <c r="R148" s="136" t="str">
        <f t="shared" si="1"/>
        <v>OptionStrat</v>
      </c>
      <c r="S148" s="132" t="s">
        <v>317</v>
      </c>
      <c r="T148" s="137"/>
      <c r="U148" s="138">
        <v>0.55</v>
      </c>
    </row>
    <row r="149">
      <c r="A149" s="125" t="s">
        <v>28</v>
      </c>
      <c r="B149" s="125" t="s">
        <v>169</v>
      </c>
      <c r="C149" s="126">
        <v>550.0</v>
      </c>
      <c r="D149" s="126">
        <v>700.0</v>
      </c>
      <c r="E149" s="126">
        <v>150.0</v>
      </c>
      <c r="F149" s="127">
        <v>28.63</v>
      </c>
      <c r="G149" s="127">
        <v>121.37</v>
      </c>
      <c r="H149" s="128">
        <v>4.24</v>
      </c>
      <c r="I149" s="127">
        <v>66.1</v>
      </c>
      <c r="J149" s="128">
        <v>2.31</v>
      </c>
      <c r="K149" s="128">
        <v>0.58</v>
      </c>
      <c r="L149" s="128">
        <v>0.47</v>
      </c>
      <c r="M149" s="126">
        <v>474.0</v>
      </c>
      <c r="N149" s="126">
        <v>1080.0</v>
      </c>
      <c r="O149" s="128">
        <v>7.15</v>
      </c>
      <c r="P149" s="128">
        <v>1.14</v>
      </c>
      <c r="Q149" s="128">
        <v>2.95</v>
      </c>
      <c r="R149" s="129" t="str">
        <f t="shared" si="1"/>
        <v>OptionStrat</v>
      </c>
      <c r="S149" s="125" t="s">
        <v>318</v>
      </c>
      <c r="T149" s="125" t="s">
        <v>181</v>
      </c>
      <c r="U149" s="131">
        <v>0.55</v>
      </c>
    </row>
    <row r="150">
      <c r="A150" s="132" t="s">
        <v>28</v>
      </c>
      <c r="B150" s="132" t="s">
        <v>171</v>
      </c>
      <c r="C150" s="133">
        <v>430.0</v>
      </c>
      <c r="D150" s="133">
        <v>530.0</v>
      </c>
      <c r="E150" s="133">
        <v>100.0</v>
      </c>
      <c r="F150" s="134">
        <v>28.65</v>
      </c>
      <c r="G150" s="134">
        <v>71.35</v>
      </c>
      <c r="H150" s="135">
        <v>2.49</v>
      </c>
      <c r="I150" s="134">
        <v>52.79</v>
      </c>
      <c r="J150" s="135">
        <v>1.84</v>
      </c>
      <c r="K150" s="135">
        <v>0.71</v>
      </c>
      <c r="L150" s="135">
        <v>0.63</v>
      </c>
      <c r="M150" s="133">
        <v>213.0</v>
      </c>
      <c r="N150" s="133">
        <v>60.0</v>
      </c>
      <c r="O150" s="135">
        <v>1.13</v>
      </c>
      <c r="P150" s="135">
        <v>0.32</v>
      </c>
      <c r="Q150" s="135">
        <v>2.95</v>
      </c>
      <c r="R150" s="136" t="str">
        <f t="shared" si="1"/>
        <v>OptionStrat</v>
      </c>
      <c r="S150" s="132" t="s">
        <v>319</v>
      </c>
      <c r="T150" s="137"/>
      <c r="U150" s="138">
        <v>0.55</v>
      </c>
    </row>
    <row r="151">
      <c r="A151" s="125" t="s">
        <v>28</v>
      </c>
      <c r="B151" s="125" t="s">
        <v>171</v>
      </c>
      <c r="C151" s="126">
        <v>440.0</v>
      </c>
      <c r="D151" s="126">
        <v>530.0</v>
      </c>
      <c r="E151" s="126">
        <v>90.0</v>
      </c>
      <c r="F151" s="127">
        <v>25.2</v>
      </c>
      <c r="G151" s="127">
        <v>64.8</v>
      </c>
      <c r="H151" s="128">
        <v>2.57</v>
      </c>
      <c r="I151" s="127">
        <v>47.99</v>
      </c>
      <c r="J151" s="128">
        <v>1.9</v>
      </c>
      <c r="K151" s="128">
        <v>0.7</v>
      </c>
      <c r="L151" s="128">
        <v>0.63</v>
      </c>
      <c r="M151" s="126">
        <v>144.0</v>
      </c>
      <c r="N151" s="126">
        <v>60.0</v>
      </c>
      <c r="O151" s="128">
        <v>0.93</v>
      </c>
      <c r="P151" s="128">
        <v>0.35</v>
      </c>
      <c r="Q151" s="128">
        <v>2.95</v>
      </c>
      <c r="R151" s="129" t="str">
        <f t="shared" si="1"/>
        <v>OptionStrat</v>
      </c>
      <c r="S151" s="125" t="s">
        <v>320</v>
      </c>
      <c r="T151" s="125" t="s">
        <v>181</v>
      </c>
      <c r="U151" s="131">
        <v>0.55</v>
      </c>
    </row>
    <row r="152">
      <c r="A152" s="132" t="s">
        <v>28</v>
      </c>
      <c r="B152" s="132" t="s">
        <v>169</v>
      </c>
      <c r="C152" s="133">
        <v>370.0</v>
      </c>
      <c r="D152" s="133">
        <v>500.0</v>
      </c>
      <c r="E152" s="133">
        <v>130.0</v>
      </c>
      <c r="F152" s="134">
        <v>44.22</v>
      </c>
      <c r="G152" s="134">
        <v>85.78</v>
      </c>
      <c r="H152" s="135">
        <v>1.94</v>
      </c>
      <c r="I152" s="134">
        <v>62.98</v>
      </c>
      <c r="J152" s="135">
        <v>1.42</v>
      </c>
      <c r="K152" s="135">
        <v>0.75</v>
      </c>
      <c r="L152" s="135">
        <v>0.62</v>
      </c>
      <c r="M152" s="133">
        <v>326.0</v>
      </c>
      <c r="N152" s="133">
        <v>2065.0</v>
      </c>
      <c r="O152" s="135">
        <v>8.2</v>
      </c>
      <c r="P152" s="135">
        <v>0.45</v>
      </c>
      <c r="Q152" s="135">
        <v>2.94</v>
      </c>
      <c r="R152" s="136" t="str">
        <f t="shared" si="1"/>
        <v>OptionStrat</v>
      </c>
      <c r="S152" s="132" t="s">
        <v>321</v>
      </c>
      <c r="T152" s="137"/>
      <c r="U152" s="138">
        <v>0.55</v>
      </c>
    </row>
    <row r="153">
      <c r="A153" s="125" t="s">
        <v>28</v>
      </c>
      <c r="B153" s="125" t="s">
        <v>169</v>
      </c>
      <c r="C153" s="126">
        <v>480.0</v>
      </c>
      <c r="D153" s="126">
        <v>600.0</v>
      </c>
      <c r="E153" s="126">
        <v>120.0</v>
      </c>
      <c r="F153" s="127">
        <v>29.15</v>
      </c>
      <c r="G153" s="127">
        <v>90.85</v>
      </c>
      <c r="H153" s="128">
        <v>3.12</v>
      </c>
      <c r="I153" s="127">
        <v>58.88</v>
      </c>
      <c r="J153" s="128">
        <v>2.02</v>
      </c>
      <c r="K153" s="128">
        <v>0.64</v>
      </c>
      <c r="L153" s="128">
        <v>0.54</v>
      </c>
      <c r="M153" s="126">
        <v>403.0</v>
      </c>
      <c r="N153" s="126">
        <v>1000.0</v>
      </c>
      <c r="O153" s="128">
        <v>6.35</v>
      </c>
      <c r="P153" s="128">
        <v>0.67</v>
      </c>
      <c r="Q153" s="128">
        <v>2.94</v>
      </c>
      <c r="R153" s="129" t="str">
        <f t="shared" si="1"/>
        <v>OptionStrat</v>
      </c>
      <c r="S153" s="125" t="s">
        <v>322</v>
      </c>
      <c r="T153" s="130"/>
      <c r="U153" s="131">
        <v>0.55</v>
      </c>
    </row>
    <row r="154">
      <c r="A154" s="132" t="s">
        <v>28</v>
      </c>
      <c r="B154" s="132" t="s">
        <v>169</v>
      </c>
      <c r="C154" s="133">
        <v>600.0</v>
      </c>
      <c r="D154" s="133">
        <v>640.0</v>
      </c>
      <c r="E154" s="133">
        <v>40.0</v>
      </c>
      <c r="F154" s="134">
        <v>7.63</v>
      </c>
      <c r="G154" s="134">
        <v>32.37</v>
      </c>
      <c r="H154" s="135">
        <v>4.24</v>
      </c>
      <c r="I154" s="134">
        <v>19.82</v>
      </c>
      <c r="J154" s="135">
        <v>2.6</v>
      </c>
      <c r="K154" s="135">
        <v>0.54</v>
      </c>
      <c r="L154" s="135">
        <v>0.51</v>
      </c>
      <c r="M154" s="133">
        <v>1000.0</v>
      </c>
      <c r="N154" s="133">
        <v>222.0</v>
      </c>
      <c r="O154" s="135">
        <v>4.71</v>
      </c>
      <c r="P154" s="135">
        <v>1.14</v>
      </c>
      <c r="Q154" s="135">
        <v>2.94</v>
      </c>
      <c r="R154" s="136" t="str">
        <f t="shared" si="1"/>
        <v>OptionStrat</v>
      </c>
      <c r="S154" s="132" t="s">
        <v>323</v>
      </c>
      <c r="T154" s="137"/>
      <c r="U154" s="138">
        <v>0.55</v>
      </c>
    </row>
    <row r="155">
      <c r="A155" s="125" t="s">
        <v>28</v>
      </c>
      <c r="B155" s="125" t="s">
        <v>169</v>
      </c>
      <c r="C155" s="126">
        <v>600.0</v>
      </c>
      <c r="D155" s="126">
        <v>670.0</v>
      </c>
      <c r="E155" s="126">
        <v>70.0</v>
      </c>
      <c r="F155" s="127">
        <v>12.85</v>
      </c>
      <c r="G155" s="127">
        <v>57.15</v>
      </c>
      <c r="H155" s="128">
        <v>4.45</v>
      </c>
      <c r="I155" s="127">
        <v>33.13</v>
      </c>
      <c r="J155" s="128">
        <v>2.58</v>
      </c>
      <c r="K155" s="128">
        <v>0.54</v>
      </c>
      <c r="L155" s="128">
        <v>0.49</v>
      </c>
      <c r="M155" s="126">
        <v>1000.0</v>
      </c>
      <c r="N155" s="126">
        <v>228.0</v>
      </c>
      <c r="O155" s="128">
        <v>4.77</v>
      </c>
      <c r="P155" s="128">
        <v>1.18</v>
      </c>
      <c r="Q155" s="128">
        <v>2.94</v>
      </c>
      <c r="R155" s="129" t="str">
        <f t="shared" si="1"/>
        <v>OptionStrat</v>
      </c>
      <c r="S155" s="125" t="s">
        <v>324</v>
      </c>
      <c r="T155" s="130"/>
      <c r="U155" s="131">
        <v>0.55</v>
      </c>
    </row>
    <row r="156">
      <c r="A156" s="132" t="s">
        <v>28</v>
      </c>
      <c r="B156" s="132" t="s">
        <v>169</v>
      </c>
      <c r="C156" s="133">
        <v>440.0</v>
      </c>
      <c r="D156" s="133">
        <v>540.0</v>
      </c>
      <c r="E156" s="133">
        <v>100.0</v>
      </c>
      <c r="F156" s="134">
        <v>28.3</v>
      </c>
      <c r="G156" s="134">
        <v>71.7</v>
      </c>
      <c r="H156" s="135">
        <v>2.53</v>
      </c>
      <c r="I156" s="134">
        <v>52.52</v>
      </c>
      <c r="J156" s="135">
        <v>1.86</v>
      </c>
      <c r="K156" s="135">
        <v>0.68</v>
      </c>
      <c r="L156" s="135">
        <v>0.59</v>
      </c>
      <c r="M156" s="133">
        <v>208.0</v>
      </c>
      <c r="N156" s="133">
        <v>116.0</v>
      </c>
      <c r="O156" s="135">
        <v>1.55</v>
      </c>
      <c r="P156" s="135">
        <v>0.61</v>
      </c>
      <c r="Q156" s="135">
        <v>2.93</v>
      </c>
      <c r="R156" s="136" t="str">
        <f t="shared" si="1"/>
        <v>OptionStrat</v>
      </c>
      <c r="S156" s="132" t="s">
        <v>325</v>
      </c>
      <c r="T156" s="137"/>
      <c r="U156" s="138">
        <v>0.55</v>
      </c>
    </row>
    <row r="157">
      <c r="A157" s="125" t="s">
        <v>28</v>
      </c>
      <c r="B157" s="125" t="s">
        <v>169</v>
      </c>
      <c r="C157" s="126">
        <v>550.0</v>
      </c>
      <c r="D157" s="126">
        <v>600.0</v>
      </c>
      <c r="E157" s="126">
        <v>50.0</v>
      </c>
      <c r="F157" s="127">
        <v>10.97</v>
      </c>
      <c r="G157" s="127">
        <v>39.03</v>
      </c>
      <c r="H157" s="128">
        <v>3.56</v>
      </c>
      <c r="I157" s="127">
        <v>25.5</v>
      </c>
      <c r="J157" s="128">
        <v>2.32</v>
      </c>
      <c r="K157" s="128">
        <v>0.58</v>
      </c>
      <c r="L157" s="128">
        <v>0.54</v>
      </c>
      <c r="M157" s="126">
        <v>474.0</v>
      </c>
      <c r="N157" s="126">
        <v>1000.0</v>
      </c>
      <c r="O157" s="128">
        <v>6.88</v>
      </c>
      <c r="P157" s="128">
        <v>1.08</v>
      </c>
      <c r="Q157" s="128">
        <v>2.93</v>
      </c>
      <c r="R157" s="129" t="str">
        <f t="shared" si="1"/>
        <v>OptionStrat</v>
      </c>
      <c r="S157" s="125" t="s">
        <v>326</v>
      </c>
      <c r="T157" s="125" t="s">
        <v>181</v>
      </c>
      <c r="U157" s="131">
        <v>0.55</v>
      </c>
    </row>
    <row r="158">
      <c r="A158" s="132" t="s">
        <v>28</v>
      </c>
      <c r="B158" s="132" t="s">
        <v>169</v>
      </c>
      <c r="C158" s="133">
        <v>600.0</v>
      </c>
      <c r="D158" s="133">
        <v>680.0</v>
      </c>
      <c r="E158" s="133">
        <v>80.0</v>
      </c>
      <c r="F158" s="134">
        <v>14.53</v>
      </c>
      <c r="G158" s="134">
        <v>65.47</v>
      </c>
      <c r="H158" s="135">
        <v>4.51</v>
      </c>
      <c r="I158" s="134">
        <v>37.28</v>
      </c>
      <c r="J158" s="135">
        <v>2.57</v>
      </c>
      <c r="K158" s="135">
        <v>0.54</v>
      </c>
      <c r="L158" s="135">
        <v>0.48</v>
      </c>
      <c r="M158" s="133">
        <v>1000.0</v>
      </c>
      <c r="N158" s="133">
        <v>245.0</v>
      </c>
      <c r="O158" s="135">
        <v>4.95</v>
      </c>
      <c r="P158" s="135">
        <v>1.14</v>
      </c>
      <c r="Q158" s="135">
        <v>2.93</v>
      </c>
      <c r="R158" s="136" t="str">
        <f t="shared" si="1"/>
        <v>OptionStrat</v>
      </c>
      <c r="S158" s="132" t="s">
        <v>327</v>
      </c>
      <c r="T158" s="137"/>
      <c r="U158" s="138">
        <v>0.55</v>
      </c>
    </row>
    <row r="159">
      <c r="A159" s="125" t="s">
        <v>28</v>
      </c>
      <c r="B159" s="125" t="s">
        <v>171</v>
      </c>
      <c r="C159" s="126">
        <v>470.0</v>
      </c>
      <c r="D159" s="126">
        <v>540.0</v>
      </c>
      <c r="E159" s="126">
        <v>70.0</v>
      </c>
      <c r="F159" s="127">
        <v>18.42</v>
      </c>
      <c r="G159" s="127">
        <v>51.58</v>
      </c>
      <c r="H159" s="128">
        <v>2.8</v>
      </c>
      <c r="I159" s="127">
        <v>38.28</v>
      </c>
      <c r="J159" s="128">
        <v>2.08</v>
      </c>
      <c r="K159" s="128">
        <v>0.68</v>
      </c>
      <c r="L159" s="128">
        <v>0.62</v>
      </c>
      <c r="M159" s="126">
        <v>68.0</v>
      </c>
      <c r="N159" s="126">
        <v>58.0</v>
      </c>
      <c r="O159" s="128">
        <v>0.63</v>
      </c>
      <c r="P159" s="128">
        <v>0.28</v>
      </c>
      <c r="Q159" s="128">
        <v>2.93</v>
      </c>
      <c r="R159" s="129" t="str">
        <f t="shared" si="1"/>
        <v>OptionStrat</v>
      </c>
      <c r="S159" s="125" t="s">
        <v>328</v>
      </c>
      <c r="T159" s="130"/>
      <c r="U159" s="131">
        <v>0.55</v>
      </c>
    </row>
    <row r="160">
      <c r="A160" s="132" t="s">
        <v>28</v>
      </c>
      <c r="B160" s="132" t="s">
        <v>169</v>
      </c>
      <c r="C160" s="133">
        <v>400.0</v>
      </c>
      <c r="D160" s="133">
        <v>480.0</v>
      </c>
      <c r="E160" s="133">
        <v>80.0</v>
      </c>
      <c r="F160" s="134">
        <v>26.67</v>
      </c>
      <c r="G160" s="134">
        <v>53.33</v>
      </c>
      <c r="H160" s="135">
        <v>2.0</v>
      </c>
      <c r="I160" s="134">
        <v>39.19</v>
      </c>
      <c r="J160" s="135">
        <v>1.47</v>
      </c>
      <c r="K160" s="135">
        <v>0.72</v>
      </c>
      <c r="L160" s="135">
        <v>0.64</v>
      </c>
      <c r="M160" s="133">
        <v>1326.0</v>
      </c>
      <c r="N160" s="133">
        <v>403.0</v>
      </c>
      <c r="O160" s="135">
        <v>7.31</v>
      </c>
      <c r="P160" s="135">
        <v>0.46</v>
      </c>
      <c r="Q160" s="135">
        <v>2.92</v>
      </c>
      <c r="R160" s="136" t="str">
        <f t="shared" si="1"/>
        <v>OptionStrat</v>
      </c>
      <c r="S160" s="132" t="s">
        <v>329</v>
      </c>
      <c r="T160" s="137"/>
      <c r="U160" s="138">
        <v>0.55</v>
      </c>
    </row>
    <row r="161">
      <c r="A161" s="125" t="s">
        <v>28</v>
      </c>
      <c r="B161" s="125" t="s">
        <v>169</v>
      </c>
      <c r="C161" s="126">
        <v>440.0</v>
      </c>
      <c r="D161" s="126">
        <v>520.0</v>
      </c>
      <c r="E161" s="126">
        <v>80.0</v>
      </c>
      <c r="F161" s="127">
        <v>23.52</v>
      </c>
      <c r="G161" s="127">
        <v>56.48</v>
      </c>
      <c r="H161" s="128">
        <v>2.4</v>
      </c>
      <c r="I161" s="127">
        <v>41.74</v>
      </c>
      <c r="J161" s="128">
        <v>1.77</v>
      </c>
      <c r="K161" s="128">
        <v>0.68</v>
      </c>
      <c r="L161" s="128">
        <v>0.61</v>
      </c>
      <c r="M161" s="126">
        <v>208.0</v>
      </c>
      <c r="N161" s="126">
        <v>281.0</v>
      </c>
      <c r="O161" s="128">
        <v>2.42</v>
      </c>
      <c r="P161" s="128">
        <v>0.45</v>
      </c>
      <c r="Q161" s="128">
        <v>2.92</v>
      </c>
      <c r="R161" s="129" t="str">
        <f t="shared" si="1"/>
        <v>OptionStrat</v>
      </c>
      <c r="S161" s="125" t="s">
        <v>330</v>
      </c>
      <c r="T161" s="130"/>
      <c r="U161" s="131">
        <v>0.55</v>
      </c>
    </row>
    <row r="162">
      <c r="A162" s="132" t="s">
        <v>28</v>
      </c>
      <c r="B162" s="132" t="s">
        <v>169</v>
      </c>
      <c r="C162" s="133">
        <v>500.0</v>
      </c>
      <c r="D162" s="133">
        <v>640.0</v>
      </c>
      <c r="E162" s="133">
        <v>140.0</v>
      </c>
      <c r="F162" s="134">
        <v>31.07</v>
      </c>
      <c r="G162" s="134">
        <v>108.93</v>
      </c>
      <c r="H162" s="135">
        <v>3.51</v>
      </c>
      <c r="I162" s="134">
        <v>65.69</v>
      </c>
      <c r="J162" s="135">
        <v>2.11</v>
      </c>
      <c r="K162" s="135">
        <v>0.62</v>
      </c>
      <c r="L162" s="135">
        <v>0.51</v>
      </c>
      <c r="M162" s="133">
        <v>2065.0</v>
      </c>
      <c r="N162" s="133">
        <v>222.0</v>
      </c>
      <c r="O162" s="135">
        <v>6.77</v>
      </c>
      <c r="P162" s="135">
        <v>0.7</v>
      </c>
      <c r="Q162" s="135">
        <v>2.91</v>
      </c>
      <c r="R162" s="136" t="str">
        <f t="shared" si="1"/>
        <v>OptionStrat</v>
      </c>
      <c r="S162" s="132" t="s">
        <v>331</v>
      </c>
      <c r="T162" s="137"/>
      <c r="U162" s="138">
        <v>0.55</v>
      </c>
    </row>
    <row r="163">
      <c r="A163" s="125" t="s">
        <v>28</v>
      </c>
      <c r="B163" s="125" t="s">
        <v>171</v>
      </c>
      <c r="C163" s="126">
        <v>400.0</v>
      </c>
      <c r="D163" s="126">
        <v>520.0</v>
      </c>
      <c r="E163" s="126">
        <v>120.0</v>
      </c>
      <c r="F163" s="127">
        <v>36.55</v>
      </c>
      <c r="G163" s="127">
        <v>83.45</v>
      </c>
      <c r="H163" s="128">
        <v>2.28</v>
      </c>
      <c r="I163" s="127">
        <v>61.59</v>
      </c>
      <c r="J163" s="128">
        <v>1.69</v>
      </c>
      <c r="K163" s="128">
        <v>0.74</v>
      </c>
      <c r="L163" s="128">
        <v>0.64</v>
      </c>
      <c r="M163" s="126">
        <v>369.0</v>
      </c>
      <c r="N163" s="126">
        <v>82.0</v>
      </c>
      <c r="O163" s="128">
        <v>1.74</v>
      </c>
      <c r="P163" s="128">
        <v>0.32</v>
      </c>
      <c r="Q163" s="128">
        <v>2.91</v>
      </c>
      <c r="R163" s="129" t="str">
        <f t="shared" si="1"/>
        <v>OptionStrat</v>
      </c>
      <c r="S163" s="125" t="s">
        <v>332</v>
      </c>
      <c r="T163" s="130"/>
      <c r="U163" s="131">
        <v>0.55</v>
      </c>
    </row>
    <row r="164">
      <c r="A164" s="132" t="s">
        <v>28</v>
      </c>
      <c r="B164" s="132" t="s">
        <v>171</v>
      </c>
      <c r="C164" s="133">
        <v>400.0</v>
      </c>
      <c r="D164" s="133">
        <v>530.0</v>
      </c>
      <c r="E164" s="133">
        <v>130.0</v>
      </c>
      <c r="F164" s="134">
        <v>39.35</v>
      </c>
      <c r="G164" s="134">
        <v>90.65</v>
      </c>
      <c r="H164" s="135">
        <v>2.3</v>
      </c>
      <c r="I164" s="134">
        <v>66.93</v>
      </c>
      <c r="J164" s="135">
        <v>1.7</v>
      </c>
      <c r="K164" s="135">
        <v>0.74</v>
      </c>
      <c r="L164" s="135">
        <v>0.63</v>
      </c>
      <c r="M164" s="133">
        <v>369.0</v>
      </c>
      <c r="N164" s="133">
        <v>60.0</v>
      </c>
      <c r="O164" s="135">
        <v>1.49</v>
      </c>
      <c r="P164" s="135">
        <v>0.37</v>
      </c>
      <c r="Q164" s="135">
        <v>2.91</v>
      </c>
      <c r="R164" s="136" t="str">
        <f t="shared" si="1"/>
        <v>OptionStrat</v>
      </c>
      <c r="S164" s="132" t="s">
        <v>333</v>
      </c>
      <c r="T164" s="137"/>
      <c r="U164" s="138">
        <v>0.55</v>
      </c>
    </row>
    <row r="165">
      <c r="A165" s="125" t="s">
        <v>28</v>
      </c>
      <c r="B165" s="125" t="s">
        <v>171</v>
      </c>
      <c r="C165" s="126">
        <v>480.0</v>
      </c>
      <c r="D165" s="126">
        <v>600.0</v>
      </c>
      <c r="E165" s="126">
        <v>120.0</v>
      </c>
      <c r="F165" s="127">
        <v>28.7</v>
      </c>
      <c r="G165" s="127">
        <v>91.3</v>
      </c>
      <c r="H165" s="128">
        <v>3.18</v>
      </c>
      <c r="I165" s="127">
        <v>65.26</v>
      </c>
      <c r="J165" s="128">
        <v>2.27</v>
      </c>
      <c r="K165" s="128">
        <v>0.67</v>
      </c>
      <c r="L165" s="128">
        <v>0.58</v>
      </c>
      <c r="M165" s="126">
        <v>139.0</v>
      </c>
      <c r="N165" s="126">
        <v>416.0</v>
      </c>
      <c r="O165" s="128">
        <v>2.4</v>
      </c>
      <c r="P165" s="128">
        <v>0.29</v>
      </c>
      <c r="Q165" s="128">
        <v>2.91</v>
      </c>
      <c r="R165" s="129" t="str">
        <f t="shared" si="1"/>
        <v>OptionStrat</v>
      </c>
      <c r="S165" s="125" t="s">
        <v>334</v>
      </c>
      <c r="T165" s="130"/>
      <c r="U165" s="131">
        <v>0.55</v>
      </c>
    </row>
    <row r="166">
      <c r="A166" s="132" t="s">
        <v>28</v>
      </c>
      <c r="B166" s="132" t="s">
        <v>169</v>
      </c>
      <c r="C166" s="133">
        <v>440.0</v>
      </c>
      <c r="D166" s="133">
        <v>510.0</v>
      </c>
      <c r="E166" s="133">
        <v>70.0</v>
      </c>
      <c r="F166" s="134">
        <v>20.9</v>
      </c>
      <c r="G166" s="134">
        <v>49.1</v>
      </c>
      <c r="H166" s="135">
        <v>2.35</v>
      </c>
      <c r="I166" s="134">
        <v>36.27</v>
      </c>
      <c r="J166" s="135">
        <v>1.74</v>
      </c>
      <c r="K166" s="135">
        <v>0.68</v>
      </c>
      <c r="L166" s="135">
        <v>0.62</v>
      </c>
      <c r="M166" s="133">
        <v>208.0</v>
      </c>
      <c r="N166" s="133">
        <v>359.0</v>
      </c>
      <c r="O166" s="135">
        <v>2.73</v>
      </c>
      <c r="P166" s="135">
        <v>0.44</v>
      </c>
      <c r="Q166" s="135">
        <v>2.9</v>
      </c>
      <c r="R166" s="136" t="str">
        <f t="shared" si="1"/>
        <v>OptionStrat</v>
      </c>
      <c r="S166" s="132" t="s">
        <v>335</v>
      </c>
      <c r="T166" s="137"/>
      <c r="U166" s="138">
        <v>0.55</v>
      </c>
    </row>
    <row r="167">
      <c r="A167" s="125" t="s">
        <v>28</v>
      </c>
      <c r="B167" s="125" t="s">
        <v>169</v>
      </c>
      <c r="C167" s="126">
        <v>520.0</v>
      </c>
      <c r="D167" s="126">
        <v>600.0</v>
      </c>
      <c r="E167" s="126">
        <v>80.0</v>
      </c>
      <c r="F167" s="127">
        <v>18.17</v>
      </c>
      <c r="G167" s="127">
        <v>61.83</v>
      </c>
      <c r="H167" s="128">
        <v>3.4</v>
      </c>
      <c r="I167" s="127">
        <v>40.29</v>
      </c>
      <c r="J167" s="128">
        <v>2.22</v>
      </c>
      <c r="K167" s="128">
        <v>0.61</v>
      </c>
      <c r="L167" s="128">
        <v>0.54</v>
      </c>
      <c r="M167" s="126">
        <v>281.0</v>
      </c>
      <c r="N167" s="126">
        <v>1000.0</v>
      </c>
      <c r="O167" s="128">
        <v>5.3</v>
      </c>
      <c r="P167" s="128">
        <v>0.66</v>
      </c>
      <c r="Q167" s="128">
        <v>2.9</v>
      </c>
      <c r="R167" s="129" t="str">
        <f t="shared" si="1"/>
        <v>OptionStrat</v>
      </c>
      <c r="S167" s="125" t="s">
        <v>336</v>
      </c>
      <c r="T167" s="130"/>
      <c r="U167" s="131">
        <v>0.55</v>
      </c>
    </row>
    <row r="168">
      <c r="A168" s="132" t="s">
        <v>28</v>
      </c>
      <c r="B168" s="132" t="s">
        <v>169</v>
      </c>
      <c r="C168" s="133">
        <v>580.0</v>
      </c>
      <c r="D168" s="133">
        <v>700.0</v>
      </c>
      <c r="E168" s="133">
        <v>120.0</v>
      </c>
      <c r="F168" s="134">
        <v>21.92</v>
      </c>
      <c r="G168" s="134">
        <v>98.08</v>
      </c>
      <c r="H168" s="135">
        <v>4.47</v>
      </c>
      <c r="I168" s="134">
        <v>53.71</v>
      </c>
      <c r="J168" s="135">
        <v>2.45</v>
      </c>
      <c r="K168" s="135">
        <v>0.56</v>
      </c>
      <c r="L168" s="135">
        <v>0.47</v>
      </c>
      <c r="M168" s="133">
        <v>263.0</v>
      </c>
      <c r="N168" s="133">
        <v>1080.0</v>
      </c>
      <c r="O168" s="135">
        <v>5.33</v>
      </c>
      <c r="P168" s="135">
        <v>1.21</v>
      </c>
      <c r="Q168" s="135">
        <v>2.9</v>
      </c>
      <c r="R168" s="136" t="str">
        <f t="shared" si="1"/>
        <v>OptionStrat</v>
      </c>
      <c r="S168" s="132" t="s">
        <v>337</v>
      </c>
      <c r="T168" s="137"/>
      <c r="U168" s="138">
        <v>0.55</v>
      </c>
    </row>
    <row r="169">
      <c r="A169" s="125" t="s">
        <v>28</v>
      </c>
      <c r="B169" s="125" t="s">
        <v>171</v>
      </c>
      <c r="C169" s="126">
        <v>390.0</v>
      </c>
      <c r="D169" s="126">
        <v>500.0</v>
      </c>
      <c r="E169" s="126">
        <v>110.0</v>
      </c>
      <c r="F169" s="127">
        <v>34.45</v>
      </c>
      <c r="G169" s="127">
        <v>75.55</v>
      </c>
      <c r="H169" s="128">
        <v>2.19</v>
      </c>
      <c r="I169" s="127">
        <v>55.7</v>
      </c>
      <c r="J169" s="128">
        <v>1.62</v>
      </c>
      <c r="K169" s="128">
        <v>0.75</v>
      </c>
      <c r="L169" s="128">
        <v>0.65</v>
      </c>
      <c r="M169" s="126">
        <v>48.0</v>
      </c>
      <c r="N169" s="126">
        <v>1214.0</v>
      </c>
      <c r="O169" s="128">
        <v>2.41</v>
      </c>
      <c r="P169" s="128">
        <v>0.28</v>
      </c>
      <c r="Q169" s="128">
        <v>2.9</v>
      </c>
      <c r="R169" s="129" t="str">
        <f t="shared" si="1"/>
        <v>OptionStrat</v>
      </c>
      <c r="S169" s="125" t="s">
        <v>338</v>
      </c>
      <c r="T169" s="130"/>
      <c r="U169" s="131">
        <v>0.55</v>
      </c>
    </row>
    <row r="170">
      <c r="A170" s="132" t="s">
        <v>28</v>
      </c>
      <c r="B170" s="132" t="s">
        <v>171</v>
      </c>
      <c r="C170" s="133">
        <v>460.0</v>
      </c>
      <c r="D170" s="133">
        <v>520.0</v>
      </c>
      <c r="E170" s="133">
        <v>60.0</v>
      </c>
      <c r="F170" s="134">
        <v>16.45</v>
      </c>
      <c r="G170" s="134">
        <v>43.55</v>
      </c>
      <c r="H170" s="135">
        <v>2.65</v>
      </c>
      <c r="I170" s="134">
        <v>32.28</v>
      </c>
      <c r="J170" s="135">
        <v>1.96</v>
      </c>
      <c r="K170" s="135">
        <v>0.68</v>
      </c>
      <c r="L170" s="135">
        <v>0.64</v>
      </c>
      <c r="M170" s="133">
        <v>90.0</v>
      </c>
      <c r="N170" s="133">
        <v>82.0</v>
      </c>
      <c r="O170" s="135">
        <v>0.86</v>
      </c>
      <c r="P170" s="135">
        <v>0.27</v>
      </c>
      <c r="Q170" s="135">
        <v>2.9</v>
      </c>
      <c r="R170" s="136" t="str">
        <f t="shared" si="1"/>
        <v>OptionStrat</v>
      </c>
      <c r="S170" s="132" t="s">
        <v>339</v>
      </c>
      <c r="T170" s="137"/>
      <c r="U170" s="138">
        <v>0.55</v>
      </c>
    </row>
    <row r="171">
      <c r="A171" s="125" t="s">
        <v>28</v>
      </c>
      <c r="B171" s="125" t="s">
        <v>169</v>
      </c>
      <c r="C171" s="126">
        <v>420.0</v>
      </c>
      <c r="D171" s="126">
        <v>540.0</v>
      </c>
      <c r="E171" s="126">
        <v>120.0</v>
      </c>
      <c r="F171" s="127">
        <v>35.13</v>
      </c>
      <c r="G171" s="127">
        <v>84.87</v>
      </c>
      <c r="H171" s="128">
        <v>2.42</v>
      </c>
      <c r="I171" s="127">
        <v>62.08</v>
      </c>
      <c r="J171" s="128">
        <v>1.77</v>
      </c>
      <c r="K171" s="128">
        <v>0.7</v>
      </c>
      <c r="L171" s="128">
        <v>0.59</v>
      </c>
      <c r="M171" s="126">
        <v>290.0</v>
      </c>
      <c r="N171" s="126">
        <v>116.0</v>
      </c>
      <c r="O171" s="128">
        <v>1.83</v>
      </c>
      <c r="P171" s="128">
        <v>0.62</v>
      </c>
      <c r="Q171" s="128">
        <v>2.89</v>
      </c>
      <c r="R171" s="129" t="str">
        <f t="shared" si="1"/>
        <v>OptionStrat</v>
      </c>
      <c r="S171" s="125" t="s">
        <v>340</v>
      </c>
      <c r="T171" s="130"/>
      <c r="U171" s="131">
        <v>0.55</v>
      </c>
    </row>
    <row r="172">
      <c r="A172" s="132" t="s">
        <v>28</v>
      </c>
      <c r="B172" s="132" t="s">
        <v>169</v>
      </c>
      <c r="C172" s="133">
        <v>430.0</v>
      </c>
      <c r="D172" s="133">
        <v>520.0</v>
      </c>
      <c r="E172" s="133">
        <v>90.0</v>
      </c>
      <c r="F172" s="134">
        <v>26.85</v>
      </c>
      <c r="G172" s="134">
        <v>63.15</v>
      </c>
      <c r="H172" s="135">
        <v>2.35</v>
      </c>
      <c r="I172" s="134">
        <v>46.65</v>
      </c>
      <c r="J172" s="135">
        <v>1.74</v>
      </c>
      <c r="K172" s="135">
        <v>0.69</v>
      </c>
      <c r="L172" s="135">
        <v>0.61</v>
      </c>
      <c r="M172" s="133">
        <v>230.0</v>
      </c>
      <c r="N172" s="133">
        <v>281.0</v>
      </c>
      <c r="O172" s="135">
        <v>2.54</v>
      </c>
      <c r="P172" s="135">
        <v>0.45</v>
      </c>
      <c r="Q172" s="135">
        <v>2.89</v>
      </c>
      <c r="R172" s="136" t="str">
        <f t="shared" si="1"/>
        <v>OptionStrat</v>
      </c>
      <c r="S172" s="132" t="s">
        <v>341</v>
      </c>
      <c r="T172" s="137"/>
      <c r="U172" s="138">
        <v>0.55</v>
      </c>
    </row>
    <row r="173">
      <c r="A173" s="125" t="s">
        <v>28</v>
      </c>
      <c r="B173" s="125" t="s">
        <v>169</v>
      </c>
      <c r="C173" s="126">
        <v>430.0</v>
      </c>
      <c r="D173" s="126">
        <v>540.0</v>
      </c>
      <c r="E173" s="126">
        <v>110.0</v>
      </c>
      <c r="F173" s="127">
        <v>31.63</v>
      </c>
      <c r="G173" s="127">
        <v>78.37</v>
      </c>
      <c r="H173" s="128">
        <v>2.48</v>
      </c>
      <c r="I173" s="127">
        <v>57.37</v>
      </c>
      <c r="J173" s="128">
        <v>1.81</v>
      </c>
      <c r="K173" s="128">
        <v>0.69</v>
      </c>
      <c r="L173" s="128">
        <v>0.59</v>
      </c>
      <c r="M173" s="126">
        <v>230.0</v>
      </c>
      <c r="N173" s="126">
        <v>116.0</v>
      </c>
      <c r="O173" s="128">
        <v>1.63</v>
      </c>
      <c r="P173" s="128">
        <v>0.62</v>
      </c>
      <c r="Q173" s="128">
        <v>2.89</v>
      </c>
      <c r="R173" s="129" t="str">
        <f t="shared" si="1"/>
        <v>OptionStrat</v>
      </c>
      <c r="S173" s="125" t="s">
        <v>342</v>
      </c>
      <c r="T173" s="130"/>
      <c r="U173" s="131">
        <v>0.55</v>
      </c>
    </row>
    <row r="174">
      <c r="A174" s="132" t="s">
        <v>28</v>
      </c>
      <c r="B174" s="132" t="s">
        <v>169</v>
      </c>
      <c r="C174" s="133">
        <v>620.0</v>
      </c>
      <c r="D174" s="133">
        <v>690.0</v>
      </c>
      <c r="E174" s="133">
        <v>70.0</v>
      </c>
      <c r="F174" s="134">
        <v>12.15</v>
      </c>
      <c r="G174" s="134">
        <v>57.85</v>
      </c>
      <c r="H174" s="135">
        <v>4.76</v>
      </c>
      <c r="I174" s="134">
        <v>32.48</v>
      </c>
      <c r="J174" s="135">
        <v>2.67</v>
      </c>
      <c r="K174" s="135">
        <v>0.53</v>
      </c>
      <c r="L174" s="135">
        <v>0.48</v>
      </c>
      <c r="M174" s="133">
        <v>426.0</v>
      </c>
      <c r="N174" s="133">
        <v>370.0</v>
      </c>
      <c r="O174" s="135">
        <v>3.97</v>
      </c>
      <c r="P174" s="135">
        <v>1.18</v>
      </c>
      <c r="Q174" s="135">
        <v>2.89</v>
      </c>
      <c r="R174" s="136" t="str">
        <f t="shared" si="1"/>
        <v>OptionStrat</v>
      </c>
      <c r="S174" s="132" t="s">
        <v>343</v>
      </c>
      <c r="T174" s="137"/>
      <c r="U174" s="138">
        <v>0.55</v>
      </c>
    </row>
    <row r="175">
      <c r="A175" s="125" t="s">
        <v>28</v>
      </c>
      <c r="B175" s="125" t="s">
        <v>171</v>
      </c>
      <c r="C175" s="126">
        <v>480.0</v>
      </c>
      <c r="D175" s="126">
        <v>510.0</v>
      </c>
      <c r="E175" s="126">
        <v>30.0</v>
      </c>
      <c r="F175" s="127">
        <v>8.1</v>
      </c>
      <c r="G175" s="127">
        <v>21.9</v>
      </c>
      <c r="H175" s="128">
        <v>2.7</v>
      </c>
      <c r="I175" s="127">
        <v>16.24</v>
      </c>
      <c r="J175" s="128">
        <v>2.0</v>
      </c>
      <c r="K175" s="128">
        <v>0.67</v>
      </c>
      <c r="L175" s="128">
        <v>0.64</v>
      </c>
      <c r="M175" s="126">
        <v>139.0</v>
      </c>
      <c r="N175" s="126">
        <v>45.0</v>
      </c>
      <c r="O175" s="128">
        <v>0.79</v>
      </c>
      <c r="P175" s="128">
        <v>0.27</v>
      </c>
      <c r="Q175" s="128">
        <v>2.89</v>
      </c>
      <c r="R175" s="129" t="str">
        <f t="shared" si="1"/>
        <v>OptionStrat</v>
      </c>
      <c r="S175" s="125" t="s">
        <v>344</v>
      </c>
      <c r="T175" s="130"/>
      <c r="U175" s="131">
        <v>0.55</v>
      </c>
    </row>
    <row r="176">
      <c r="A176" s="132" t="s">
        <v>28</v>
      </c>
      <c r="B176" s="132" t="s">
        <v>169</v>
      </c>
      <c r="C176" s="133">
        <v>400.0</v>
      </c>
      <c r="D176" s="133">
        <v>450.0</v>
      </c>
      <c r="E176" s="133">
        <v>50.0</v>
      </c>
      <c r="F176" s="134">
        <v>17.45</v>
      </c>
      <c r="G176" s="134">
        <v>32.55</v>
      </c>
      <c r="H176" s="135">
        <v>1.87</v>
      </c>
      <c r="I176" s="134">
        <v>23.87</v>
      </c>
      <c r="J176" s="135">
        <v>1.37</v>
      </c>
      <c r="K176" s="135">
        <v>0.72</v>
      </c>
      <c r="L176" s="135">
        <v>0.67</v>
      </c>
      <c r="M176" s="133">
        <v>1326.0</v>
      </c>
      <c r="N176" s="133">
        <v>943.0</v>
      </c>
      <c r="O176" s="135">
        <v>11.18</v>
      </c>
      <c r="P176" s="135">
        <v>0.45</v>
      </c>
      <c r="Q176" s="135">
        <v>2.88</v>
      </c>
      <c r="R176" s="136" t="str">
        <f t="shared" si="1"/>
        <v>OptionStrat</v>
      </c>
      <c r="S176" s="132" t="s">
        <v>345</v>
      </c>
      <c r="T176" s="137"/>
      <c r="U176" s="138">
        <v>0.55</v>
      </c>
    </row>
    <row r="177">
      <c r="A177" s="125" t="s">
        <v>28</v>
      </c>
      <c r="B177" s="125" t="s">
        <v>169</v>
      </c>
      <c r="C177" s="126">
        <v>420.0</v>
      </c>
      <c r="D177" s="126">
        <v>520.0</v>
      </c>
      <c r="E177" s="126">
        <v>100.0</v>
      </c>
      <c r="F177" s="127">
        <v>30.35</v>
      </c>
      <c r="G177" s="127">
        <v>69.65</v>
      </c>
      <c r="H177" s="128">
        <v>2.29</v>
      </c>
      <c r="I177" s="127">
        <v>51.42</v>
      </c>
      <c r="J177" s="128">
        <v>1.69</v>
      </c>
      <c r="K177" s="128">
        <v>0.7</v>
      </c>
      <c r="L177" s="128">
        <v>0.61</v>
      </c>
      <c r="M177" s="126">
        <v>290.0</v>
      </c>
      <c r="N177" s="126">
        <v>281.0</v>
      </c>
      <c r="O177" s="128">
        <v>2.85</v>
      </c>
      <c r="P177" s="128">
        <v>0.45</v>
      </c>
      <c r="Q177" s="128">
        <v>2.88</v>
      </c>
      <c r="R177" s="129" t="str">
        <f t="shared" si="1"/>
        <v>OptionStrat</v>
      </c>
      <c r="S177" s="125" t="s">
        <v>346</v>
      </c>
      <c r="T177" s="130"/>
      <c r="U177" s="131">
        <v>0.55</v>
      </c>
    </row>
    <row r="178">
      <c r="A178" s="132" t="s">
        <v>28</v>
      </c>
      <c r="B178" s="132" t="s">
        <v>169</v>
      </c>
      <c r="C178" s="133">
        <v>440.0</v>
      </c>
      <c r="D178" s="133">
        <v>530.0</v>
      </c>
      <c r="E178" s="133">
        <v>90.0</v>
      </c>
      <c r="F178" s="134">
        <v>26.05</v>
      </c>
      <c r="G178" s="134">
        <v>63.95</v>
      </c>
      <c r="H178" s="135">
        <v>2.45</v>
      </c>
      <c r="I178" s="134">
        <v>47.3</v>
      </c>
      <c r="J178" s="135">
        <v>1.82</v>
      </c>
      <c r="K178" s="135">
        <v>0.68</v>
      </c>
      <c r="L178" s="135">
        <v>0.6</v>
      </c>
      <c r="M178" s="133">
        <v>208.0</v>
      </c>
      <c r="N178" s="133">
        <v>171.0</v>
      </c>
      <c r="O178" s="135">
        <v>1.89</v>
      </c>
      <c r="P178" s="135">
        <v>0.47</v>
      </c>
      <c r="Q178" s="135">
        <v>2.88</v>
      </c>
      <c r="R178" s="136" t="str">
        <f t="shared" si="1"/>
        <v>OptionStrat</v>
      </c>
      <c r="S178" s="132" t="s">
        <v>347</v>
      </c>
      <c r="T178" s="137"/>
      <c r="U178" s="138">
        <v>0.55</v>
      </c>
    </row>
    <row r="179">
      <c r="A179" s="125" t="s">
        <v>28</v>
      </c>
      <c r="B179" s="125" t="s">
        <v>171</v>
      </c>
      <c r="C179" s="126">
        <v>500.0</v>
      </c>
      <c r="D179" s="126">
        <v>560.0</v>
      </c>
      <c r="E179" s="126">
        <v>60.0</v>
      </c>
      <c r="F179" s="127">
        <v>14.7</v>
      </c>
      <c r="G179" s="127">
        <v>45.3</v>
      </c>
      <c r="H179" s="128">
        <v>3.08</v>
      </c>
      <c r="I179" s="127">
        <v>33.69</v>
      </c>
      <c r="J179" s="128">
        <v>2.29</v>
      </c>
      <c r="K179" s="128">
        <v>0.65</v>
      </c>
      <c r="L179" s="128">
        <v>0.61</v>
      </c>
      <c r="M179" s="126">
        <v>1214.0</v>
      </c>
      <c r="N179" s="126">
        <v>18.0</v>
      </c>
      <c r="O179" s="128">
        <v>1.48</v>
      </c>
      <c r="P179" s="128">
        <v>0.29</v>
      </c>
      <c r="Q179" s="128">
        <v>2.88</v>
      </c>
      <c r="R179" s="129" t="str">
        <f t="shared" si="1"/>
        <v>OptionStrat</v>
      </c>
      <c r="S179" s="125" t="s">
        <v>348</v>
      </c>
      <c r="T179" s="130"/>
      <c r="U179" s="131">
        <v>0.55</v>
      </c>
    </row>
    <row r="180">
      <c r="A180" s="132" t="s">
        <v>28</v>
      </c>
      <c r="B180" s="132" t="s">
        <v>169</v>
      </c>
      <c r="C180" s="133">
        <v>430.0</v>
      </c>
      <c r="D180" s="133">
        <v>510.0</v>
      </c>
      <c r="E180" s="133">
        <v>80.0</v>
      </c>
      <c r="F180" s="134">
        <v>24.23</v>
      </c>
      <c r="G180" s="134">
        <v>55.77</v>
      </c>
      <c r="H180" s="135">
        <v>2.3</v>
      </c>
      <c r="I180" s="134">
        <v>41.18</v>
      </c>
      <c r="J180" s="135">
        <v>1.7</v>
      </c>
      <c r="K180" s="135">
        <v>0.69</v>
      </c>
      <c r="L180" s="135">
        <v>0.62</v>
      </c>
      <c r="M180" s="133">
        <v>230.0</v>
      </c>
      <c r="N180" s="133">
        <v>359.0</v>
      </c>
      <c r="O180" s="135">
        <v>2.87</v>
      </c>
      <c r="P180" s="135">
        <v>0.45</v>
      </c>
      <c r="Q180" s="135">
        <v>2.87</v>
      </c>
      <c r="R180" s="136" t="str">
        <f t="shared" si="1"/>
        <v>OptionStrat</v>
      </c>
      <c r="S180" s="132" t="s">
        <v>349</v>
      </c>
      <c r="T180" s="137"/>
      <c r="U180" s="138">
        <v>0.55</v>
      </c>
    </row>
    <row r="181">
      <c r="A181" s="125" t="s">
        <v>28</v>
      </c>
      <c r="B181" s="125" t="s">
        <v>169</v>
      </c>
      <c r="C181" s="126">
        <v>470.0</v>
      </c>
      <c r="D181" s="126">
        <v>600.0</v>
      </c>
      <c r="E181" s="126">
        <v>130.0</v>
      </c>
      <c r="F181" s="127">
        <v>32.25</v>
      </c>
      <c r="G181" s="127">
        <v>97.75</v>
      </c>
      <c r="H181" s="128">
        <v>3.03</v>
      </c>
      <c r="I181" s="127">
        <v>63.23</v>
      </c>
      <c r="J181" s="128">
        <v>1.96</v>
      </c>
      <c r="K181" s="128">
        <v>0.65</v>
      </c>
      <c r="L181" s="128">
        <v>0.54</v>
      </c>
      <c r="M181" s="126">
        <v>318.0</v>
      </c>
      <c r="N181" s="126">
        <v>1000.0</v>
      </c>
      <c r="O181" s="128">
        <v>5.64</v>
      </c>
      <c r="P181" s="128">
        <v>0.8</v>
      </c>
      <c r="Q181" s="128">
        <v>2.87</v>
      </c>
      <c r="R181" s="129" t="str">
        <f t="shared" si="1"/>
        <v>OptionStrat</v>
      </c>
      <c r="S181" s="125" t="s">
        <v>350</v>
      </c>
      <c r="T181" s="130"/>
      <c r="U181" s="131">
        <v>0.55</v>
      </c>
    </row>
    <row r="182">
      <c r="A182" s="132" t="s">
        <v>28</v>
      </c>
      <c r="B182" s="132" t="s">
        <v>169</v>
      </c>
      <c r="C182" s="133">
        <v>490.0</v>
      </c>
      <c r="D182" s="133">
        <v>560.0</v>
      </c>
      <c r="E182" s="133">
        <v>70.0</v>
      </c>
      <c r="F182" s="134">
        <v>17.63</v>
      </c>
      <c r="G182" s="134">
        <v>52.37</v>
      </c>
      <c r="H182" s="135">
        <v>2.97</v>
      </c>
      <c r="I182" s="134">
        <v>36.95</v>
      </c>
      <c r="J182" s="135">
        <v>2.1</v>
      </c>
      <c r="K182" s="135">
        <v>0.63</v>
      </c>
      <c r="L182" s="135">
        <v>0.57</v>
      </c>
      <c r="M182" s="133">
        <v>494.0</v>
      </c>
      <c r="N182" s="133">
        <v>183.0</v>
      </c>
      <c r="O182" s="135">
        <v>3.01</v>
      </c>
      <c r="P182" s="135">
        <v>0.68</v>
      </c>
      <c r="Q182" s="135">
        <v>2.87</v>
      </c>
      <c r="R182" s="136" t="str">
        <f t="shared" si="1"/>
        <v>OptionStrat</v>
      </c>
      <c r="S182" s="132" t="s">
        <v>351</v>
      </c>
      <c r="T182" s="137"/>
      <c r="U182" s="138">
        <v>0.55</v>
      </c>
    </row>
    <row r="183">
      <c r="A183" s="125" t="s">
        <v>28</v>
      </c>
      <c r="B183" s="125" t="s">
        <v>169</v>
      </c>
      <c r="C183" s="126">
        <v>650.0</v>
      </c>
      <c r="D183" s="126">
        <v>690.0</v>
      </c>
      <c r="E183" s="126">
        <v>40.0</v>
      </c>
      <c r="F183" s="127">
        <v>6.67</v>
      </c>
      <c r="G183" s="127">
        <v>33.33</v>
      </c>
      <c r="H183" s="128">
        <v>5.0</v>
      </c>
      <c r="I183" s="127">
        <v>18.79</v>
      </c>
      <c r="J183" s="128">
        <v>2.82</v>
      </c>
      <c r="K183" s="128">
        <v>0.5</v>
      </c>
      <c r="L183" s="128">
        <v>0.48</v>
      </c>
      <c r="M183" s="126">
        <v>284.0</v>
      </c>
      <c r="N183" s="126">
        <v>370.0</v>
      </c>
      <c r="O183" s="128">
        <v>3.24</v>
      </c>
      <c r="P183" s="128">
        <v>1.21</v>
      </c>
      <c r="Q183" s="128">
        <v>2.87</v>
      </c>
      <c r="R183" s="129" t="str">
        <f t="shared" si="1"/>
        <v>OptionStrat</v>
      </c>
      <c r="S183" s="125" t="s">
        <v>352</v>
      </c>
      <c r="T183" s="130"/>
      <c r="U183" s="131">
        <v>0.55</v>
      </c>
    </row>
    <row r="184">
      <c r="A184" s="132" t="s">
        <v>28</v>
      </c>
      <c r="B184" s="132" t="s">
        <v>171</v>
      </c>
      <c r="C184" s="133">
        <v>470.0</v>
      </c>
      <c r="D184" s="133">
        <v>520.0</v>
      </c>
      <c r="E184" s="133">
        <v>50.0</v>
      </c>
      <c r="F184" s="134">
        <v>13.55</v>
      </c>
      <c r="G184" s="134">
        <v>36.45</v>
      </c>
      <c r="H184" s="135">
        <v>2.69</v>
      </c>
      <c r="I184" s="134">
        <v>27.02</v>
      </c>
      <c r="J184" s="135">
        <v>1.99</v>
      </c>
      <c r="K184" s="135">
        <v>0.68</v>
      </c>
      <c r="L184" s="135">
        <v>0.64</v>
      </c>
      <c r="M184" s="133">
        <v>68.0</v>
      </c>
      <c r="N184" s="133">
        <v>82.0</v>
      </c>
      <c r="O184" s="135">
        <v>0.75</v>
      </c>
      <c r="P184" s="135">
        <v>0.27</v>
      </c>
      <c r="Q184" s="135">
        <v>2.87</v>
      </c>
      <c r="R184" s="136" t="str">
        <f t="shared" si="1"/>
        <v>OptionStrat</v>
      </c>
      <c r="S184" s="132" t="s">
        <v>353</v>
      </c>
      <c r="T184" s="137"/>
      <c r="U184" s="138">
        <v>0.55</v>
      </c>
    </row>
    <row r="185">
      <c r="A185" s="125" t="s">
        <v>28</v>
      </c>
      <c r="B185" s="125" t="s">
        <v>171</v>
      </c>
      <c r="C185" s="126">
        <v>500.0</v>
      </c>
      <c r="D185" s="126">
        <v>590.0</v>
      </c>
      <c r="E185" s="126">
        <v>90.0</v>
      </c>
      <c r="F185" s="127">
        <v>20.57</v>
      </c>
      <c r="G185" s="127">
        <v>69.43</v>
      </c>
      <c r="H185" s="128">
        <v>3.38</v>
      </c>
      <c r="I185" s="127">
        <v>50.69</v>
      </c>
      <c r="J185" s="128">
        <v>2.46</v>
      </c>
      <c r="K185" s="128">
        <v>0.65</v>
      </c>
      <c r="L185" s="128">
        <v>0.59</v>
      </c>
      <c r="M185" s="126">
        <v>1214.0</v>
      </c>
      <c r="N185" s="126">
        <v>15.0</v>
      </c>
      <c r="O185" s="128">
        <v>1.35</v>
      </c>
      <c r="P185" s="128">
        <v>0.38</v>
      </c>
      <c r="Q185" s="128">
        <v>2.87</v>
      </c>
      <c r="R185" s="129" t="str">
        <f t="shared" si="1"/>
        <v>OptionStrat</v>
      </c>
      <c r="S185" s="125" t="s">
        <v>354</v>
      </c>
      <c r="T185" s="130"/>
      <c r="U185" s="131">
        <v>0.55</v>
      </c>
    </row>
    <row r="186">
      <c r="A186" s="132" t="s">
        <v>28</v>
      </c>
      <c r="B186" s="132" t="s">
        <v>169</v>
      </c>
      <c r="C186" s="133">
        <v>420.0</v>
      </c>
      <c r="D186" s="133">
        <v>510.0</v>
      </c>
      <c r="E186" s="133">
        <v>90.0</v>
      </c>
      <c r="F186" s="134">
        <v>27.73</v>
      </c>
      <c r="G186" s="134">
        <v>62.27</v>
      </c>
      <c r="H186" s="135">
        <v>2.25</v>
      </c>
      <c r="I186" s="134">
        <v>45.94</v>
      </c>
      <c r="J186" s="135">
        <v>1.66</v>
      </c>
      <c r="K186" s="135">
        <v>0.7</v>
      </c>
      <c r="L186" s="135">
        <v>0.62</v>
      </c>
      <c r="M186" s="133">
        <v>290.0</v>
      </c>
      <c r="N186" s="133">
        <v>359.0</v>
      </c>
      <c r="O186" s="135">
        <v>3.23</v>
      </c>
      <c r="P186" s="135">
        <v>0.45</v>
      </c>
      <c r="Q186" s="135">
        <v>2.86</v>
      </c>
      <c r="R186" s="136" t="str">
        <f t="shared" si="1"/>
        <v>OptionStrat</v>
      </c>
      <c r="S186" s="132" t="s">
        <v>355</v>
      </c>
      <c r="T186" s="137"/>
      <c r="U186" s="138">
        <v>0.55</v>
      </c>
    </row>
    <row r="187">
      <c r="A187" s="125" t="s">
        <v>28</v>
      </c>
      <c r="B187" s="125" t="s">
        <v>169</v>
      </c>
      <c r="C187" s="126">
        <v>460.0</v>
      </c>
      <c r="D187" s="126">
        <v>600.0</v>
      </c>
      <c r="E187" s="126">
        <v>140.0</v>
      </c>
      <c r="F187" s="127">
        <v>35.22</v>
      </c>
      <c r="G187" s="127">
        <v>104.78</v>
      </c>
      <c r="H187" s="128">
        <v>2.98</v>
      </c>
      <c r="I187" s="127">
        <v>67.69</v>
      </c>
      <c r="J187" s="128">
        <v>1.92</v>
      </c>
      <c r="K187" s="128">
        <v>0.66</v>
      </c>
      <c r="L187" s="128">
        <v>0.54</v>
      </c>
      <c r="M187" s="126">
        <v>419.0</v>
      </c>
      <c r="N187" s="126">
        <v>1000.0</v>
      </c>
      <c r="O187" s="128">
        <v>6.47</v>
      </c>
      <c r="P187" s="128">
        <v>0.66</v>
      </c>
      <c r="Q187" s="128">
        <v>2.86</v>
      </c>
      <c r="R187" s="129" t="str">
        <f t="shared" si="1"/>
        <v>OptionStrat</v>
      </c>
      <c r="S187" s="125" t="s">
        <v>356</v>
      </c>
      <c r="T187" s="130"/>
      <c r="U187" s="131">
        <v>0.55</v>
      </c>
    </row>
    <row r="188">
      <c r="A188" s="132" t="s">
        <v>28</v>
      </c>
      <c r="B188" s="132" t="s">
        <v>169</v>
      </c>
      <c r="C188" s="133">
        <v>490.0</v>
      </c>
      <c r="D188" s="133">
        <v>570.0</v>
      </c>
      <c r="E188" s="133">
        <v>80.0</v>
      </c>
      <c r="F188" s="134">
        <v>19.88</v>
      </c>
      <c r="G188" s="134">
        <v>60.12</v>
      </c>
      <c r="H188" s="135">
        <v>3.02</v>
      </c>
      <c r="I188" s="134">
        <v>41.56</v>
      </c>
      <c r="J188" s="135">
        <v>2.09</v>
      </c>
      <c r="K188" s="135">
        <v>0.63</v>
      </c>
      <c r="L188" s="135">
        <v>0.56</v>
      </c>
      <c r="M188" s="133">
        <v>494.0</v>
      </c>
      <c r="N188" s="133">
        <v>254.0</v>
      </c>
      <c r="O188" s="135">
        <v>3.54</v>
      </c>
      <c r="P188" s="135">
        <v>0.68</v>
      </c>
      <c r="Q188" s="135">
        <v>2.86</v>
      </c>
      <c r="R188" s="136" t="str">
        <f t="shared" si="1"/>
        <v>OptionStrat</v>
      </c>
      <c r="S188" s="132" t="s">
        <v>357</v>
      </c>
      <c r="T188" s="137"/>
      <c r="U188" s="138">
        <v>0.55</v>
      </c>
    </row>
    <row r="189">
      <c r="A189" s="125" t="s">
        <v>28</v>
      </c>
      <c r="B189" s="125" t="s">
        <v>169</v>
      </c>
      <c r="C189" s="126">
        <v>510.0</v>
      </c>
      <c r="D189" s="126">
        <v>560.0</v>
      </c>
      <c r="E189" s="126">
        <v>50.0</v>
      </c>
      <c r="F189" s="127">
        <v>12.13</v>
      </c>
      <c r="G189" s="127">
        <v>37.87</v>
      </c>
      <c r="H189" s="128">
        <v>3.12</v>
      </c>
      <c r="I189" s="127">
        <v>26.77</v>
      </c>
      <c r="J189" s="128">
        <v>2.21</v>
      </c>
      <c r="K189" s="128">
        <v>0.62</v>
      </c>
      <c r="L189" s="128">
        <v>0.57</v>
      </c>
      <c r="M189" s="126">
        <v>359.0</v>
      </c>
      <c r="N189" s="126">
        <v>183.0</v>
      </c>
      <c r="O189" s="128">
        <v>2.56</v>
      </c>
      <c r="P189" s="128">
        <v>0.63</v>
      </c>
      <c r="Q189" s="128">
        <v>2.86</v>
      </c>
      <c r="R189" s="129" t="str">
        <f t="shared" si="1"/>
        <v>OptionStrat</v>
      </c>
      <c r="S189" s="125" t="s">
        <v>358</v>
      </c>
      <c r="T189" s="130"/>
      <c r="U189" s="131">
        <v>0.55</v>
      </c>
    </row>
    <row r="190">
      <c r="A190" s="132" t="s">
        <v>28</v>
      </c>
      <c r="B190" s="132" t="s">
        <v>169</v>
      </c>
      <c r="C190" s="133">
        <v>670.0</v>
      </c>
      <c r="D190" s="133">
        <v>690.0</v>
      </c>
      <c r="E190" s="133">
        <v>20.0</v>
      </c>
      <c r="F190" s="134">
        <v>3.25</v>
      </c>
      <c r="G190" s="134">
        <v>16.75</v>
      </c>
      <c r="H190" s="135">
        <v>5.15</v>
      </c>
      <c r="I190" s="134">
        <v>9.47</v>
      </c>
      <c r="J190" s="135">
        <v>2.91</v>
      </c>
      <c r="K190" s="135">
        <v>0.49</v>
      </c>
      <c r="L190" s="135">
        <v>0.48</v>
      </c>
      <c r="M190" s="133">
        <v>228.0</v>
      </c>
      <c r="N190" s="133">
        <v>370.0</v>
      </c>
      <c r="O190" s="135">
        <v>2.9</v>
      </c>
      <c r="P190" s="135">
        <v>1.25</v>
      </c>
      <c r="Q190" s="135">
        <v>2.86</v>
      </c>
      <c r="R190" s="136" t="str">
        <f t="shared" si="1"/>
        <v>OptionStrat</v>
      </c>
      <c r="S190" s="132" t="s">
        <v>359</v>
      </c>
      <c r="T190" s="137"/>
      <c r="U190" s="138">
        <v>0.55</v>
      </c>
    </row>
    <row r="191">
      <c r="A191" s="125" t="s">
        <v>28</v>
      </c>
      <c r="B191" s="125" t="s">
        <v>171</v>
      </c>
      <c r="C191" s="126">
        <v>370.0</v>
      </c>
      <c r="D191" s="126">
        <v>500.0</v>
      </c>
      <c r="E191" s="126">
        <v>130.0</v>
      </c>
      <c r="F191" s="127">
        <v>42.18</v>
      </c>
      <c r="G191" s="127">
        <v>87.82</v>
      </c>
      <c r="H191" s="128">
        <v>2.08</v>
      </c>
      <c r="I191" s="127">
        <v>64.64</v>
      </c>
      <c r="J191" s="128">
        <v>1.53</v>
      </c>
      <c r="K191" s="128">
        <v>0.76</v>
      </c>
      <c r="L191" s="128">
        <v>0.65</v>
      </c>
      <c r="M191" s="126">
        <v>74.0</v>
      </c>
      <c r="N191" s="126">
        <v>1214.0</v>
      </c>
      <c r="O191" s="128">
        <v>3.0</v>
      </c>
      <c r="P191" s="128">
        <v>0.28</v>
      </c>
      <c r="Q191" s="128">
        <v>2.86</v>
      </c>
      <c r="R191" s="129" t="str">
        <f t="shared" si="1"/>
        <v>OptionStrat</v>
      </c>
      <c r="S191" s="125" t="s">
        <v>360</v>
      </c>
      <c r="T191" s="130"/>
      <c r="U191" s="131">
        <v>0.55</v>
      </c>
    </row>
    <row r="192">
      <c r="A192" s="132" t="s">
        <v>28</v>
      </c>
      <c r="B192" s="132" t="s">
        <v>171</v>
      </c>
      <c r="C192" s="133">
        <v>570.0</v>
      </c>
      <c r="D192" s="133">
        <v>700.0</v>
      </c>
      <c r="E192" s="133">
        <v>130.0</v>
      </c>
      <c r="F192" s="134">
        <v>24.07</v>
      </c>
      <c r="G192" s="134">
        <v>105.93</v>
      </c>
      <c r="H192" s="135">
        <v>4.4</v>
      </c>
      <c r="I192" s="134">
        <v>65.9</v>
      </c>
      <c r="J192" s="135">
        <v>2.74</v>
      </c>
      <c r="K192" s="135">
        <v>0.6</v>
      </c>
      <c r="L192" s="135">
        <v>0.52</v>
      </c>
      <c r="M192" s="133">
        <v>110.0</v>
      </c>
      <c r="N192" s="133">
        <v>617.0</v>
      </c>
      <c r="O192" s="135">
        <v>2.61</v>
      </c>
      <c r="P192" s="135">
        <v>0.31</v>
      </c>
      <c r="Q192" s="135">
        <v>2.86</v>
      </c>
      <c r="R192" s="136" t="str">
        <f t="shared" si="1"/>
        <v>OptionStrat</v>
      </c>
      <c r="S192" s="132" t="s">
        <v>361</v>
      </c>
      <c r="T192" s="137"/>
      <c r="U192" s="138">
        <v>0.55</v>
      </c>
    </row>
    <row r="193">
      <c r="A193" s="125" t="s">
        <v>28</v>
      </c>
      <c r="B193" s="125" t="s">
        <v>169</v>
      </c>
      <c r="C193" s="126">
        <v>430.0</v>
      </c>
      <c r="D193" s="126">
        <v>530.0</v>
      </c>
      <c r="E193" s="126">
        <v>100.0</v>
      </c>
      <c r="F193" s="127">
        <v>29.38</v>
      </c>
      <c r="G193" s="127">
        <v>70.62</v>
      </c>
      <c r="H193" s="128">
        <v>2.4</v>
      </c>
      <c r="I193" s="127">
        <v>52.21</v>
      </c>
      <c r="J193" s="128">
        <v>1.78</v>
      </c>
      <c r="K193" s="128">
        <v>0.69</v>
      </c>
      <c r="L193" s="128">
        <v>0.6</v>
      </c>
      <c r="M193" s="126">
        <v>230.0</v>
      </c>
      <c r="N193" s="126">
        <v>171.0</v>
      </c>
      <c r="O193" s="128">
        <v>1.98</v>
      </c>
      <c r="P193" s="128">
        <v>0.47</v>
      </c>
      <c r="Q193" s="128">
        <v>2.85</v>
      </c>
      <c r="R193" s="129" t="str">
        <f t="shared" si="1"/>
        <v>OptionStrat</v>
      </c>
      <c r="S193" s="125" t="s">
        <v>362</v>
      </c>
      <c r="T193" s="130"/>
      <c r="U193" s="131">
        <v>0.55</v>
      </c>
    </row>
    <row r="194">
      <c r="A194" s="132" t="s">
        <v>28</v>
      </c>
      <c r="B194" s="132" t="s">
        <v>169</v>
      </c>
      <c r="C194" s="133">
        <v>570.0</v>
      </c>
      <c r="D194" s="133">
        <v>700.0</v>
      </c>
      <c r="E194" s="133">
        <v>130.0</v>
      </c>
      <c r="F194" s="134">
        <v>24.07</v>
      </c>
      <c r="G194" s="134">
        <v>105.93</v>
      </c>
      <c r="H194" s="135">
        <v>4.4</v>
      </c>
      <c r="I194" s="134">
        <v>57.91</v>
      </c>
      <c r="J194" s="135">
        <v>2.41</v>
      </c>
      <c r="K194" s="135">
        <v>0.56</v>
      </c>
      <c r="L194" s="135">
        <v>0.47</v>
      </c>
      <c r="M194" s="133">
        <v>254.0</v>
      </c>
      <c r="N194" s="133">
        <v>1080.0</v>
      </c>
      <c r="O194" s="135">
        <v>5.24</v>
      </c>
      <c r="P194" s="135">
        <v>1.14</v>
      </c>
      <c r="Q194" s="135">
        <v>2.85</v>
      </c>
      <c r="R194" s="136" t="str">
        <f t="shared" si="1"/>
        <v>OptionStrat</v>
      </c>
      <c r="S194" s="132" t="s">
        <v>363</v>
      </c>
      <c r="T194" s="137"/>
      <c r="U194" s="138">
        <v>0.55</v>
      </c>
    </row>
    <row r="195">
      <c r="A195" s="125" t="s">
        <v>28</v>
      </c>
      <c r="B195" s="125" t="s">
        <v>171</v>
      </c>
      <c r="C195" s="126">
        <v>460.0</v>
      </c>
      <c r="D195" s="126">
        <v>530.0</v>
      </c>
      <c r="E195" s="126">
        <v>70.0</v>
      </c>
      <c r="F195" s="127">
        <v>19.25</v>
      </c>
      <c r="G195" s="127">
        <v>50.75</v>
      </c>
      <c r="H195" s="128">
        <v>2.64</v>
      </c>
      <c r="I195" s="127">
        <v>37.61</v>
      </c>
      <c r="J195" s="128">
        <v>1.95</v>
      </c>
      <c r="K195" s="128">
        <v>0.68</v>
      </c>
      <c r="L195" s="128">
        <v>0.63</v>
      </c>
      <c r="M195" s="126">
        <v>90.0</v>
      </c>
      <c r="N195" s="126">
        <v>60.0</v>
      </c>
      <c r="O195" s="128">
        <v>0.73</v>
      </c>
      <c r="P195" s="128">
        <v>0.31</v>
      </c>
      <c r="Q195" s="128">
        <v>2.85</v>
      </c>
      <c r="R195" s="129" t="str">
        <f t="shared" si="1"/>
        <v>OptionStrat</v>
      </c>
      <c r="S195" s="125" t="s">
        <v>364</v>
      </c>
      <c r="T195" s="130"/>
      <c r="U195" s="131">
        <v>0.55</v>
      </c>
    </row>
    <row r="196">
      <c r="A196" s="132" t="s">
        <v>28</v>
      </c>
      <c r="B196" s="132" t="s">
        <v>169</v>
      </c>
      <c r="C196" s="133">
        <v>420.0</v>
      </c>
      <c r="D196" s="133">
        <v>530.0</v>
      </c>
      <c r="E196" s="133">
        <v>110.0</v>
      </c>
      <c r="F196" s="134">
        <v>32.88</v>
      </c>
      <c r="G196" s="134">
        <v>77.12</v>
      </c>
      <c r="H196" s="135">
        <v>2.35</v>
      </c>
      <c r="I196" s="134">
        <v>56.97</v>
      </c>
      <c r="J196" s="135">
        <v>1.73</v>
      </c>
      <c r="K196" s="135">
        <v>0.7</v>
      </c>
      <c r="L196" s="135">
        <v>0.6</v>
      </c>
      <c r="M196" s="133">
        <v>290.0</v>
      </c>
      <c r="N196" s="133">
        <v>171.0</v>
      </c>
      <c r="O196" s="135">
        <v>2.23</v>
      </c>
      <c r="P196" s="135">
        <v>0.47</v>
      </c>
      <c r="Q196" s="135">
        <v>2.84</v>
      </c>
      <c r="R196" s="136" t="str">
        <f t="shared" si="1"/>
        <v>OptionStrat</v>
      </c>
      <c r="S196" s="132" t="s">
        <v>365</v>
      </c>
      <c r="T196" s="137"/>
      <c r="U196" s="138">
        <v>0.55</v>
      </c>
    </row>
    <row r="197">
      <c r="A197" s="125" t="s">
        <v>28</v>
      </c>
      <c r="B197" s="125" t="s">
        <v>171</v>
      </c>
      <c r="C197" s="126">
        <v>600.0</v>
      </c>
      <c r="D197" s="126">
        <v>640.0</v>
      </c>
      <c r="E197" s="126">
        <v>40.0</v>
      </c>
      <c r="F197" s="127">
        <v>7.63</v>
      </c>
      <c r="G197" s="127">
        <v>32.37</v>
      </c>
      <c r="H197" s="128">
        <v>4.24</v>
      </c>
      <c r="I197" s="127">
        <v>21.9</v>
      </c>
      <c r="J197" s="128">
        <v>2.87</v>
      </c>
      <c r="K197" s="128">
        <v>0.58</v>
      </c>
      <c r="L197" s="128">
        <v>0.55</v>
      </c>
      <c r="M197" s="126">
        <v>416.0</v>
      </c>
      <c r="N197" s="126">
        <v>112.0</v>
      </c>
      <c r="O197" s="128">
        <v>2.16</v>
      </c>
      <c r="P197" s="128">
        <v>0.32</v>
      </c>
      <c r="Q197" s="128">
        <v>2.84</v>
      </c>
      <c r="R197" s="129" t="str">
        <f t="shared" si="1"/>
        <v>OptionStrat</v>
      </c>
      <c r="S197" s="125" t="s">
        <v>366</v>
      </c>
      <c r="T197" s="125" t="s">
        <v>181</v>
      </c>
      <c r="U197" s="131">
        <v>0.55</v>
      </c>
    </row>
    <row r="198">
      <c r="A198" s="132" t="s">
        <v>28</v>
      </c>
      <c r="B198" s="132" t="s">
        <v>169</v>
      </c>
      <c r="C198" s="133">
        <v>450.0</v>
      </c>
      <c r="D198" s="133">
        <v>570.0</v>
      </c>
      <c r="E198" s="133">
        <v>120.0</v>
      </c>
      <c r="F198" s="134">
        <v>31.95</v>
      </c>
      <c r="G198" s="134">
        <v>88.05</v>
      </c>
      <c r="H198" s="135">
        <v>2.76</v>
      </c>
      <c r="I198" s="134">
        <v>60.59</v>
      </c>
      <c r="J198" s="135">
        <v>1.9</v>
      </c>
      <c r="K198" s="135">
        <v>0.67</v>
      </c>
      <c r="L198" s="135">
        <v>0.56</v>
      </c>
      <c r="M198" s="133">
        <v>943.0</v>
      </c>
      <c r="N198" s="133">
        <v>254.0</v>
      </c>
      <c r="O198" s="135">
        <v>4.89</v>
      </c>
      <c r="P198" s="135">
        <v>0.65</v>
      </c>
      <c r="Q198" s="135">
        <v>2.83</v>
      </c>
      <c r="R198" s="136" t="str">
        <f t="shared" si="1"/>
        <v>OptionStrat</v>
      </c>
      <c r="S198" s="132" t="s">
        <v>367</v>
      </c>
      <c r="T198" s="132" t="s">
        <v>181</v>
      </c>
      <c r="U198" s="138">
        <v>0.55</v>
      </c>
    </row>
    <row r="199">
      <c r="A199" s="125" t="s">
        <v>28</v>
      </c>
      <c r="B199" s="125" t="s">
        <v>169</v>
      </c>
      <c r="C199" s="126">
        <v>520.0</v>
      </c>
      <c r="D199" s="126">
        <v>560.0</v>
      </c>
      <c r="E199" s="126">
        <v>40.0</v>
      </c>
      <c r="F199" s="127">
        <v>9.5</v>
      </c>
      <c r="G199" s="127">
        <v>30.5</v>
      </c>
      <c r="H199" s="128">
        <v>3.21</v>
      </c>
      <c r="I199" s="127">
        <v>21.58</v>
      </c>
      <c r="J199" s="128">
        <v>2.27</v>
      </c>
      <c r="K199" s="128">
        <v>0.61</v>
      </c>
      <c r="L199" s="128">
        <v>0.57</v>
      </c>
      <c r="M199" s="126">
        <v>281.0</v>
      </c>
      <c r="N199" s="126">
        <v>183.0</v>
      </c>
      <c r="O199" s="128">
        <v>2.27</v>
      </c>
      <c r="P199" s="128">
        <v>0.65</v>
      </c>
      <c r="Q199" s="128">
        <v>2.83</v>
      </c>
      <c r="R199" s="129" t="str">
        <f t="shared" si="1"/>
        <v>OptionStrat</v>
      </c>
      <c r="S199" s="125" t="s">
        <v>368</v>
      </c>
      <c r="T199" s="130"/>
      <c r="U199" s="131">
        <v>0.55</v>
      </c>
    </row>
    <row r="200">
      <c r="A200" s="132" t="s">
        <v>28</v>
      </c>
      <c r="B200" s="132" t="s">
        <v>169</v>
      </c>
      <c r="C200" s="133">
        <v>620.0</v>
      </c>
      <c r="D200" s="133">
        <v>650.0</v>
      </c>
      <c r="E200" s="133">
        <v>30.0</v>
      </c>
      <c r="F200" s="134">
        <v>5.48</v>
      </c>
      <c r="G200" s="134">
        <v>24.52</v>
      </c>
      <c r="H200" s="135">
        <v>4.47</v>
      </c>
      <c r="I200" s="134">
        <v>14.78</v>
      </c>
      <c r="J200" s="135">
        <v>2.7</v>
      </c>
      <c r="K200" s="135">
        <v>0.53</v>
      </c>
      <c r="L200" s="135">
        <v>0.5</v>
      </c>
      <c r="M200" s="133">
        <v>426.0</v>
      </c>
      <c r="N200" s="133">
        <v>284.0</v>
      </c>
      <c r="O200" s="135">
        <v>3.48</v>
      </c>
      <c r="P200" s="135">
        <v>1.14</v>
      </c>
      <c r="Q200" s="135">
        <v>2.83</v>
      </c>
      <c r="R200" s="136" t="str">
        <f t="shared" si="1"/>
        <v>OptionStrat</v>
      </c>
      <c r="S200" s="132" t="s">
        <v>369</v>
      </c>
      <c r="T200" s="137"/>
      <c r="U200" s="138">
        <v>0.55</v>
      </c>
    </row>
    <row r="201">
      <c r="A201" s="125" t="s">
        <v>28</v>
      </c>
      <c r="B201" s="125" t="s">
        <v>171</v>
      </c>
      <c r="C201" s="126">
        <v>420.0</v>
      </c>
      <c r="D201" s="126">
        <v>540.0</v>
      </c>
      <c r="E201" s="126">
        <v>120.0</v>
      </c>
      <c r="F201" s="127">
        <v>33.97</v>
      </c>
      <c r="G201" s="127">
        <v>86.03</v>
      </c>
      <c r="H201" s="128">
        <v>2.53</v>
      </c>
      <c r="I201" s="127">
        <v>63.68</v>
      </c>
      <c r="J201" s="128">
        <v>1.87</v>
      </c>
      <c r="K201" s="128">
        <v>0.72</v>
      </c>
      <c r="L201" s="128">
        <v>0.62</v>
      </c>
      <c r="M201" s="126">
        <v>131.0</v>
      </c>
      <c r="N201" s="126">
        <v>58.0</v>
      </c>
      <c r="O201" s="128">
        <v>0.87</v>
      </c>
      <c r="P201" s="128">
        <v>0.28</v>
      </c>
      <c r="Q201" s="128">
        <v>2.83</v>
      </c>
      <c r="R201" s="129" t="str">
        <f t="shared" si="1"/>
        <v>OptionStrat</v>
      </c>
      <c r="S201" s="125" t="s">
        <v>370</v>
      </c>
      <c r="T201" s="130"/>
      <c r="U201" s="131">
        <v>0.55</v>
      </c>
    </row>
    <row r="202">
      <c r="A202" s="132" t="s">
        <v>28</v>
      </c>
      <c r="B202" s="132" t="s">
        <v>171</v>
      </c>
      <c r="C202" s="133">
        <v>440.0</v>
      </c>
      <c r="D202" s="133">
        <v>480.0</v>
      </c>
      <c r="E202" s="133">
        <v>40.0</v>
      </c>
      <c r="F202" s="134">
        <v>11.75</v>
      </c>
      <c r="G202" s="134">
        <v>28.25</v>
      </c>
      <c r="H202" s="135">
        <v>2.4</v>
      </c>
      <c r="I202" s="134">
        <v>20.88</v>
      </c>
      <c r="J202" s="135">
        <v>1.78</v>
      </c>
      <c r="K202" s="135">
        <v>0.7</v>
      </c>
      <c r="L202" s="135">
        <v>0.67</v>
      </c>
      <c r="M202" s="133">
        <v>144.0</v>
      </c>
      <c r="N202" s="133">
        <v>139.0</v>
      </c>
      <c r="O202" s="135">
        <v>1.41</v>
      </c>
      <c r="P202" s="135">
        <v>0.3</v>
      </c>
      <c r="Q202" s="135">
        <v>2.83</v>
      </c>
      <c r="R202" s="136" t="str">
        <f t="shared" si="1"/>
        <v>OptionStrat</v>
      </c>
      <c r="S202" s="132" t="s">
        <v>371</v>
      </c>
      <c r="T202" s="132" t="s">
        <v>181</v>
      </c>
      <c r="U202" s="138">
        <v>0.55</v>
      </c>
    </row>
    <row r="203">
      <c r="A203" s="125" t="s">
        <v>28</v>
      </c>
      <c r="B203" s="125" t="s">
        <v>169</v>
      </c>
      <c r="C203" s="126">
        <v>400.0</v>
      </c>
      <c r="D203" s="126">
        <v>470.0</v>
      </c>
      <c r="E203" s="126">
        <v>70.0</v>
      </c>
      <c r="F203" s="127">
        <v>23.58</v>
      </c>
      <c r="G203" s="127">
        <v>46.42</v>
      </c>
      <c r="H203" s="128">
        <v>1.97</v>
      </c>
      <c r="I203" s="127">
        <v>34.1</v>
      </c>
      <c r="J203" s="128">
        <v>1.45</v>
      </c>
      <c r="K203" s="128">
        <v>0.72</v>
      </c>
      <c r="L203" s="128">
        <v>0.65</v>
      </c>
      <c r="M203" s="126">
        <v>1326.0</v>
      </c>
      <c r="N203" s="126">
        <v>318.0</v>
      </c>
      <c r="O203" s="128">
        <v>6.49</v>
      </c>
      <c r="P203" s="128">
        <v>0.52</v>
      </c>
      <c r="Q203" s="128">
        <v>2.82</v>
      </c>
      <c r="R203" s="129" t="str">
        <f t="shared" si="1"/>
        <v>OptionStrat</v>
      </c>
      <c r="S203" s="125" t="s">
        <v>372</v>
      </c>
      <c r="T203" s="130"/>
      <c r="U203" s="131">
        <v>0.55</v>
      </c>
    </row>
    <row r="204">
      <c r="A204" s="132" t="s">
        <v>28</v>
      </c>
      <c r="B204" s="132" t="s">
        <v>169</v>
      </c>
      <c r="C204" s="133">
        <v>440.0</v>
      </c>
      <c r="D204" s="133">
        <v>490.0</v>
      </c>
      <c r="E204" s="133">
        <v>50.0</v>
      </c>
      <c r="F204" s="134">
        <v>15.4</v>
      </c>
      <c r="G204" s="134">
        <v>34.6</v>
      </c>
      <c r="H204" s="135">
        <v>2.25</v>
      </c>
      <c r="I204" s="134">
        <v>25.53</v>
      </c>
      <c r="J204" s="135">
        <v>1.66</v>
      </c>
      <c r="K204" s="135">
        <v>0.68</v>
      </c>
      <c r="L204" s="135">
        <v>0.63</v>
      </c>
      <c r="M204" s="133">
        <v>208.0</v>
      </c>
      <c r="N204" s="133">
        <v>494.0</v>
      </c>
      <c r="O204" s="135">
        <v>3.21</v>
      </c>
      <c r="P204" s="135">
        <v>0.47</v>
      </c>
      <c r="Q204" s="135">
        <v>2.82</v>
      </c>
      <c r="R204" s="136" t="str">
        <f t="shared" si="1"/>
        <v>OptionStrat</v>
      </c>
      <c r="S204" s="132" t="s">
        <v>373</v>
      </c>
      <c r="T204" s="137"/>
      <c r="U204" s="138">
        <v>0.55</v>
      </c>
    </row>
    <row r="205">
      <c r="A205" s="125" t="s">
        <v>28</v>
      </c>
      <c r="B205" s="125" t="s">
        <v>169</v>
      </c>
      <c r="C205" s="126">
        <v>510.0</v>
      </c>
      <c r="D205" s="126">
        <v>570.0</v>
      </c>
      <c r="E205" s="126">
        <v>60.0</v>
      </c>
      <c r="F205" s="127">
        <v>14.38</v>
      </c>
      <c r="G205" s="127">
        <v>45.62</v>
      </c>
      <c r="H205" s="128">
        <v>3.17</v>
      </c>
      <c r="I205" s="127">
        <v>31.61</v>
      </c>
      <c r="J205" s="128">
        <v>2.2</v>
      </c>
      <c r="K205" s="128">
        <v>0.62</v>
      </c>
      <c r="L205" s="128">
        <v>0.56</v>
      </c>
      <c r="M205" s="126">
        <v>359.0</v>
      </c>
      <c r="N205" s="126">
        <v>254.0</v>
      </c>
      <c r="O205" s="128">
        <v>3.02</v>
      </c>
      <c r="P205" s="128">
        <v>0.63</v>
      </c>
      <c r="Q205" s="128">
        <v>2.82</v>
      </c>
      <c r="R205" s="129" t="str">
        <f t="shared" si="1"/>
        <v>OptionStrat</v>
      </c>
      <c r="S205" s="125" t="s">
        <v>374</v>
      </c>
      <c r="T205" s="130"/>
      <c r="U205" s="131">
        <v>0.55</v>
      </c>
    </row>
    <row r="206">
      <c r="A206" s="132" t="s">
        <v>28</v>
      </c>
      <c r="B206" s="132" t="s">
        <v>169</v>
      </c>
      <c r="C206" s="133">
        <v>580.0</v>
      </c>
      <c r="D206" s="133">
        <v>600.0</v>
      </c>
      <c r="E206" s="133">
        <v>20.0</v>
      </c>
      <c r="F206" s="134">
        <v>4.27</v>
      </c>
      <c r="G206" s="134">
        <v>15.73</v>
      </c>
      <c r="H206" s="135">
        <v>3.68</v>
      </c>
      <c r="I206" s="134">
        <v>10.3</v>
      </c>
      <c r="J206" s="135">
        <v>2.41</v>
      </c>
      <c r="K206" s="135">
        <v>0.56</v>
      </c>
      <c r="L206" s="135">
        <v>0.54</v>
      </c>
      <c r="M206" s="133">
        <v>263.0</v>
      </c>
      <c r="N206" s="133">
        <v>1000.0</v>
      </c>
      <c r="O206" s="135">
        <v>5.13</v>
      </c>
      <c r="P206" s="135">
        <v>1.14</v>
      </c>
      <c r="Q206" s="135">
        <v>2.82</v>
      </c>
      <c r="R206" s="136" t="str">
        <f t="shared" si="1"/>
        <v>OptionStrat</v>
      </c>
      <c r="S206" s="132" t="s">
        <v>375</v>
      </c>
      <c r="T206" s="137"/>
      <c r="U206" s="138">
        <v>0.55</v>
      </c>
    </row>
    <row r="207">
      <c r="A207" s="125" t="s">
        <v>28</v>
      </c>
      <c r="B207" s="125" t="s">
        <v>171</v>
      </c>
      <c r="C207" s="126">
        <v>410.0</v>
      </c>
      <c r="D207" s="126">
        <v>450.0</v>
      </c>
      <c r="E207" s="126">
        <v>40.0</v>
      </c>
      <c r="F207" s="127">
        <v>12.38</v>
      </c>
      <c r="G207" s="127">
        <v>27.62</v>
      </c>
      <c r="H207" s="128">
        <v>2.23</v>
      </c>
      <c r="I207" s="127">
        <v>20.38</v>
      </c>
      <c r="J207" s="128">
        <v>1.65</v>
      </c>
      <c r="K207" s="128">
        <v>0.73</v>
      </c>
      <c r="L207" s="128">
        <v>0.69</v>
      </c>
      <c r="M207" s="126">
        <v>54.0</v>
      </c>
      <c r="N207" s="126">
        <v>759.0</v>
      </c>
      <c r="O207" s="128">
        <v>2.02</v>
      </c>
      <c r="P207" s="128">
        <v>0.39</v>
      </c>
      <c r="Q207" s="128">
        <v>2.82</v>
      </c>
      <c r="R207" s="129" t="str">
        <f t="shared" si="1"/>
        <v>OptionStrat</v>
      </c>
      <c r="S207" s="125" t="s">
        <v>376</v>
      </c>
      <c r="T207" s="130"/>
      <c r="U207" s="131">
        <v>0.56</v>
      </c>
    </row>
    <row r="208">
      <c r="A208" s="132" t="s">
        <v>28</v>
      </c>
      <c r="B208" s="132" t="s">
        <v>171</v>
      </c>
      <c r="C208" s="133">
        <v>470.0</v>
      </c>
      <c r="D208" s="133">
        <v>530.0</v>
      </c>
      <c r="E208" s="133">
        <v>60.0</v>
      </c>
      <c r="F208" s="134">
        <v>16.35</v>
      </c>
      <c r="G208" s="134">
        <v>43.65</v>
      </c>
      <c r="H208" s="135">
        <v>2.67</v>
      </c>
      <c r="I208" s="134">
        <v>32.36</v>
      </c>
      <c r="J208" s="135">
        <v>1.98</v>
      </c>
      <c r="K208" s="135">
        <v>0.68</v>
      </c>
      <c r="L208" s="135">
        <v>0.63</v>
      </c>
      <c r="M208" s="133">
        <v>68.0</v>
      </c>
      <c r="N208" s="133">
        <v>60.0</v>
      </c>
      <c r="O208" s="135">
        <v>0.64</v>
      </c>
      <c r="P208" s="135">
        <v>0.31</v>
      </c>
      <c r="Q208" s="135">
        <v>2.82</v>
      </c>
      <c r="R208" s="136" t="str">
        <f t="shared" si="1"/>
        <v>OptionStrat</v>
      </c>
      <c r="S208" s="132" t="s">
        <v>377</v>
      </c>
      <c r="T208" s="137"/>
      <c r="U208" s="138">
        <v>0.55</v>
      </c>
    </row>
    <row r="209">
      <c r="A209" s="125" t="s">
        <v>28</v>
      </c>
      <c r="B209" s="125" t="s">
        <v>171</v>
      </c>
      <c r="C209" s="126">
        <v>490.0</v>
      </c>
      <c r="D209" s="126">
        <v>600.0</v>
      </c>
      <c r="E209" s="126">
        <v>110.0</v>
      </c>
      <c r="F209" s="127">
        <v>25.95</v>
      </c>
      <c r="G209" s="127">
        <v>84.05</v>
      </c>
      <c r="H209" s="128">
        <v>3.24</v>
      </c>
      <c r="I209" s="127">
        <v>60.11</v>
      </c>
      <c r="J209" s="128">
        <v>2.32</v>
      </c>
      <c r="K209" s="128">
        <v>0.66</v>
      </c>
      <c r="L209" s="128">
        <v>0.58</v>
      </c>
      <c r="M209" s="126">
        <v>93.0</v>
      </c>
      <c r="N209" s="126">
        <v>416.0</v>
      </c>
      <c r="O209" s="128">
        <v>1.97</v>
      </c>
      <c r="P209" s="128">
        <v>0.29</v>
      </c>
      <c r="Q209" s="128">
        <v>2.82</v>
      </c>
      <c r="R209" s="129" t="str">
        <f t="shared" si="1"/>
        <v>OptionStrat</v>
      </c>
      <c r="S209" s="125" t="s">
        <v>378</v>
      </c>
      <c r="T209" s="125" t="s">
        <v>181</v>
      </c>
      <c r="U209" s="131">
        <v>0.55</v>
      </c>
    </row>
    <row r="210">
      <c r="A210" s="132" t="s">
        <v>28</v>
      </c>
      <c r="B210" s="132" t="s">
        <v>169</v>
      </c>
      <c r="C210" s="133">
        <v>490.0</v>
      </c>
      <c r="D210" s="133">
        <v>580.0</v>
      </c>
      <c r="E210" s="133">
        <v>90.0</v>
      </c>
      <c r="F210" s="134">
        <v>22.02</v>
      </c>
      <c r="G210" s="134">
        <v>67.98</v>
      </c>
      <c r="H210" s="135">
        <v>3.09</v>
      </c>
      <c r="I210" s="134">
        <v>46.07</v>
      </c>
      <c r="J210" s="135">
        <v>2.09</v>
      </c>
      <c r="K210" s="135">
        <v>0.63</v>
      </c>
      <c r="L210" s="135">
        <v>0.56</v>
      </c>
      <c r="M210" s="133">
        <v>494.0</v>
      </c>
      <c r="N210" s="133">
        <v>263.0</v>
      </c>
      <c r="O210" s="135">
        <v>3.6</v>
      </c>
      <c r="P210" s="135">
        <v>0.7</v>
      </c>
      <c r="Q210" s="135">
        <v>2.81</v>
      </c>
      <c r="R210" s="136" t="str">
        <f t="shared" si="1"/>
        <v>OptionStrat</v>
      </c>
      <c r="S210" s="132" t="s">
        <v>379</v>
      </c>
      <c r="T210" s="137"/>
      <c r="U210" s="138">
        <v>0.55</v>
      </c>
    </row>
    <row r="211">
      <c r="A211" s="125" t="s">
        <v>28</v>
      </c>
      <c r="B211" s="125" t="s">
        <v>169</v>
      </c>
      <c r="C211" s="126">
        <v>500.0</v>
      </c>
      <c r="D211" s="126">
        <v>590.0</v>
      </c>
      <c r="E211" s="126">
        <v>90.0</v>
      </c>
      <c r="F211" s="127">
        <v>21.35</v>
      </c>
      <c r="G211" s="127">
        <v>68.65</v>
      </c>
      <c r="H211" s="128">
        <v>3.22</v>
      </c>
      <c r="I211" s="127">
        <v>45.65</v>
      </c>
      <c r="J211" s="128">
        <v>2.14</v>
      </c>
      <c r="K211" s="128">
        <v>0.62</v>
      </c>
      <c r="L211" s="128">
        <v>0.55</v>
      </c>
      <c r="M211" s="126">
        <v>2065.0</v>
      </c>
      <c r="N211" s="126">
        <v>72.0</v>
      </c>
      <c r="O211" s="128">
        <v>3.86</v>
      </c>
      <c r="P211" s="128">
        <v>0.69</v>
      </c>
      <c r="Q211" s="128">
        <v>2.81</v>
      </c>
      <c r="R211" s="129" t="str">
        <f t="shared" si="1"/>
        <v>OptionStrat</v>
      </c>
      <c r="S211" s="125" t="s">
        <v>380</v>
      </c>
      <c r="T211" s="130"/>
      <c r="U211" s="131">
        <v>0.55</v>
      </c>
    </row>
    <row r="212">
      <c r="A212" s="132" t="s">
        <v>28</v>
      </c>
      <c r="B212" s="132" t="s">
        <v>169</v>
      </c>
      <c r="C212" s="133">
        <v>570.0</v>
      </c>
      <c r="D212" s="133">
        <v>600.0</v>
      </c>
      <c r="E212" s="133">
        <v>30.0</v>
      </c>
      <c r="F212" s="134">
        <v>6.42</v>
      </c>
      <c r="G212" s="134">
        <v>23.58</v>
      </c>
      <c r="H212" s="135">
        <v>3.67</v>
      </c>
      <c r="I212" s="134">
        <v>15.43</v>
      </c>
      <c r="J212" s="135">
        <v>2.4</v>
      </c>
      <c r="K212" s="135">
        <v>0.56</v>
      </c>
      <c r="L212" s="135">
        <v>0.54</v>
      </c>
      <c r="M212" s="133">
        <v>254.0</v>
      </c>
      <c r="N212" s="133">
        <v>1000.0</v>
      </c>
      <c r="O212" s="135">
        <v>5.04</v>
      </c>
      <c r="P212" s="135">
        <v>1.08</v>
      </c>
      <c r="Q212" s="135">
        <v>2.81</v>
      </c>
      <c r="R212" s="136" t="str">
        <f t="shared" si="1"/>
        <v>OptionStrat</v>
      </c>
      <c r="S212" s="132" t="s">
        <v>381</v>
      </c>
      <c r="T212" s="137"/>
      <c r="U212" s="138">
        <v>0.55</v>
      </c>
    </row>
    <row r="213">
      <c r="A213" s="125" t="s">
        <v>28</v>
      </c>
      <c r="B213" s="125" t="s">
        <v>171</v>
      </c>
      <c r="C213" s="126">
        <v>490.0</v>
      </c>
      <c r="D213" s="126">
        <v>510.0</v>
      </c>
      <c r="E213" s="126">
        <v>20.0</v>
      </c>
      <c r="F213" s="127">
        <v>5.35</v>
      </c>
      <c r="G213" s="127">
        <v>14.65</v>
      </c>
      <c r="H213" s="128">
        <v>2.74</v>
      </c>
      <c r="I213" s="127">
        <v>10.87</v>
      </c>
      <c r="J213" s="128">
        <v>2.03</v>
      </c>
      <c r="K213" s="128">
        <v>0.66</v>
      </c>
      <c r="L213" s="128">
        <v>0.64</v>
      </c>
      <c r="M213" s="126">
        <v>93.0</v>
      </c>
      <c r="N213" s="126">
        <v>45.0</v>
      </c>
      <c r="O213" s="128">
        <v>0.65</v>
      </c>
      <c r="P213" s="128">
        <v>0.27</v>
      </c>
      <c r="Q213" s="128">
        <v>2.81</v>
      </c>
      <c r="R213" s="129" t="str">
        <f t="shared" si="1"/>
        <v>OptionStrat</v>
      </c>
      <c r="S213" s="125" t="s">
        <v>382</v>
      </c>
      <c r="T213" s="125" t="s">
        <v>181</v>
      </c>
      <c r="U213" s="131">
        <v>0.55</v>
      </c>
    </row>
    <row r="214">
      <c r="A214" s="132" t="s">
        <v>28</v>
      </c>
      <c r="B214" s="132" t="s">
        <v>169</v>
      </c>
      <c r="C214" s="133">
        <v>430.0</v>
      </c>
      <c r="D214" s="133">
        <v>490.0</v>
      </c>
      <c r="E214" s="133">
        <v>60.0</v>
      </c>
      <c r="F214" s="134">
        <v>18.73</v>
      </c>
      <c r="G214" s="134">
        <v>41.27</v>
      </c>
      <c r="H214" s="135">
        <v>2.2</v>
      </c>
      <c r="I214" s="134">
        <v>30.43</v>
      </c>
      <c r="J214" s="135">
        <v>1.62</v>
      </c>
      <c r="K214" s="135">
        <v>0.69</v>
      </c>
      <c r="L214" s="135">
        <v>0.63</v>
      </c>
      <c r="M214" s="133">
        <v>230.0</v>
      </c>
      <c r="N214" s="133">
        <v>494.0</v>
      </c>
      <c r="O214" s="135">
        <v>3.37</v>
      </c>
      <c r="P214" s="135">
        <v>0.47</v>
      </c>
      <c r="Q214" s="135">
        <v>2.8</v>
      </c>
      <c r="R214" s="136" t="str">
        <f t="shared" si="1"/>
        <v>OptionStrat</v>
      </c>
      <c r="S214" s="132" t="s">
        <v>383</v>
      </c>
      <c r="T214" s="137"/>
      <c r="U214" s="138">
        <v>0.55</v>
      </c>
    </row>
    <row r="215">
      <c r="A215" s="125" t="s">
        <v>28</v>
      </c>
      <c r="B215" s="125" t="s">
        <v>169</v>
      </c>
      <c r="C215" s="126">
        <v>450.0</v>
      </c>
      <c r="D215" s="126">
        <v>560.0</v>
      </c>
      <c r="E215" s="126">
        <v>110.0</v>
      </c>
      <c r="F215" s="127">
        <v>29.7</v>
      </c>
      <c r="G215" s="127">
        <v>80.3</v>
      </c>
      <c r="H215" s="128">
        <v>2.7</v>
      </c>
      <c r="I215" s="127">
        <v>56.42</v>
      </c>
      <c r="J215" s="128">
        <v>1.9</v>
      </c>
      <c r="K215" s="128">
        <v>0.67</v>
      </c>
      <c r="L215" s="128">
        <v>0.57</v>
      </c>
      <c r="M215" s="126">
        <v>943.0</v>
      </c>
      <c r="N215" s="126">
        <v>183.0</v>
      </c>
      <c r="O215" s="128">
        <v>4.15</v>
      </c>
      <c r="P215" s="128">
        <v>0.65</v>
      </c>
      <c r="Q215" s="128">
        <v>2.8</v>
      </c>
      <c r="R215" s="129" t="str">
        <f t="shared" si="1"/>
        <v>OptionStrat</v>
      </c>
      <c r="S215" s="125" t="s">
        <v>384</v>
      </c>
      <c r="T215" s="125" t="s">
        <v>181</v>
      </c>
      <c r="U215" s="131">
        <v>0.55</v>
      </c>
    </row>
    <row r="216">
      <c r="A216" s="132" t="s">
        <v>28</v>
      </c>
      <c r="B216" s="132" t="s">
        <v>169</v>
      </c>
      <c r="C216" s="133">
        <v>620.0</v>
      </c>
      <c r="D216" s="133">
        <v>640.0</v>
      </c>
      <c r="E216" s="133">
        <v>20.0</v>
      </c>
      <c r="F216" s="134">
        <v>3.67</v>
      </c>
      <c r="G216" s="134">
        <v>16.33</v>
      </c>
      <c r="H216" s="135">
        <v>4.45</v>
      </c>
      <c r="I216" s="134">
        <v>10.02</v>
      </c>
      <c r="J216" s="135">
        <v>2.73</v>
      </c>
      <c r="K216" s="135">
        <v>0.53</v>
      </c>
      <c r="L216" s="135">
        <v>0.51</v>
      </c>
      <c r="M216" s="133">
        <v>426.0</v>
      </c>
      <c r="N216" s="133">
        <v>222.0</v>
      </c>
      <c r="O216" s="135">
        <v>3.08</v>
      </c>
      <c r="P216" s="135">
        <v>1.14</v>
      </c>
      <c r="Q216" s="135">
        <v>2.8</v>
      </c>
      <c r="R216" s="136" t="str">
        <f t="shared" si="1"/>
        <v>OptionStrat</v>
      </c>
      <c r="S216" s="132" t="s">
        <v>385</v>
      </c>
      <c r="T216" s="137"/>
      <c r="U216" s="138">
        <v>0.55</v>
      </c>
    </row>
    <row r="217">
      <c r="A217" s="125" t="s">
        <v>28</v>
      </c>
      <c r="B217" s="125" t="s">
        <v>171</v>
      </c>
      <c r="C217" s="126">
        <v>440.0</v>
      </c>
      <c r="D217" s="126">
        <v>490.0</v>
      </c>
      <c r="E217" s="126">
        <v>50.0</v>
      </c>
      <c r="F217" s="127">
        <v>14.5</v>
      </c>
      <c r="G217" s="127">
        <v>35.5</v>
      </c>
      <c r="H217" s="128">
        <v>2.45</v>
      </c>
      <c r="I217" s="127">
        <v>26.26</v>
      </c>
      <c r="J217" s="128">
        <v>1.81</v>
      </c>
      <c r="K217" s="128">
        <v>0.7</v>
      </c>
      <c r="L217" s="128">
        <v>0.66</v>
      </c>
      <c r="M217" s="126">
        <v>144.0</v>
      </c>
      <c r="N217" s="126">
        <v>93.0</v>
      </c>
      <c r="O217" s="128">
        <v>1.16</v>
      </c>
      <c r="P217" s="128">
        <v>0.3</v>
      </c>
      <c r="Q217" s="128">
        <v>2.8</v>
      </c>
      <c r="R217" s="129" t="str">
        <f t="shared" si="1"/>
        <v>OptionStrat</v>
      </c>
      <c r="S217" s="125" t="s">
        <v>386</v>
      </c>
      <c r="T217" s="125" t="s">
        <v>181</v>
      </c>
      <c r="U217" s="131">
        <v>0.55</v>
      </c>
    </row>
    <row r="218">
      <c r="A218" s="132" t="s">
        <v>28</v>
      </c>
      <c r="B218" s="132" t="s">
        <v>169</v>
      </c>
      <c r="C218" s="133">
        <v>420.0</v>
      </c>
      <c r="D218" s="133">
        <v>490.0</v>
      </c>
      <c r="E218" s="133">
        <v>70.0</v>
      </c>
      <c r="F218" s="134">
        <v>22.23</v>
      </c>
      <c r="G218" s="134">
        <v>47.77</v>
      </c>
      <c r="H218" s="135">
        <v>2.15</v>
      </c>
      <c r="I218" s="134">
        <v>35.2</v>
      </c>
      <c r="J218" s="135">
        <v>1.58</v>
      </c>
      <c r="K218" s="135">
        <v>0.7</v>
      </c>
      <c r="L218" s="135">
        <v>0.63</v>
      </c>
      <c r="M218" s="133">
        <v>290.0</v>
      </c>
      <c r="N218" s="133">
        <v>494.0</v>
      </c>
      <c r="O218" s="135">
        <v>3.78</v>
      </c>
      <c r="P218" s="135">
        <v>0.47</v>
      </c>
      <c r="Q218" s="135">
        <v>2.79</v>
      </c>
      <c r="R218" s="136" t="str">
        <f t="shared" si="1"/>
        <v>OptionStrat</v>
      </c>
      <c r="S218" s="132" t="s">
        <v>387</v>
      </c>
      <c r="T218" s="137"/>
      <c r="U218" s="138">
        <v>0.55</v>
      </c>
    </row>
    <row r="219">
      <c r="A219" s="125" t="s">
        <v>28</v>
      </c>
      <c r="B219" s="125" t="s">
        <v>169</v>
      </c>
      <c r="C219" s="126">
        <v>450.0</v>
      </c>
      <c r="D219" s="126">
        <v>580.0</v>
      </c>
      <c r="E219" s="126">
        <v>130.0</v>
      </c>
      <c r="F219" s="127">
        <v>34.1</v>
      </c>
      <c r="G219" s="127">
        <v>95.9</v>
      </c>
      <c r="H219" s="128">
        <v>2.81</v>
      </c>
      <c r="I219" s="127">
        <v>64.66</v>
      </c>
      <c r="J219" s="128">
        <v>1.9</v>
      </c>
      <c r="K219" s="128">
        <v>0.67</v>
      </c>
      <c r="L219" s="128">
        <v>0.56</v>
      </c>
      <c r="M219" s="126">
        <v>943.0</v>
      </c>
      <c r="N219" s="126">
        <v>263.0</v>
      </c>
      <c r="O219" s="128">
        <v>4.98</v>
      </c>
      <c r="P219" s="128">
        <v>0.67</v>
      </c>
      <c r="Q219" s="128">
        <v>2.79</v>
      </c>
      <c r="R219" s="129" t="str">
        <f t="shared" si="1"/>
        <v>OptionStrat</v>
      </c>
      <c r="S219" s="125" t="s">
        <v>388</v>
      </c>
      <c r="T219" s="125" t="s">
        <v>181</v>
      </c>
      <c r="U219" s="131">
        <v>0.55</v>
      </c>
    </row>
    <row r="220">
      <c r="A220" s="132" t="s">
        <v>28</v>
      </c>
      <c r="B220" s="132" t="s">
        <v>169</v>
      </c>
      <c r="C220" s="133">
        <v>610.0</v>
      </c>
      <c r="D220" s="133">
        <v>690.0</v>
      </c>
      <c r="E220" s="133">
        <v>80.0</v>
      </c>
      <c r="F220" s="134">
        <v>14.1</v>
      </c>
      <c r="G220" s="134">
        <v>65.9</v>
      </c>
      <c r="H220" s="135">
        <v>4.67</v>
      </c>
      <c r="I220" s="134">
        <v>36.94</v>
      </c>
      <c r="J220" s="135">
        <v>2.62</v>
      </c>
      <c r="K220" s="135">
        <v>0.53</v>
      </c>
      <c r="L220" s="135">
        <v>0.48</v>
      </c>
      <c r="M220" s="133">
        <v>340.0</v>
      </c>
      <c r="N220" s="133">
        <v>370.0</v>
      </c>
      <c r="O220" s="135">
        <v>3.55</v>
      </c>
      <c r="P220" s="135">
        <v>1.18</v>
      </c>
      <c r="Q220" s="135">
        <v>2.79</v>
      </c>
      <c r="R220" s="136" t="str">
        <f t="shared" si="1"/>
        <v>OptionStrat</v>
      </c>
      <c r="S220" s="132" t="s">
        <v>389</v>
      </c>
      <c r="T220" s="137"/>
      <c r="U220" s="138">
        <v>0.55</v>
      </c>
    </row>
    <row r="221">
      <c r="A221" s="125" t="s">
        <v>28</v>
      </c>
      <c r="B221" s="125" t="s">
        <v>171</v>
      </c>
      <c r="C221" s="126">
        <v>450.0</v>
      </c>
      <c r="D221" s="126">
        <v>580.0</v>
      </c>
      <c r="E221" s="126">
        <v>130.0</v>
      </c>
      <c r="F221" s="127">
        <v>34.1</v>
      </c>
      <c r="G221" s="127">
        <v>95.9</v>
      </c>
      <c r="H221" s="128">
        <v>2.81</v>
      </c>
      <c r="I221" s="127">
        <v>70.73</v>
      </c>
      <c r="J221" s="128">
        <v>2.07</v>
      </c>
      <c r="K221" s="128">
        <v>0.69</v>
      </c>
      <c r="L221" s="128">
        <v>0.59</v>
      </c>
      <c r="M221" s="126">
        <v>759.0</v>
      </c>
      <c r="N221" s="126">
        <v>50.0</v>
      </c>
      <c r="O221" s="128">
        <v>1.95</v>
      </c>
      <c r="P221" s="128">
        <v>0.39</v>
      </c>
      <c r="Q221" s="128">
        <v>2.79</v>
      </c>
      <c r="R221" s="129" t="str">
        <f t="shared" si="1"/>
        <v>OptionStrat</v>
      </c>
      <c r="S221" s="125" t="s">
        <v>390</v>
      </c>
      <c r="T221" s="125" t="s">
        <v>181</v>
      </c>
      <c r="U221" s="131">
        <v>0.55</v>
      </c>
    </row>
    <row r="222">
      <c r="A222" s="132" t="s">
        <v>28</v>
      </c>
      <c r="B222" s="132" t="s">
        <v>171</v>
      </c>
      <c r="C222" s="133">
        <v>520.0</v>
      </c>
      <c r="D222" s="133">
        <v>600.0</v>
      </c>
      <c r="E222" s="133">
        <v>80.0</v>
      </c>
      <c r="F222" s="134">
        <v>18.05</v>
      </c>
      <c r="G222" s="134">
        <v>61.95</v>
      </c>
      <c r="H222" s="135">
        <v>3.43</v>
      </c>
      <c r="I222" s="134">
        <v>44.39</v>
      </c>
      <c r="J222" s="135">
        <v>2.46</v>
      </c>
      <c r="K222" s="135">
        <v>0.64</v>
      </c>
      <c r="L222" s="135">
        <v>0.58</v>
      </c>
      <c r="M222" s="133">
        <v>82.0</v>
      </c>
      <c r="N222" s="133">
        <v>416.0</v>
      </c>
      <c r="O222" s="135">
        <v>1.85</v>
      </c>
      <c r="P222" s="135">
        <v>0.29</v>
      </c>
      <c r="Q222" s="135">
        <v>2.79</v>
      </c>
      <c r="R222" s="136" t="str">
        <f t="shared" si="1"/>
        <v>OptionStrat</v>
      </c>
      <c r="S222" s="132" t="s">
        <v>391</v>
      </c>
      <c r="T222" s="137"/>
      <c r="U222" s="138">
        <v>0.55</v>
      </c>
    </row>
    <row r="223">
      <c r="A223" s="125" t="s">
        <v>28</v>
      </c>
      <c r="B223" s="125" t="s">
        <v>171</v>
      </c>
      <c r="C223" s="126">
        <v>670.0</v>
      </c>
      <c r="D223" s="126">
        <v>700.0</v>
      </c>
      <c r="E223" s="126">
        <v>30.0</v>
      </c>
      <c r="F223" s="127">
        <v>4.75</v>
      </c>
      <c r="G223" s="127">
        <v>25.25</v>
      </c>
      <c r="H223" s="128">
        <v>5.32</v>
      </c>
      <c r="I223" s="127">
        <v>15.88</v>
      </c>
      <c r="J223" s="128">
        <v>3.34</v>
      </c>
      <c r="K223" s="128">
        <v>0.53</v>
      </c>
      <c r="L223" s="128">
        <v>0.52</v>
      </c>
      <c r="M223" s="126">
        <v>24.0</v>
      </c>
      <c r="N223" s="126">
        <v>617.0</v>
      </c>
      <c r="O223" s="128">
        <v>1.22</v>
      </c>
      <c r="P223" s="128">
        <v>0.32</v>
      </c>
      <c r="Q223" s="128">
        <v>2.79</v>
      </c>
      <c r="R223" s="129" t="str">
        <f t="shared" si="1"/>
        <v>OptionStrat</v>
      </c>
      <c r="S223" s="125" t="s">
        <v>392</v>
      </c>
      <c r="T223" s="130"/>
      <c r="U223" s="131">
        <v>0.55</v>
      </c>
    </row>
    <row r="224">
      <c r="A224" s="132" t="s">
        <v>28</v>
      </c>
      <c r="B224" s="132" t="s">
        <v>171</v>
      </c>
      <c r="C224" s="133">
        <v>430.0</v>
      </c>
      <c r="D224" s="133">
        <v>480.0</v>
      </c>
      <c r="E224" s="133">
        <v>50.0</v>
      </c>
      <c r="F224" s="134">
        <v>15.2</v>
      </c>
      <c r="G224" s="134">
        <v>34.8</v>
      </c>
      <c r="H224" s="135">
        <v>2.29</v>
      </c>
      <c r="I224" s="134">
        <v>25.69</v>
      </c>
      <c r="J224" s="135">
        <v>1.69</v>
      </c>
      <c r="K224" s="135">
        <v>0.71</v>
      </c>
      <c r="L224" s="135">
        <v>0.67</v>
      </c>
      <c r="M224" s="133">
        <v>213.0</v>
      </c>
      <c r="N224" s="133">
        <v>139.0</v>
      </c>
      <c r="O224" s="135">
        <v>1.72</v>
      </c>
      <c r="P224" s="135">
        <v>0.28</v>
      </c>
      <c r="Q224" s="135">
        <v>2.78</v>
      </c>
      <c r="R224" s="136" t="str">
        <f t="shared" si="1"/>
        <v>OptionStrat</v>
      </c>
      <c r="S224" s="132" t="s">
        <v>393</v>
      </c>
      <c r="T224" s="137"/>
      <c r="U224" s="138">
        <v>0.55</v>
      </c>
    </row>
    <row r="225">
      <c r="A225" s="125" t="s">
        <v>28</v>
      </c>
      <c r="B225" s="125" t="s">
        <v>171</v>
      </c>
      <c r="C225" s="126">
        <v>530.0</v>
      </c>
      <c r="D225" s="126">
        <v>600.0</v>
      </c>
      <c r="E225" s="126">
        <v>70.0</v>
      </c>
      <c r="F225" s="127">
        <v>15.25</v>
      </c>
      <c r="G225" s="127">
        <v>54.75</v>
      </c>
      <c r="H225" s="128">
        <v>3.59</v>
      </c>
      <c r="I225" s="127">
        <v>39.28</v>
      </c>
      <c r="J225" s="128">
        <v>2.58</v>
      </c>
      <c r="K225" s="128">
        <v>0.63</v>
      </c>
      <c r="L225" s="128">
        <v>0.58</v>
      </c>
      <c r="M225" s="126">
        <v>60.0</v>
      </c>
      <c r="N225" s="126">
        <v>416.0</v>
      </c>
      <c r="O225" s="128">
        <v>1.58</v>
      </c>
      <c r="P225" s="128">
        <v>0.33</v>
      </c>
      <c r="Q225" s="128">
        <v>2.78</v>
      </c>
      <c r="R225" s="129" t="str">
        <f t="shared" si="1"/>
        <v>OptionStrat</v>
      </c>
      <c r="S225" s="125" t="s">
        <v>394</v>
      </c>
      <c r="T225" s="130"/>
      <c r="U225" s="131">
        <v>0.55</v>
      </c>
    </row>
    <row r="226">
      <c r="A226" s="132" t="s">
        <v>28</v>
      </c>
      <c r="B226" s="132" t="s">
        <v>169</v>
      </c>
      <c r="C226" s="133">
        <v>520.0</v>
      </c>
      <c r="D226" s="133">
        <v>570.0</v>
      </c>
      <c r="E226" s="133">
        <v>50.0</v>
      </c>
      <c r="F226" s="134">
        <v>11.75</v>
      </c>
      <c r="G226" s="134">
        <v>38.25</v>
      </c>
      <c r="H226" s="135">
        <v>3.26</v>
      </c>
      <c r="I226" s="134">
        <v>26.53</v>
      </c>
      <c r="J226" s="135">
        <v>2.26</v>
      </c>
      <c r="K226" s="135">
        <v>0.61</v>
      </c>
      <c r="L226" s="135">
        <v>0.56</v>
      </c>
      <c r="M226" s="133">
        <v>281.0</v>
      </c>
      <c r="N226" s="133">
        <v>254.0</v>
      </c>
      <c r="O226" s="135">
        <v>2.67</v>
      </c>
      <c r="P226" s="135">
        <v>0.65</v>
      </c>
      <c r="Q226" s="135">
        <v>2.77</v>
      </c>
      <c r="R226" s="136" t="str">
        <f t="shared" si="1"/>
        <v>OptionStrat</v>
      </c>
      <c r="S226" s="132" t="s">
        <v>395</v>
      </c>
      <c r="T226" s="137"/>
      <c r="U226" s="138">
        <v>0.55</v>
      </c>
    </row>
    <row r="227">
      <c r="A227" s="125" t="s">
        <v>28</v>
      </c>
      <c r="B227" s="125" t="s">
        <v>169</v>
      </c>
      <c r="C227" s="126">
        <v>620.0</v>
      </c>
      <c r="D227" s="126">
        <v>670.0</v>
      </c>
      <c r="E227" s="126">
        <v>50.0</v>
      </c>
      <c r="F227" s="127">
        <v>8.9</v>
      </c>
      <c r="G227" s="127">
        <v>41.1</v>
      </c>
      <c r="H227" s="128">
        <v>4.62</v>
      </c>
      <c r="I227" s="127">
        <v>23.9</v>
      </c>
      <c r="J227" s="128">
        <v>2.69</v>
      </c>
      <c r="K227" s="128">
        <v>0.53</v>
      </c>
      <c r="L227" s="128">
        <v>0.49</v>
      </c>
      <c r="M227" s="126">
        <v>426.0</v>
      </c>
      <c r="N227" s="126">
        <v>228.0</v>
      </c>
      <c r="O227" s="128">
        <v>3.12</v>
      </c>
      <c r="P227" s="128">
        <v>1.18</v>
      </c>
      <c r="Q227" s="128">
        <v>2.77</v>
      </c>
      <c r="R227" s="129" t="str">
        <f t="shared" si="1"/>
        <v>OptionStrat</v>
      </c>
      <c r="S227" s="125" t="s">
        <v>396</v>
      </c>
      <c r="T227" s="130"/>
      <c r="U227" s="131">
        <v>0.55</v>
      </c>
    </row>
    <row r="228">
      <c r="A228" s="132" t="s">
        <v>28</v>
      </c>
      <c r="B228" s="132" t="s">
        <v>169</v>
      </c>
      <c r="C228" s="133">
        <v>630.0</v>
      </c>
      <c r="D228" s="133">
        <v>690.0</v>
      </c>
      <c r="E228" s="133">
        <v>60.0</v>
      </c>
      <c r="F228" s="134">
        <v>10.27</v>
      </c>
      <c r="G228" s="134">
        <v>49.73</v>
      </c>
      <c r="H228" s="135">
        <v>4.84</v>
      </c>
      <c r="I228" s="134">
        <v>27.96</v>
      </c>
      <c r="J228" s="135">
        <v>2.72</v>
      </c>
      <c r="K228" s="135">
        <v>0.52</v>
      </c>
      <c r="L228" s="135">
        <v>0.48</v>
      </c>
      <c r="M228" s="133">
        <v>247.0</v>
      </c>
      <c r="N228" s="133">
        <v>370.0</v>
      </c>
      <c r="O228" s="135">
        <v>3.02</v>
      </c>
      <c r="P228" s="135">
        <v>1.21</v>
      </c>
      <c r="Q228" s="135">
        <v>2.77</v>
      </c>
      <c r="R228" s="136" t="str">
        <f t="shared" si="1"/>
        <v>OptionStrat</v>
      </c>
      <c r="S228" s="132" t="s">
        <v>397</v>
      </c>
      <c r="T228" s="137"/>
      <c r="U228" s="138">
        <v>0.55</v>
      </c>
    </row>
    <row r="229">
      <c r="A229" s="125" t="s">
        <v>28</v>
      </c>
      <c r="B229" s="125" t="s">
        <v>171</v>
      </c>
      <c r="C229" s="126">
        <v>510.0</v>
      </c>
      <c r="D229" s="126">
        <v>530.0</v>
      </c>
      <c r="E229" s="126">
        <v>20.0</v>
      </c>
      <c r="F229" s="127">
        <v>5.35</v>
      </c>
      <c r="G229" s="127">
        <v>14.65</v>
      </c>
      <c r="H229" s="128">
        <v>2.74</v>
      </c>
      <c r="I229" s="127">
        <v>10.87</v>
      </c>
      <c r="J229" s="128">
        <v>2.03</v>
      </c>
      <c r="K229" s="128">
        <v>0.64</v>
      </c>
      <c r="L229" s="128">
        <v>0.63</v>
      </c>
      <c r="M229" s="126">
        <v>45.0</v>
      </c>
      <c r="N229" s="126">
        <v>60.0</v>
      </c>
      <c r="O229" s="128">
        <v>0.52</v>
      </c>
      <c r="P229" s="128">
        <v>0.31</v>
      </c>
      <c r="Q229" s="128">
        <v>2.77</v>
      </c>
      <c r="R229" s="129" t="str">
        <f t="shared" si="1"/>
        <v>OptionStrat</v>
      </c>
      <c r="S229" s="125" t="s">
        <v>398</v>
      </c>
      <c r="T229" s="130"/>
      <c r="U229" s="131">
        <v>0.55</v>
      </c>
    </row>
    <row r="230">
      <c r="A230" s="132" t="s">
        <v>28</v>
      </c>
      <c r="B230" s="132" t="s">
        <v>169</v>
      </c>
      <c r="C230" s="133">
        <v>480.0</v>
      </c>
      <c r="D230" s="133">
        <v>570.0</v>
      </c>
      <c r="E230" s="133">
        <v>90.0</v>
      </c>
      <c r="F230" s="134">
        <v>22.73</v>
      </c>
      <c r="G230" s="134">
        <v>67.27</v>
      </c>
      <c r="H230" s="135">
        <v>2.96</v>
      </c>
      <c r="I230" s="134">
        <v>46.46</v>
      </c>
      <c r="J230" s="135">
        <v>2.04</v>
      </c>
      <c r="K230" s="135">
        <v>0.64</v>
      </c>
      <c r="L230" s="135">
        <v>0.56</v>
      </c>
      <c r="M230" s="133">
        <v>403.0</v>
      </c>
      <c r="N230" s="133">
        <v>254.0</v>
      </c>
      <c r="O230" s="135">
        <v>3.2</v>
      </c>
      <c r="P230" s="135">
        <v>0.66</v>
      </c>
      <c r="Q230" s="135">
        <v>2.76</v>
      </c>
      <c r="R230" s="136" t="str">
        <f t="shared" si="1"/>
        <v>OptionStrat</v>
      </c>
      <c r="S230" s="132" t="s">
        <v>399</v>
      </c>
      <c r="T230" s="137"/>
      <c r="U230" s="138">
        <v>0.55</v>
      </c>
    </row>
    <row r="231">
      <c r="A231" s="125" t="s">
        <v>28</v>
      </c>
      <c r="B231" s="125" t="s">
        <v>169</v>
      </c>
      <c r="C231" s="126">
        <v>510.0</v>
      </c>
      <c r="D231" s="126">
        <v>580.0</v>
      </c>
      <c r="E231" s="126">
        <v>70.0</v>
      </c>
      <c r="F231" s="127">
        <v>16.52</v>
      </c>
      <c r="G231" s="127">
        <v>53.48</v>
      </c>
      <c r="H231" s="128">
        <v>3.24</v>
      </c>
      <c r="I231" s="127">
        <v>36.33</v>
      </c>
      <c r="J231" s="128">
        <v>2.2</v>
      </c>
      <c r="K231" s="128">
        <v>0.62</v>
      </c>
      <c r="L231" s="128">
        <v>0.56</v>
      </c>
      <c r="M231" s="126">
        <v>359.0</v>
      </c>
      <c r="N231" s="126">
        <v>263.0</v>
      </c>
      <c r="O231" s="128">
        <v>3.07</v>
      </c>
      <c r="P231" s="128">
        <v>0.66</v>
      </c>
      <c r="Q231" s="128">
        <v>2.76</v>
      </c>
      <c r="R231" s="129" t="str">
        <f t="shared" si="1"/>
        <v>OptionStrat</v>
      </c>
      <c r="S231" s="125" t="s">
        <v>400</v>
      </c>
      <c r="T231" s="130"/>
      <c r="U231" s="131">
        <v>0.55</v>
      </c>
    </row>
    <row r="232">
      <c r="A232" s="132" t="s">
        <v>28</v>
      </c>
      <c r="B232" s="132" t="s">
        <v>169</v>
      </c>
      <c r="C232" s="133">
        <v>600.0</v>
      </c>
      <c r="D232" s="133">
        <v>660.0</v>
      </c>
      <c r="E232" s="133">
        <v>60.0</v>
      </c>
      <c r="F232" s="134">
        <v>11.18</v>
      </c>
      <c r="G232" s="134">
        <v>48.82</v>
      </c>
      <c r="H232" s="135">
        <v>4.37</v>
      </c>
      <c r="I232" s="134">
        <v>28.81</v>
      </c>
      <c r="J232" s="135">
        <v>2.58</v>
      </c>
      <c r="K232" s="135">
        <v>0.54</v>
      </c>
      <c r="L232" s="135">
        <v>0.5</v>
      </c>
      <c r="M232" s="133">
        <v>1000.0</v>
      </c>
      <c r="N232" s="133">
        <v>129.0</v>
      </c>
      <c r="O232" s="135">
        <v>3.59</v>
      </c>
      <c r="P232" s="135">
        <v>1.14</v>
      </c>
      <c r="Q232" s="135">
        <v>2.76</v>
      </c>
      <c r="R232" s="136" t="str">
        <f t="shared" si="1"/>
        <v>OptionStrat</v>
      </c>
      <c r="S232" s="132" t="s">
        <v>401</v>
      </c>
      <c r="T232" s="137"/>
      <c r="U232" s="138">
        <v>0.55</v>
      </c>
    </row>
    <row r="233">
      <c r="A233" s="125" t="s">
        <v>28</v>
      </c>
      <c r="B233" s="125" t="s">
        <v>169</v>
      </c>
      <c r="C233" s="126">
        <v>620.0</v>
      </c>
      <c r="D233" s="126">
        <v>680.0</v>
      </c>
      <c r="E233" s="126">
        <v>60.0</v>
      </c>
      <c r="F233" s="127">
        <v>10.58</v>
      </c>
      <c r="G233" s="127">
        <v>49.42</v>
      </c>
      <c r="H233" s="128">
        <v>4.67</v>
      </c>
      <c r="I233" s="127">
        <v>28.23</v>
      </c>
      <c r="J233" s="128">
        <v>2.67</v>
      </c>
      <c r="K233" s="128">
        <v>0.53</v>
      </c>
      <c r="L233" s="128">
        <v>0.48</v>
      </c>
      <c r="M233" s="126">
        <v>426.0</v>
      </c>
      <c r="N233" s="126">
        <v>245.0</v>
      </c>
      <c r="O233" s="128">
        <v>3.23</v>
      </c>
      <c r="P233" s="128">
        <v>1.14</v>
      </c>
      <c r="Q233" s="128">
        <v>2.76</v>
      </c>
      <c r="R233" s="129" t="str">
        <f t="shared" si="1"/>
        <v>OptionStrat</v>
      </c>
      <c r="S233" s="125" t="s">
        <v>402</v>
      </c>
      <c r="T233" s="130"/>
      <c r="U233" s="131">
        <v>0.55</v>
      </c>
    </row>
    <row r="234">
      <c r="A234" s="132" t="s">
        <v>28</v>
      </c>
      <c r="B234" s="132" t="s">
        <v>169</v>
      </c>
      <c r="C234" s="133">
        <v>640.0</v>
      </c>
      <c r="D234" s="133">
        <v>690.0</v>
      </c>
      <c r="E234" s="133">
        <v>50.0</v>
      </c>
      <c r="F234" s="134">
        <v>8.47</v>
      </c>
      <c r="G234" s="134">
        <v>41.53</v>
      </c>
      <c r="H234" s="135">
        <v>4.9</v>
      </c>
      <c r="I234" s="134">
        <v>23.37</v>
      </c>
      <c r="J234" s="135">
        <v>2.76</v>
      </c>
      <c r="K234" s="135">
        <v>0.51</v>
      </c>
      <c r="L234" s="135">
        <v>0.48</v>
      </c>
      <c r="M234" s="133">
        <v>222.0</v>
      </c>
      <c r="N234" s="133">
        <v>370.0</v>
      </c>
      <c r="O234" s="135">
        <v>2.87</v>
      </c>
      <c r="P234" s="135">
        <v>1.21</v>
      </c>
      <c r="Q234" s="135">
        <v>2.76</v>
      </c>
      <c r="R234" s="136" t="str">
        <f t="shared" si="1"/>
        <v>OptionStrat</v>
      </c>
      <c r="S234" s="132" t="s">
        <v>403</v>
      </c>
      <c r="T234" s="137"/>
      <c r="U234" s="138">
        <v>0.55</v>
      </c>
    </row>
    <row r="235">
      <c r="A235" s="125" t="s">
        <v>28</v>
      </c>
      <c r="B235" s="125" t="s">
        <v>171</v>
      </c>
      <c r="C235" s="126">
        <v>420.0</v>
      </c>
      <c r="D235" s="126">
        <v>520.0</v>
      </c>
      <c r="E235" s="126">
        <v>100.0</v>
      </c>
      <c r="F235" s="127">
        <v>29.1</v>
      </c>
      <c r="G235" s="127">
        <v>70.9</v>
      </c>
      <c r="H235" s="128">
        <v>2.44</v>
      </c>
      <c r="I235" s="127">
        <v>52.43</v>
      </c>
      <c r="J235" s="128">
        <v>1.8</v>
      </c>
      <c r="K235" s="128">
        <v>0.72</v>
      </c>
      <c r="L235" s="128">
        <v>0.64</v>
      </c>
      <c r="M235" s="126">
        <v>131.0</v>
      </c>
      <c r="N235" s="126">
        <v>82.0</v>
      </c>
      <c r="O235" s="128">
        <v>1.04</v>
      </c>
      <c r="P235" s="128">
        <v>0.27</v>
      </c>
      <c r="Q235" s="128">
        <v>2.76</v>
      </c>
      <c r="R235" s="129" t="str">
        <f t="shared" si="1"/>
        <v>OptionStrat</v>
      </c>
      <c r="S235" s="125" t="s">
        <v>404</v>
      </c>
      <c r="T235" s="130"/>
      <c r="U235" s="131">
        <v>0.55</v>
      </c>
    </row>
    <row r="236">
      <c r="A236" s="132" t="s">
        <v>28</v>
      </c>
      <c r="B236" s="132" t="s">
        <v>171</v>
      </c>
      <c r="C236" s="133">
        <v>430.0</v>
      </c>
      <c r="D236" s="133">
        <v>490.0</v>
      </c>
      <c r="E236" s="133">
        <v>60.0</v>
      </c>
      <c r="F236" s="134">
        <v>17.95</v>
      </c>
      <c r="G236" s="134">
        <v>42.05</v>
      </c>
      <c r="H236" s="135">
        <v>2.34</v>
      </c>
      <c r="I236" s="134">
        <v>31.06</v>
      </c>
      <c r="J236" s="135">
        <v>1.73</v>
      </c>
      <c r="K236" s="135">
        <v>0.71</v>
      </c>
      <c r="L236" s="135">
        <v>0.66</v>
      </c>
      <c r="M236" s="133">
        <v>213.0</v>
      </c>
      <c r="N236" s="133">
        <v>93.0</v>
      </c>
      <c r="O236" s="135">
        <v>1.41</v>
      </c>
      <c r="P236" s="135">
        <v>0.28</v>
      </c>
      <c r="Q236" s="135">
        <v>2.76</v>
      </c>
      <c r="R236" s="136" t="str">
        <f t="shared" si="1"/>
        <v>OptionStrat</v>
      </c>
      <c r="S236" s="132" t="s">
        <v>405</v>
      </c>
      <c r="T236" s="137"/>
      <c r="U236" s="138">
        <v>0.55</v>
      </c>
    </row>
    <row r="237">
      <c r="A237" s="125" t="s">
        <v>28</v>
      </c>
      <c r="B237" s="125" t="s">
        <v>169</v>
      </c>
      <c r="C237" s="126">
        <v>400.0</v>
      </c>
      <c r="D237" s="126">
        <v>460.0</v>
      </c>
      <c r="E237" s="126">
        <v>60.0</v>
      </c>
      <c r="F237" s="127">
        <v>20.6</v>
      </c>
      <c r="G237" s="127">
        <v>39.4</v>
      </c>
      <c r="H237" s="128">
        <v>1.91</v>
      </c>
      <c r="I237" s="127">
        <v>28.91</v>
      </c>
      <c r="J237" s="128">
        <v>1.4</v>
      </c>
      <c r="K237" s="128">
        <v>0.72</v>
      </c>
      <c r="L237" s="128">
        <v>0.66</v>
      </c>
      <c r="M237" s="126">
        <v>1326.0</v>
      </c>
      <c r="N237" s="126">
        <v>419.0</v>
      </c>
      <c r="O237" s="128">
        <v>7.45</v>
      </c>
      <c r="P237" s="128">
        <v>0.45</v>
      </c>
      <c r="Q237" s="128">
        <v>2.75</v>
      </c>
      <c r="R237" s="129" t="str">
        <f t="shared" si="1"/>
        <v>OptionStrat</v>
      </c>
      <c r="S237" s="125" t="s">
        <v>406</v>
      </c>
      <c r="T237" s="130"/>
      <c r="U237" s="131">
        <v>0.55</v>
      </c>
    </row>
    <row r="238">
      <c r="A238" s="132" t="s">
        <v>28</v>
      </c>
      <c r="B238" s="132" t="s">
        <v>169</v>
      </c>
      <c r="C238" s="133">
        <v>480.0</v>
      </c>
      <c r="D238" s="133">
        <v>560.0</v>
      </c>
      <c r="E238" s="133">
        <v>80.0</v>
      </c>
      <c r="F238" s="134">
        <v>20.48</v>
      </c>
      <c r="G238" s="134">
        <v>59.52</v>
      </c>
      <c r="H238" s="135">
        <v>2.91</v>
      </c>
      <c r="I238" s="134">
        <v>41.95</v>
      </c>
      <c r="J238" s="135">
        <v>2.05</v>
      </c>
      <c r="K238" s="135">
        <v>0.64</v>
      </c>
      <c r="L238" s="135">
        <v>0.57</v>
      </c>
      <c r="M238" s="133">
        <v>403.0</v>
      </c>
      <c r="N238" s="133">
        <v>183.0</v>
      </c>
      <c r="O238" s="135">
        <v>2.72</v>
      </c>
      <c r="P238" s="135">
        <v>0.66</v>
      </c>
      <c r="Q238" s="135">
        <v>2.75</v>
      </c>
      <c r="R238" s="136" t="str">
        <f t="shared" si="1"/>
        <v>OptionStrat</v>
      </c>
      <c r="S238" s="132" t="s">
        <v>407</v>
      </c>
      <c r="T238" s="137"/>
      <c r="U238" s="138">
        <v>0.55</v>
      </c>
    </row>
    <row r="239">
      <c r="A239" s="125" t="s">
        <v>28</v>
      </c>
      <c r="B239" s="125" t="s">
        <v>169</v>
      </c>
      <c r="C239" s="126">
        <v>530.0</v>
      </c>
      <c r="D239" s="126">
        <v>600.0</v>
      </c>
      <c r="E239" s="126">
        <v>70.0</v>
      </c>
      <c r="F239" s="127">
        <v>15.65</v>
      </c>
      <c r="G239" s="127">
        <v>54.35</v>
      </c>
      <c r="H239" s="128">
        <v>3.47</v>
      </c>
      <c r="I239" s="127">
        <v>35.47</v>
      </c>
      <c r="J239" s="128">
        <v>2.27</v>
      </c>
      <c r="K239" s="128">
        <v>0.6</v>
      </c>
      <c r="L239" s="128">
        <v>0.54</v>
      </c>
      <c r="M239" s="126">
        <v>171.0</v>
      </c>
      <c r="N239" s="126">
        <v>1000.0</v>
      </c>
      <c r="O239" s="128">
        <v>4.14</v>
      </c>
      <c r="P239" s="128">
        <v>0.69</v>
      </c>
      <c r="Q239" s="128">
        <v>2.75</v>
      </c>
      <c r="R239" s="129" t="str">
        <f t="shared" si="1"/>
        <v>OptionStrat</v>
      </c>
      <c r="S239" s="125" t="s">
        <v>408</v>
      </c>
      <c r="T239" s="130"/>
      <c r="U239" s="131">
        <v>0.55</v>
      </c>
    </row>
    <row r="240">
      <c r="A240" s="132" t="s">
        <v>28</v>
      </c>
      <c r="B240" s="132" t="s">
        <v>171</v>
      </c>
      <c r="C240" s="133">
        <v>420.0</v>
      </c>
      <c r="D240" s="133">
        <v>530.0</v>
      </c>
      <c r="E240" s="133">
        <v>110.0</v>
      </c>
      <c r="F240" s="134">
        <v>31.9</v>
      </c>
      <c r="G240" s="134">
        <v>78.1</v>
      </c>
      <c r="H240" s="135">
        <v>2.45</v>
      </c>
      <c r="I240" s="134">
        <v>57.76</v>
      </c>
      <c r="J240" s="135">
        <v>1.81</v>
      </c>
      <c r="K240" s="135">
        <v>0.72</v>
      </c>
      <c r="L240" s="135">
        <v>0.63</v>
      </c>
      <c r="M240" s="133">
        <v>131.0</v>
      </c>
      <c r="N240" s="133">
        <v>60.0</v>
      </c>
      <c r="O240" s="135">
        <v>0.89</v>
      </c>
      <c r="P240" s="135">
        <v>0.31</v>
      </c>
      <c r="Q240" s="135">
        <v>2.75</v>
      </c>
      <c r="R240" s="136" t="str">
        <f t="shared" si="1"/>
        <v>OptionStrat</v>
      </c>
      <c r="S240" s="132" t="s">
        <v>409</v>
      </c>
      <c r="T240" s="137"/>
      <c r="U240" s="138">
        <v>0.55</v>
      </c>
    </row>
    <row r="241">
      <c r="A241" s="125" t="s">
        <v>28</v>
      </c>
      <c r="B241" s="125" t="s">
        <v>171</v>
      </c>
      <c r="C241" s="126">
        <v>500.0</v>
      </c>
      <c r="D241" s="126">
        <v>610.0</v>
      </c>
      <c r="E241" s="126">
        <v>110.0</v>
      </c>
      <c r="F241" s="127">
        <v>25.25</v>
      </c>
      <c r="G241" s="127">
        <v>84.75</v>
      </c>
      <c r="H241" s="128">
        <v>3.36</v>
      </c>
      <c r="I241" s="127">
        <v>59.66</v>
      </c>
      <c r="J241" s="128">
        <v>2.36</v>
      </c>
      <c r="K241" s="128">
        <v>0.65</v>
      </c>
      <c r="L241" s="128">
        <v>0.57</v>
      </c>
      <c r="M241" s="126">
        <v>1214.0</v>
      </c>
      <c r="N241" s="126">
        <v>26.0</v>
      </c>
      <c r="O241" s="128">
        <v>1.78</v>
      </c>
      <c r="P241" s="128">
        <v>0.31</v>
      </c>
      <c r="Q241" s="128">
        <v>2.75</v>
      </c>
      <c r="R241" s="129" t="str">
        <f t="shared" si="1"/>
        <v>OptionStrat</v>
      </c>
      <c r="S241" s="125" t="s">
        <v>410</v>
      </c>
      <c r="T241" s="130"/>
      <c r="U241" s="131">
        <v>0.55</v>
      </c>
    </row>
    <row r="242">
      <c r="A242" s="132" t="s">
        <v>28</v>
      </c>
      <c r="B242" s="132" t="s">
        <v>169</v>
      </c>
      <c r="C242" s="133">
        <v>650.0</v>
      </c>
      <c r="D242" s="133">
        <v>670.0</v>
      </c>
      <c r="E242" s="133">
        <v>20.0</v>
      </c>
      <c r="F242" s="134">
        <v>3.42</v>
      </c>
      <c r="G242" s="134">
        <v>16.58</v>
      </c>
      <c r="H242" s="135">
        <v>4.85</v>
      </c>
      <c r="I242" s="134">
        <v>9.67</v>
      </c>
      <c r="J242" s="135">
        <v>2.83</v>
      </c>
      <c r="K242" s="135">
        <v>0.5</v>
      </c>
      <c r="L242" s="135">
        <v>0.49</v>
      </c>
      <c r="M242" s="133">
        <v>284.0</v>
      </c>
      <c r="N242" s="133">
        <v>228.0</v>
      </c>
      <c r="O242" s="135">
        <v>2.54</v>
      </c>
      <c r="P242" s="135">
        <v>1.21</v>
      </c>
      <c r="Q242" s="135">
        <v>2.74</v>
      </c>
      <c r="R242" s="136" t="str">
        <f t="shared" si="1"/>
        <v>OptionStrat</v>
      </c>
      <c r="S242" s="132" t="s">
        <v>411</v>
      </c>
      <c r="T242" s="137"/>
      <c r="U242" s="138">
        <v>0.55</v>
      </c>
    </row>
    <row r="243">
      <c r="A243" s="125" t="s">
        <v>28</v>
      </c>
      <c r="B243" s="125" t="s">
        <v>169</v>
      </c>
      <c r="C243" s="126">
        <v>390.0</v>
      </c>
      <c r="D243" s="126">
        <v>500.0</v>
      </c>
      <c r="E243" s="126">
        <v>110.0</v>
      </c>
      <c r="F243" s="127">
        <v>36.2</v>
      </c>
      <c r="G243" s="127">
        <v>73.8</v>
      </c>
      <c r="H243" s="128">
        <v>2.04</v>
      </c>
      <c r="I243" s="127">
        <v>54.28</v>
      </c>
      <c r="J243" s="128">
        <v>1.5</v>
      </c>
      <c r="K243" s="128">
        <v>0.73</v>
      </c>
      <c r="L243" s="128">
        <v>0.62</v>
      </c>
      <c r="M243" s="126">
        <v>92.0</v>
      </c>
      <c r="N243" s="126">
        <v>2065.0</v>
      </c>
      <c r="O243" s="128">
        <v>4.36</v>
      </c>
      <c r="P243" s="128">
        <v>0.45</v>
      </c>
      <c r="Q243" s="128">
        <v>2.73</v>
      </c>
      <c r="R243" s="129" t="str">
        <f t="shared" si="1"/>
        <v>OptionStrat</v>
      </c>
      <c r="S243" s="125" t="s">
        <v>412</v>
      </c>
      <c r="T243" s="130"/>
      <c r="U243" s="131">
        <v>0.55</v>
      </c>
    </row>
    <row r="244">
      <c r="A244" s="132" t="s">
        <v>28</v>
      </c>
      <c r="B244" s="132" t="s">
        <v>169</v>
      </c>
      <c r="C244" s="133">
        <v>610.0</v>
      </c>
      <c r="D244" s="133">
        <v>650.0</v>
      </c>
      <c r="E244" s="133">
        <v>40.0</v>
      </c>
      <c r="F244" s="134">
        <v>7.43</v>
      </c>
      <c r="G244" s="134">
        <v>32.57</v>
      </c>
      <c r="H244" s="135">
        <v>4.38</v>
      </c>
      <c r="I244" s="134">
        <v>19.6</v>
      </c>
      <c r="J244" s="135">
        <v>2.64</v>
      </c>
      <c r="K244" s="135">
        <v>0.53</v>
      </c>
      <c r="L244" s="135">
        <v>0.5</v>
      </c>
      <c r="M244" s="133">
        <v>340.0</v>
      </c>
      <c r="N244" s="133">
        <v>284.0</v>
      </c>
      <c r="O244" s="135">
        <v>3.11</v>
      </c>
      <c r="P244" s="135">
        <v>1.14</v>
      </c>
      <c r="Q244" s="135">
        <v>2.73</v>
      </c>
      <c r="R244" s="136" t="str">
        <f t="shared" si="1"/>
        <v>OptionStrat</v>
      </c>
      <c r="S244" s="132" t="s">
        <v>413</v>
      </c>
      <c r="T244" s="137"/>
      <c r="U244" s="138">
        <v>0.55</v>
      </c>
    </row>
    <row r="245">
      <c r="A245" s="125" t="s">
        <v>28</v>
      </c>
      <c r="B245" s="125" t="s">
        <v>171</v>
      </c>
      <c r="C245" s="126">
        <v>440.0</v>
      </c>
      <c r="D245" s="126">
        <v>510.0</v>
      </c>
      <c r="E245" s="126">
        <v>70.0</v>
      </c>
      <c r="F245" s="127">
        <v>19.85</v>
      </c>
      <c r="G245" s="127">
        <v>50.15</v>
      </c>
      <c r="H245" s="128">
        <v>2.53</v>
      </c>
      <c r="I245" s="127">
        <v>37.12</v>
      </c>
      <c r="J245" s="128">
        <v>1.87</v>
      </c>
      <c r="K245" s="128">
        <v>0.7</v>
      </c>
      <c r="L245" s="128">
        <v>0.64</v>
      </c>
      <c r="M245" s="126">
        <v>144.0</v>
      </c>
      <c r="N245" s="126">
        <v>45.0</v>
      </c>
      <c r="O245" s="128">
        <v>0.8</v>
      </c>
      <c r="P245" s="128">
        <v>0.3</v>
      </c>
      <c r="Q245" s="128">
        <v>2.73</v>
      </c>
      <c r="R245" s="129" t="str">
        <f t="shared" si="1"/>
        <v>OptionStrat</v>
      </c>
      <c r="S245" s="125" t="s">
        <v>414</v>
      </c>
      <c r="T245" s="125" t="s">
        <v>181</v>
      </c>
      <c r="U245" s="131">
        <v>0.55</v>
      </c>
    </row>
    <row r="246">
      <c r="A246" s="132" t="s">
        <v>28</v>
      </c>
      <c r="B246" s="132" t="s">
        <v>171</v>
      </c>
      <c r="C246" s="133">
        <v>460.0</v>
      </c>
      <c r="D246" s="133">
        <v>600.0</v>
      </c>
      <c r="E246" s="133">
        <v>140.0</v>
      </c>
      <c r="F246" s="134">
        <v>34.5</v>
      </c>
      <c r="G246" s="134">
        <v>105.5</v>
      </c>
      <c r="H246" s="135">
        <v>3.06</v>
      </c>
      <c r="I246" s="134">
        <v>75.31</v>
      </c>
      <c r="J246" s="135">
        <v>2.18</v>
      </c>
      <c r="K246" s="135">
        <v>0.68</v>
      </c>
      <c r="L246" s="135">
        <v>0.58</v>
      </c>
      <c r="M246" s="133">
        <v>90.0</v>
      </c>
      <c r="N246" s="133">
        <v>416.0</v>
      </c>
      <c r="O246" s="135">
        <v>1.93</v>
      </c>
      <c r="P246" s="135">
        <v>0.29</v>
      </c>
      <c r="Q246" s="135">
        <v>2.73</v>
      </c>
      <c r="R246" s="136" t="str">
        <f t="shared" si="1"/>
        <v>OptionStrat</v>
      </c>
      <c r="S246" s="132" t="s">
        <v>415</v>
      </c>
      <c r="T246" s="137"/>
      <c r="U246" s="138">
        <v>0.55</v>
      </c>
    </row>
    <row r="247">
      <c r="A247" s="125" t="s">
        <v>28</v>
      </c>
      <c r="B247" s="125" t="s">
        <v>171</v>
      </c>
      <c r="C247" s="126">
        <v>600.0</v>
      </c>
      <c r="D247" s="126">
        <v>680.0</v>
      </c>
      <c r="E247" s="126">
        <v>80.0</v>
      </c>
      <c r="F247" s="127">
        <v>14.55</v>
      </c>
      <c r="G247" s="127">
        <v>65.45</v>
      </c>
      <c r="H247" s="128">
        <v>4.5</v>
      </c>
      <c r="I247" s="127">
        <v>41.7</v>
      </c>
      <c r="J247" s="128">
        <v>2.87</v>
      </c>
      <c r="K247" s="128">
        <v>0.58</v>
      </c>
      <c r="L247" s="128">
        <v>0.53</v>
      </c>
      <c r="M247" s="126">
        <v>416.0</v>
      </c>
      <c r="N247" s="126">
        <v>77.0</v>
      </c>
      <c r="O247" s="128">
        <v>1.79</v>
      </c>
      <c r="P247" s="128">
        <v>0.32</v>
      </c>
      <c r="Q247" s="128">
        <v>2.73</v>
      </c>
      <c r="R247" s="129" t="str">
        <f t="shared" si="1"/>
        <v>OptionStrat</v>
      </c>
      <c r="S247" s="125" t="s">
        <v>416</v>
      </c>
      <c r="T247" s="125" t="s">
        <v>181</v>
      </c>
      <c r="U247" s="131">
        <v>0.55</v>
      </c>
    </row>
    <row r="248">
      <c r="A248" s="132" t="s">
        <v>28</v>
      </c>
      <c r="B248" s="132" t="s">
        <v>169</v>
      </c>
      <c r="C248" s="133">
        <v>360.0</v>
      </c>
      <c r="D248" s="133">
        <v>500.0</v>
      </c>
      <c r="E248" s="133">
        <v>140.0</v>
      </c>
      <c r="F248" s="134">
        <v>48.3</v>
      </c>
      <c r="G248" s="134">
        <v>91.7</v>
      </c>
      <c r="H248" s="135">
        <v>1.9</v>
      </c>
      <c r="I248" s="134">
        <v>67.28</v>
      </c>
      <c r="J248" s="135">
        <v>1.39</v>
      </c>
      <c r="K248" s="135">
        <v>0.76</v>
      </c>
      <c r="L248" s="135">
        <v>0.62</v>
      </c>
      <c r="M248" s="133">
        <v>183.0</v>
      </c>
      <c r="N248" s="133">
        <v>2065.0</v>
      </c>
      <c r="O248" s="135">
        <v>6.15</v>
      </c>
      <c r="P248" s="135">
        <v>0.45</v>
      </c>
      <c r="Q248" s="135">
        <v>2.72</v>
      </c>
      <c r="R248" s="136" t="str">
        <f t="shared" si="1"/>
        <v>OptionStrat</v>
      </c>
      <c r="S248" s="132" t="s">
        <v>417</v>
      </c>
      <c r="T248" s="137"/>
      <c r="U248" s="138">
        <v>0.55</v>
      </c>
    </row>
    <row r="249">
      <c r="A249" s="125" t="s">
        <v>28</v>
      </c>
      <c r="B249" s="125" t="s">
        <v>169</v>
      </c>
      <c r="C249" s="126">
        <v>380.0</v>
      </c>
      <c r="D249" s="126">
        <v>500.0</v>
      </c>
      <c r="E249" s="126">
        <v>120.0</v>
      </c>
      <c r="F249" s="127">
        <v>40.0</v>
      </c>
      <c r="G249" s="127">
        <v>80.0</v>
      </c>
      <c r="H249" s="128">
        <v>2.0</v>
      </c>
      <c r="I249" s="127">
        <v>58.8</v>
      </c>
      <c r="J249" s="128">
        <v>1.47</v>
      </c>
      <c r="K249" s="128">
        <v>0.74</v>
      </c>
      <c r="L249" s="128">
        <v>0.62</v>
      </c>
      <c r="M249" s="126">
        <v>106.0</v>
      </c>
      <c r="N249" s="126">
        <v>2065.0</v>
      </c>
      <c r="O249" s="128">
        <v>4.68</v>
      </c>
      <c r="P249" s="128">
        <v>0.47</v>
      </c>
      <c r="Q249" s="128">
        <v>2.72</v>
      </c>
      <c r="R249" s="129" t="str">
        <f t="shared" si="1"/>
        <v>OptionStrat</v>
      </c>
      <c r="S249" s="125" t="s">
        <v>418</v>
      </c>
      <c r="T249" s="130"/>
      <c r="U249" s="131">
        <v>0.55</v>
      </c>
    </row>
    <row r="250">
      <c r="A250" s="132" t="s">
        <v>28</v>
      </c>
      <c r="B250" s="132" t="s">
        <v>169</v>
      </c>
      <c r="C250" s="133">
        <v>490.0</v>
      </c>
      <c r="D250" s="133">
        <v>620.0</v>
      </c>
      <c r="E250" s="133">
        <v>130.0</v>
      </c>
      <c r="F250" s="134">
        <v>30.25</v>
      </c>
      <c r="G250" s="134">
        <v>99.75</v>
      </c>
      <c r="H250" s="135">
        <v>3.3</v>
      </c>
      <c r="I250" s="134">
        <v>62.39</v>
      </c>
      <c r="J250" s="135">
        <v>2.06</v>
      </c>
      <c r="K250" s="135">
        <v>0.63</v>
      </c>
      <c r="L250" s="135">
        <v>0.53</v>
      </c>
      <c r="M250" s="133">
        <v>494.0</v>
      </c>
      <c r="N250" s="133">
        <v>426.0</v>
      </c>
      <c r="O250" s="135">
        <v>4.59</v>
      </c>
      <c r="P250" s="135">
        <v>0.69</v>
      </c>
      <c r="Q250" s="135">
        <v>2.72</v>
      </c>
      <c r="R250" s="136" t="str">
        <f t="shared" si="1"/>
        <v>OptionStrat</v>
      </c>
      <c r="S250" s="132" t="s">
        <v>419</v>
      </c>
      <c r="T250" s="137"/>
      <c r="U250" s="138">
        <v>0.55</v>
      </c>
    </row>
    <row r="251">
      <c r="A251" s="125" t="s">
        <v>28</v>
      </c>
      <c r="B251" s="125" t="s">
        <v>169</v>
      </c>
      <c r="C251" s="126">
        <v>560.0</v>
      </c>
      <c r="D251" s="126">
        <v>700.0</v>
      </c>
      <c r="E251" s="126">
        <v>140.0</v>
      </c>
      <c r="F251" s="127">
        <v>26.32</v>
      </c>
      <c r="G251" s="127">
        <v>113.68</v>
      </c>
      <c r="H251" s="128">
        <v>4.32</v>
      </c>
      <c r="I251" s="127">
        <v>62.03</v>
      </c>
      <c r="J251" s="128">
        <v>2.36</v>
      </c>
      <c r="K251" s="128">
        <v>0.57</v>
      </c>
      <c r="L251" s="128">
        <v>0.47</v>
      </c>
      <c r="M251" s="126">
        <v>183.0</v>
      </c>
      <c r="N251" s="126">
        <v>1080.0</v>
      </c>
      <c r="O251" s="128">
        <v>4.45</v>
      </c>
      <c r="P251" s="128">
        <v>1.14</v>
      </c>
      <c r="Q251" s="128">
        <v>2.72</v>
      </c>
      <c r="R251" s="129" t="str">
        <f t="shared" si="1"/>
        <v>OptionStrat</v>
      </c>
      <c r="S251" s="125" t="s">
        <v>420</v>
      </c>
      <c r="T251" s="130"/>
      <c r="U251" s="131">
        <v>0.55</v>
      </c>
    </row>
    <row r="252">
      <c r="A252" s="132" t="s">
        <v>28</v>
      </c>
      <c r="B252" s="132" t="s">
        <v>169</v>
      </c>
      <c r="C252" s="133">
        <v>630.0</v>
      </c>
      <c r="D252" s="133">
        <v>650.0</v>
      </c>
      <c r="E252" s="133">
        <v>20.0</v>
      </c>
      <c r="F252" s="134">
        <v>3.6</v>
      </c>
      <c r="G252" s="134">
        <v>16.4</v>
      </c>
      <c r="H252" s="135">
        <v>4.56</v>
      </c>
      <c r="I252" s="134">
        <v>9.9</v>
      </c>
      <c r="J252" s="135">
        <v>2.75</v>
      </c>
      <c r="K252" s="135">
        <v>0.52</v>
      </c>
      <c r="L252" s="135">
        <v>0.5</v>
      </c>
      <c r="M252" s="133">
        <v>247.0</v>
      </c>
      <c r="N252" s="133">
        <v>284.0</v>
      </c>
      <c r="O252" s="135">
        <v>2.65</v>
      </c>
      <c r="P252" s="135">
        <v>1.18</v>
      </c>
      <c r="Q252" s="135">
        <v>2.72</v>
      </c>
      <c r="R252" s="136" t="str">
        <f t="shared" si="1"/>
        <v>OptionStrat</v>
      </c>
      <c r="S252" s="132" t="s">
        <v>421</v>
      </c>
      <c r="T252" s="137"/>
      <c r="U252" s="138">
        <v>0.55</v>
      </c>
    </row>
    <row r="253">
      <c r="A253" s="125" t="s">
        <v>28</v>
      </c>
      <c r="B253" s="125" t="s">
        <v>169</v>
      </c>
      <c r="C253" s="126">
        <v>650.0</v>
      </c>
      <c r="D253" s="126">
        <v>680.0</v>
      </c>
      <c r="E253" s="126">
        <v>30.0</v>
      </c>
      <c r="F253" s="127">
        <v>5.1</v>
      </c>
      <c r="G253" s="127">
        <v>24.9</v>
      </c>
      <c r="H253" s="128">
        <v>4.88</v>
      </c>
      <c r="I253" s="127">
        <v>14.27</v>
      </c>
      <c r="J253" s="128">
        <v>2.8</v>
      </c>
      <c r="K253" s="128">
        <v>0.5</v>
      </c>
      <c r="L253" s="128">
        <v>0.48</v>
      </c>
      <c r="M253" s="126">
        <v>284.0</v>
      </c>
      <c r="N253" s="126">
        <v>245.0</v>
      </c>
      <c r="O253" s="128">
        <v>2.64</v>
      </c>
      <c r="P253" s="128">
        <v>1.18</v>
      </c>
      <c r="Q253" s="128">
        <v>2.72</v>
      </c>
      <c r="R253" s="129" t="str">
        <f t="shared" si="1"/>
        <v>OptionStrat</v>
      </c>
      <c r="S253" s="125" t="s">
        <v>422</v>
      </c>
      <c r="T253" s="130"/>
      <c r="U253" s="131">
        <v>0.55</v>
      </c>
    </row>
    <row r="254">
      <c r="A254" s="132" t="s">
        <v>28</v>
      </c>
      <c r="B254" s="132" t="s">
        <v>171</v>
      </c>
      <c r="C254" s="133">
        <v>360.0</v>
      </c>
      <c r="D254" s="133">
        <v>450.0</v>
      </c>
      <c r="E254" s="133">
        <v>90.0</v>
      </c>
      <c r="F254" s="134">
        <v>31.07</v>
      </c>
      <c r="G254" s="134">
        <v>58.93</v>
      </c>
      <c r="H254" s="135">
        <v>1.9</v>
      </c>
      <c r="I254" s="134">
        <v>43.23</v>
      </c>
      <c r="J254" s="135">
        <v>1.39</v>
      </c>
      <c r="K254" s="135">
        <v>0.77</v>
      </c>
      <c r="L254" s="135">
        <v>0.69</v>
      </c>
      <c r="M254" s="133">
        <v>212.0</v>
      </c>
      <c r="N254" s="133">
        <v>759.0</v>
      </c>
      <c r="O254" s="135">
        <v>4.01</v>
      </c>
      <c r="P254" s="135">
        <v>0.37</v>
      </c>
      <c r="Q254" s="135">
        <v>2.72</v>
      </c>
      <c r="R254" s="136" t="str">
        <f t="shared" si="1"/>
        <v>OptionStrat</v>
      </c>
      <c r="S254" s="132" t="s">
        <v>423</v>
      </c>
      <c r="T254" s="137"/>
      <c r="U254" s="138">
        <v>0.55</v>
      </c>
    </row>
    <row r="255">
      <c r="A255" s="125" t="s">
        <v>28</v>
      </c>
      <c r="B255" s="125" t="s">
        <v>171</v>
      </c>
      <c r="C255" s="126">
        <v>460.0</v>
      </c>
      <c r="D255" s="126">
        <v>480.0</v>
      </c>
      <c r="E255" s="126">
        <v>20.0</v>
      </c>
      <c r="F255" s="127">
        <v>5.8</v>
      </c>
      <c r="G255" s="127">
        <v>14.2</v>
      </c>
      <c r="H255" s="128">
        <v>2.45</v>
      </c>
      <c r="I255" s="127">
        <v>10.5</v>
      </c>
      <c r="J255" s="128">
        <v>1.81</v>
      </c>
      <c r="K255" s="128">
        <v>0.68</v>
      </c>
      <c r="L255" s="128">
        <v>0.67</v>
      </c>
      <c r="M255" s="126">
        <v>90.0</v>
      </c>
      <c r="N255" s="126">
        <v>139.0</v>
      </c>
      <c r="O255" s="128">
        <v>1.12</v>
      </c>
      <c r="P255" s="128">
        <v>0.27</v>
      </c>
      <c r="Q255" s="128">
        <v>2.72</v>
      </c>
      <c r="R255" s="129" t="str">
        <f t="shared" si="1"/>
        <v>OptionStrat</v>
      </c>
      <c r="S255" s="125" t="s">
        <v>424</v>
      </c>
      <c r="T255" s="130"/>
      <c r="U255" s="131">
        <v>0.55</v>
      </c>
    </row>
    <row r="256">
      <c r="A256" s="132" t="s">
        <v>28</v>
      </c>
      <c r="B256" s="132" t="s">
        <v>169</v>
      </c>
      <c r="C256" s="133">
        <v>480.0</v>
      </c>
      <c r="D256" s="133">
        <v>580.0</v>
      </c>
      <c r="E256" s="133">
        <v>100.0</v>
      </c>
      <c r="F256" s="134">
        <v>24.88</v>
      </c>
      <c r="G256" s="134">
        <v>75.12</v>
      </c>
      <c r="H256" s="135">
        <v>3.02</v>
      </c>
      <c r="I256" s="134">
        <v>50.85</v>
      </c>
      <c r="J256" s="135">
        <v>2.04</v>
      </c>
      <c r="K256" s="135">
        <v>0.64</v>
      </c>
      <c r="L256" s="135">
        <v>0.56</v>
      </c>
      <c r="M256" s="133">
        <v>403.0</v>
      </c>
      <c r="N256" s="133">
        <v>263.0</v>
      </c>
      <c r="O256" s="135">
        <v>3.26</v>
      </c>
      <c r="P256" s="135">
        <v>0.68</v>
      </c>
      <c r="Q256" s="135">
        <v>2.71</v>
      </c>
      <c r="R256" s="136" t="str">
        <f t="shared" si="1"/>
        <v>OptionStrat</v>
      </c>
      <c r="S256" s="132" t="s">
        <v>425</v>
      </c>
      <c r="T256" s="137"/>
      <c r="U256" s="138">
        <v>0.55</v>
      </c>
    </row>
    <row r="257">
      <c r="A257" s="125" t="s">
        <v>28</v>
      </c>
      <c r="B257" s="125" t="s">
        <v>169</v>
      </c>
      <c r="C257" s="126">
        <v>530.0</v>
      </c>
      <c r="D257" s="126">
        <v>560.0</v>
      </c>
      <c r="E257" s="126">
        <v>30.0</v>
      </c>
      <c r="F257" s="127">
        <v>6.98</v>
      </c>
      <c r="G257" s="127">
        <v>23.02</v>
      </c>
      <c r="H257" s="128">
        <v>3.3</v>
      </c>
      <c r="I257" s="127">
        <v>16.31</v>
      </c>
      <c r="J257" s="128">
        <v>2.34</v>
      </c>
      <c r="K257" s="128">
        <v>0.6</v>
      </c>
      <c r="L257" s="128">
        <v>0.57</v>
      </c>
      <c r="M257" s="126">
        <v>171.0</v>
      </c>
      <c r="N257" s="126">
        <v>183.0</v>
      </c>
      <c r="O257" s="128">
        <v>1.77</v>
      </c>
      <c r="P257" s="128">
        <v>0.68</v>
      </c>
      <c r="Q257" s="128">
        <v>2.71</v>
      </c>
      <c r="R257" s="129" t="str">
        <f t="shared" si="1"/>
        <v>OptionStrat</v>
      </c>
      <c r="S257" s="125" t="s">
        <v>426</v>
      </c>
      <c r="T257" s="130"/>
      <c r="U257" s="131">
        <v>0.55</v>
      </c>
    </row>
    <row r="258">
      <c r="A258" s="132" t="s">
        <v>28</v>
      </c>
      <c r="B258" s="132" t="s">
        <v>171</v>
      </c>
      <c r="C258" s="133">
        <v>400.0</v>
      </c>
      <c r="D258" s="133">
        <v>480.0</v>
      </c>
      <c r="E258" s="133">
        <v>80.0</v>
      </c>
      <c r="F258" s="134">
        <v>25.9</v>
      </c>
      <c r="G258" s="134">
        <v>54.1</v>
      </c>
      <c r="H258" s="135">
        <v>2.09</v>
      </c>
      <c r="I258" s="134">
        <v>39.82</v>
      </c>
      <c r="J258" s="135">
        <v>1.54</v>
      </c>
      <c r="K258" s="135">
        <v>0.74</v>
      </c>
      <c r="L258" s="135">
        <v>0.67</v>
      </c>
      <c r="M258" s="133">
        <v>369.0</v>
      </c>
      <c r="N258" s="133">
        <v>139.0</v>
      </c>
      <c r="O258" s="135">
        <v>2.26</v>
      </c>
      <c r="P258" s="135">
        <v>0.32</v>
      </c>
      <c r="Q258" s="135">
        <v>2.71</v>
      </c>
      <c r="R258" s="136" t="str">
        <f t="shared" si="1"/>
        <v>OptionStrat</v>
      </c>
      <c r="S258" s="132" t="s">
        <v>427</v>
      </c>
      <c r="T258" s="137"/>
      <c r="U258" s="138">
        <v>0.55</v>
      </c>
    </row>
    <row r="259">
      <c r="A259" s="125" t="s">
        <v>28</v>
      </c>
      <c r="B259" s="125" t="s">
        <v>171</v>
      </c>
      <c r="C259" s="126">
        <v>430.0</v>
      </c>
      <c r="D259" s="126">
        <v>510.0</v>
      </c>
      <c r="E259" s="126">
        <v>80.0</v>
      </c>
      <c r="F259" s="127">
        <v>23.3</v>
      </c>
      <c r="G259" s="127">
        <v>56.7</v>
      </c>
      <c r="H259" s="128">
        <v>2.43</v>
      </c>
      <c r="I259" s="127">
        <v>41.93</v>
      </c>
      <c r="J259" s="128">
        <v>1.8</v>
      </c>
      <c r="K259" s="128">
        <v>0.71</v>
      </c>
      <c r="L259" s="128">
        <v>0.64</v>
      </c>
      <c r="M259" s="126">
        <v>213.0</v>
      </c>
      <c r="N259" s="126">
        <v>45.0</v>
      </c>
      <c r="O259" s="128">
        <v>0.98</v>
      </c>
      <c r="P259" s="128">
        <v>0.28</v>
      </c>
      <c r="Q259" s="128">
        <v>2.71</v>
      </c>
      <c r="R259" s="129" t="str">
        <f t="shared" si="1"/>
        <v>OptionStrat</v>
      </c>
      <c r="S259" s="125" t="s">
        <v>428</v>
      </c>
      <c r="T259" s="130"/>
      <c r="U259" s="131">
        <v>0.55</v>
      </c>
    </row>
    <row r="260">
      <c r="A260" s="132" t="s">
        <v>28</v>
      </c>
      <c r="B260" s="132" t="s">
        <v>171</v>
      </c>
      <c r="C260" s="133">
        <v>460.0</v>
      </c>
      <c r="D260" s="133">
        <v>490.0</v>
      </c>
      <c r="E260" s="133">
        <v>30.0</v>
      </c>
      <c r="F260" s="134">
        <v>8.55</v>
      </c>
      <c r="G260" s="134">
        <v>21.45</v>
      </c>
      <c r="H260" s="135">
        <v>2.51</v>
      </c>
      <c r="I260" s="134">
        <v>15.87</v>
      </c>
      <c r="J260" s="135">
        <v>1.86</v>
      </c>
      <c r="K260" s="135">
        <v>0.68</v>
      </c>
      <c r="L260" s="135">
        <v>0.66</v>
      </c>
      <c r="M260" s="133">
        <v>90.0</v>
      </c>
      <c r="N260" s="133">
        <v>93.0</v>
      </c>
      <c r="O260" s="135">
        <v>0.91</v>
      </c>
      <c r="P260" s="135">
        <v>0.27</v>
      </c>
      <c r="Q260" s="135">
        <v>2.71</v>
      </c>
      <c r="R260" s="136" t="str">
        <f t="shared" si="1"/>
        <v>OptionStrat</v>
      </c>
      <c r="S260" s="132" t="s">
        <v>429</v>
      </c>
      <c r="T260" s="137"/>
      <c r="U260" s="138">
        <v>0.55</v>
      </c>
    </row>
    <row r="261">
      <c r="A261" s="125" t="s">
        <v>28</v>
      </c>
      <c r="B261" s="125" t="s">
        <v>171</v>
      </c>
      <c r="C261" s="126">
        <v>570.0</v>
      </c>
      <c r="D261" s="126">
        <v>600.0</v>
      </c>
      <c r="E261" s="126">
        <v>30.0</v>
      </c>
      <c r="F261" s="127">
        <v>6.3</v>
      </c>
      <c r="G261" s="127">
        <v>23.7</v>
      </c>
      <c r="H261" s="128">
        <v>3.76</v>
      </c>
      <c r="I261" s="127">
        <v>17.03</v>
      </c>
      <c r="J261" s="128">
        <v>2.7</v>
      </c>
      <c r="K261" s="128">
        <v>0.6</v>
      </c>
      <c r="L261" s="128">
        <v>0.58</v>
      </c>
      <c r="M261" s="126">
        <v>110.0</v>
      </c>
      <c r="N261" s="126">
        <v>416.0</v>
      </c>
      <c r="O261" s="128">
        <v>2.14</v>
      </c>
      <c r="P261" s="128">
        <v>0.29</v>
      </c>
      <c r="Q261" s="128">
        <v>2.71</v>
      </c>
      <c r="R261" s="129" t="str">
        <f t="shared" si="1"/>
        <v>OptionStrat</v>
      </c>
      <c r="S261" s="125" t="s">
        <v>430</v>
      </c>
      <c r="T261" s="130"/>
      <c r="U261" s="131">
        <v>0.55</v>
      </c>
    </row>
    <row r="262">
      <c r="A262" s="132" t="s">
        <v>28</v>
      </c>
      <c r="B262" s="132" t="s">
        <v>169</v>
      </c>
      <c r="C262" s="133">
        <v>410.0</v>
      </c>
      <c r="D262" s="133">
        <v>520.0</v>
      </c>
      <c r="E262" s="133">
        <v>110.0</v>
      </c>
      <c r="F262" s="134">
        <v>33.95</v>
      </c>
      <c r="G262" s="134">
        <v>76.05</v>
      </c>
      <c r="H262" s="135">
        <v>2.24</v>
      </c>
      <c r="I262" s="134">
        <v>56.1</v>
      </c>
      <c r="J262" s="135">
        <v>1.65</v>
      </c>
      <c r="K262" s="135">
        <v>0.71</v>
      </c>
      <c r="L262" s="135">
        <v>0.61</v>
      </c>
      <c r="M262" s="133">
        <v>194.0</v>
      </c>
      <c r="N262" s="133">
        <v>281.0</v>
      </c>
      <c r="O262" s="135">
        <v>2.33</v>
      </c>
      <c r="P262" s="135">
        <v>0.44</v>
      </c>
      <c r="Q262" s="135">
        <v>2.7</v>
      </c>
      <c r="R262" s="136" t="str">
        <f t="shared" si="1"/>
        <v>OptionStrat</v>
      </c>
      <c r="S262" s="132" t="s">
        <v>431</v>
      </c>
      <c r="T262" s="137"/>
      <c r="U262" s="138">
        <v>0.55</v>
      </c>
    </row>
    <row r="263">
      <c r="A263" s="125" t="s">
        <v>28</v>
      </c>
      <c r="B263" s="125" t="s">
        <v>169</v>
      </c>
      <c r="C263" s="126">
        <v>490.0</v>
      </c>
      <c r="D263" s="126">
        <v>610.0</v>
      </c>
      <c r="E263" s="126">
        <v>120.0</v>
      </c>
      <c r="F263" s="127">
        <v>28.3</v>
      </c>
      <c r="G263" s="127">
        <v>91.7</v>
      </c>
      <c r="H263" s="128">
        <v>3.24</v>
      </c>
      <c r="I263" s="127">
        <v>58.49</v>
      </c>
      <c r="J263" s="128">
        <v>2.07</v>
      </c>
      <c r="K263" s="128">
        <v>0.63</v>
      </c>
      <c r="L263" s="128">
        <v>0.53</v>
      </c>
      <c r="M263" s="126">
        <v>494.0</v>
      </c>
      <c r="N263" s="126">
        <v>340.0</v>
      </c>
      <c r="O263" s="128">
        <v>4.1</v>
      </c>
      <c r="P263" s="128">
        <v>0.69</v>
      </c>
      <c r="Q263" s="128">
        <v>2.7</v>
      </c>
      <c r="R263" s="129" t="str">
        <f t="shared" si="1"/>
        <v>OptionStrat</v>
      </c>
      <c r="S263" s="125" t="s">
        <v>432</v>
      </c>
      <c r="T263" s="130"/>
      <c r="U263" s="131">
        <v>0.55</v>
      </c>
    </row>
    <row r="264">
      <c r="A264" s="132" t="s">
        <v>28</v>
      </c>
      <c r="B264" s="132" t="s">
        <v>169</v>
      </c>
      <c r="C264" s="133">
        <v>520.0</v>
      </c>
      <c r="D264" s="133">
        <v>580.0</v>
      </c>
      <c r="E264" s="133">
        <v>60.0</v>
      </c>
      <c r="F264" s="134">
        <v>13.9</v>
      </c>
      <c r="G264" s="134">
        <v>46.1</v>
      </c>
      <c r="H264" s="135">
        <v>3.32</v>
      </c>
      <c r="I264" s="134">
        <v>31.36</v>
      </c>
      <c r="J264" s="135">
        <v>2.26</v>
      </c>
      <c r="K264" s="135">
        <v>0.61</v>
      </c>
      <c r="L264" s="135">
        <v>0.56</v>
      </c>
      <c r="M264" s="133">
        <v>281.0</v>
      </c>
      <c r="N264" s="133">
        <v>263.0</v>
      </c>
      <c r="O264" s="135">
        <v>2.72</v>
      </c>
      <c r="P264" s="135">
        <v>0.67</v>
      </c>
      <c r="Q264" s="135">
        <v>2.7</v>
      </c>
      <c r="R264" s="136" t="str">
        <f t="shared" si="1"/>
        <v>OptionStrat</v>
      </c>
      <c r="S264" s="132" t="s">
        <v>433</v>
      </c>
      <c r="T264" s="137"/>
      <c r="U264" s="138">
        <v>0.55</v>
      </c>
    </row>
    <row r="265">
      <c r="A265" s="125" t="s">
        <v>28</v>
      </c>
      <c r="B265" s="125" t="s">
        <v>171</v>
      </c>
      <c r="C265" s="126">
        <v>550.0</v>
      </c>
      <c r="D265" s="126">
        <v>700.0</v>
      </c>
      <c r="E265" s="126">
        <v>150.0</v>
      </c>
      <c r="F265" s="127">
        <v>28.65</v>
      </c>
      <c r="G265" s="127">
        <v>121.35</v>
      </c>
      <c r="H265" s="128">
        <v>4.24</v>
      </c>
      <c r="I265" s="127">
        <v>75.31</v>
      </c>
      <c r="J265" s="128">
        <v>2.63</v>
      </c>
      <c r="K265" s="128">
        <v>0.61</v>
      </c>
      <c r="L265" s="128">
        <v>0.52</v>
      </c>
      <c r="M265" s="126">
        <v>78.0</v>
      </c>
      <c r="N265" s="126">
        <v>617.0</v>
      </c>
      <c r="O265" s="128">
        <v>2.19</v>
      </c>
      <c r="P265" s="128">
        <v>0.31</v>
      </c>
      <c r="Q265" s="128">
        <v>2.7</v>
      </c>
      <c r="R265" s="129" t="str">
        <f t="shared" si="1"/>
        <v>OptionStrat</v>
      </c>
      <c r="S265" s="125" t="s">
        <v>434</v>
      </c>
      <c r="T265" s="125" t="s">
        <v>181</v>
      </c>
      <c r="U265" s="131">
        <v>0.55</v>
      </c>
    </row>
    <row r="266">
      <c r="A266" s="132" t="s">
        <v>28</v>
      </c>
      <c r="B266" s="132" t="s">
        <v>169</v>
      </c>
      <c r="C266" s="133">
        <v>410.0</v>
      </c>
      <c r="D266" s="133">
        <v>540.0</v>
      </c>
      <c r="E266" s="133">
        <v>130.0</v>
      </c>
      <c r="F266" s="134">
        <v>38.72</v>
      </c>
      <c r="G266" s="134">
        <v>91.28</v>
      </c>
      <c r="H266" s="135">
        <v>2.36</v>
      </c>
      <c r="I266" s="134">
        <v>66.71</v>
      </c>
      <c r="J266" s="135">
        <v>1.72</v>
      </c>
      <c r="K266" s="135">
        <v>0.71</v>
      </c>
      <c r="L266" s="135">
        <v>0.59</v>
      </c>
      <c r="M266" s="133">
        <v>194.0</v>
      </c>
      <c r="N266" s="133">
        <v>116.0</v>
      </c>
      <c r="O266" s="135">
        <v>1.5</v>
      </c>
      <c r="P266" s="135">
        <v>0.6</v>
      </c>
      <c r="Q266" s="135">
        <v>2.69</v>
      </c>
      <c r="R266" s="136" t="str">
        <f t="shared" si="1"/>
        <v>OptionStrat</v>
      </c>
      <c r="S266" s="132" t="s">
        <v>435</v>
      </c>
      <c r="T266" s="137"/>
      <c r="U266" s="138">
        <v>0.55</v>
      </c>
    </row>
    <row r="267">
      <c r="A267" s="125" t="s">
        <v>28</v>
      </c>
      <c r="B267" s="125" t="s">
        <v>169</v>
      </c>
      <c r="C267" s="126">
        <v>550.0</v>
      </c>
      <c r="D267" s="126">
        <v>620.0</v>
      </c>
      <c r="E267" s="126">
        <v>70.0</v>
      </c>
      <c r="F267" s="127">
        <v>14.92</v>
      </c>
      <c r="G267" s="127">
        <v>55.08</v>
      </c>
      <c r="H267" s="128">
        <v>3.69</v>
      </c>
      <c r="I267" s="127">
        <v>34.73</v>
      </c>
      <c r="J267" s="128">
        <v>2.33</v>
      </c>
      <c r="K267" s="128">
        <v>0.58</v>
      </c>
      <c r="L267" s="128">
        <v>0.53</v>
      </c>
      <c r="M267" s="126">
        <v>474.0</v>
      </c>
      <c r="N267" s="126">
        <v>426.0</v>
      </c>
      <c r="O267" s="128">
        <v>4.49</v>
      </c>
      <c r="P267" s="128">
        <v>1.08</v>
      </c>
      <c r="Q267" s="128">
        <v>2.69</v>
      </c>
      <c r="R267" s="129" t="str">
        <f t="shared" si="1"/>
        <v>OptionStrat</v>
      </c>
      <c r="S267" s="125" t="s">
        <v>436</v>
      </c>
      <c r="T267" s="125" t="s">
        <v>181</v>
      </c>
      <c r="U267" s="131">
        <v>0.55</v>
      </c>
    </row>
    <row r="268">
      <c r="A268" s="132" t="s">
        <v>28</v>
      </c>
      <c r="B268" s="132" t="s">
        <v>169</v>
      </c>
      <c r="C268" s="133">
        <v>560.0</v>
      </c>
      <c r="D268" s="133">
        <v>600.0</v>
      </c>
      <c r="E268" s="133">
        <v>40.0</v>
      </c>
      <c r="F268" s="134">
        <v>8.67</v>
      </c>
      <c r="G268" s="134">
        <v>31.33</v>
      </c>
      <c r="H268" s="135">
        <v>3.61</v>
      </c>
      <c r="I268" s="134">
        <v>20.49</v>
      </c>
      <c r="J268" s="135">
        <v>2.36</v>
      </c>
      <c r="K268" s="135">
        <v>0.57</v>
      </c>
      <c r="L268" s="135">
        <v>0.54</v>
      </c>
      <c r="M268" s="133">
        <v>183.0</v>
      </c>
      <c r="N268" s="133">
        <v>1000.0</v>
      </c>
      <c r="O268" s="135">
        <v>4.28</v>
      </c>
      <c r="P268" s="135">
        <v>1.08</v>
      </c>
      <c r="Q268" s="135">
        <v>2.69</v>
      </c>
      <c r="R268" s="136" t="str">
        <f t="shared" si="1"/>
        <v>OptionStrat</v>
      </c>
      <c r="S268" s="132" t="s">
        <v>437</v>
      </c>
      <c r="T268" s="137"/>
      <c r="U268" s="138">
        <v>0.55</v>
      </c>
    </row>
    <row r="269">
      <c r="A269" s="125" t="s">
        <v>28</v>
      </c>
      <c r="B269" s="125" t="s">
        <v>169</v>
      </c>
      <c r="C269" s="126">
        <v>610.0</v>
      </c>
      <c r="D269" s="126">
        <v>630.0</v>
      </c>
      <c r="E269" s="126">
        <v>20.0</v>
      </c>
      <c r="F269" s="127">
        <v>3.83</v>
      </c>
      <c r="G269" s="127">
        <v>16.17</v>
      </c>
      <c r="H269" s="128">
        <v>4.22</v>
      </c>
      <c r="I269" s="127">
        <v>10.09</v>
      </c>
      <c r="J269" s="128">
        <v>2.63</v>
      </c>
      <c r="K269" s="128">
        <v>0.53</v>
      </c>
      <c r="L269" s="128">
        <v>0.52</v>
      </c>
      <c r="M269" s="126">
        <v>340.0</v>
      </c>
      <c r="N269" s="126">
        <v>247.0</v>
      </c>
      <c r="O269" s="128">
        <v>2.9</v>
      </c>
      <c r="P269" s="128">
        <v>1.14</v>
      </c>
      <c r="Q269" s="128">
        <v>2.69</v>
      </c>
      <c r="R269" s="129" t="str">
        <f t="shared" si="1"/>
        <v>OptionStrat</v>
      </c>
      <c r="S269" s="125" t="s">
        <v>438</v>
      </c>
      <c r="T269" s="130"/>
      <c r="U269" s="131">
        <v>0.55</v>
      </c>
    </row>
    <row r="270">
      <c r="A270" s="132" t="s">
        <v>28</v>
      </c>
      <c r="B270" s="132" t="s">
        <v>171</v>
      </c>
      <c r="C270" s="133">
        <v>400.0</v>
      </c>
      <c r="D270" s="133">
        <v>490.0</v>
      </c>
      <c r="E270" s="133">
        <v>90.0</v>
      </c>
      <c r="F270" s="134">
        <v>28.65</v>
      </c>
      <c r="G270" s="134">
        <v>61.35</v>
      </c>
      <c r="H270" s="135">
        <v>2.14</v>
      </c>
      <c r="I270" s="134">
        <v>45.19</v>
      </c>
      <c r="J270" s="135">
        <v>1.58</v>
      </c>
      <c r="K270" s="135">
        <v>0.74</v>
      </c>
      <c r="L270" s="135">
        <v>0.66</v>
      </c>
      <c r="M270" s="133">
        <v>369.0</v>
      </c>
      <c r="N270" s="133">
        <v>93.0</v>
      </c>
      <c r="O270" s="135">
        <v>1.85</v>
      </c>
      <c r="P270" s="135">
        <v>0.32</v>
      </c>
      <c r="Q270" s="135">
        <v>2.69</v>
      </c>
      <c r="R270" s="136" t="str">
        <f t="shared" si="1"/>
        <v>OptionStrat</v>
      </c>
      <c r="S270" s="132" t="s">
        <v>439</v>
      </c>
      <c r="T270" s="137"/>
      <c r="U270" s="138">
        <v>0.55</v>
      </c>
    </row>
    <row r="271">
      <c r="A271" s="125" t="s">
        <v>28</v>
      </c>
      <c r="B271" s="125" t="s">
        <v>171</v>
      </c>
      <c r="C271" s="126">
        <v>470.0</v>
      </c>
      <c r="D271" s="126">
        <v>600.0</v>
      </c>
      <c r="E271" s="126">
        <v>130.0</v>
      </c>
      <c r="F271" s="127">
        <v>31.6</v>
      </c>
      <c r="G271" s="127">
        <v>98.4</v>
      </c>
      <c r="H271" s="128">
        <v>3.11</v>
      </c>
      <c r="I271" s="127">
        <v>70.28</v>
      </c>
      <c r="J271" s="128">
        <v>2.22</v>
      </c>
      <c r="K271" s="128">
        <v>0.68</v>
      </c>
      <c r="L271" s="128">
        <v>0.58</v>
      </c>
      <c r="M271" s="126">
        <v>68.0</v>
      </c>
      <c r="N271" s="126">
        <v>416.0</v>
      </c>
      <c r="O271" s="128">
        <v>1.68</v>
      </c>
      <c r="P271" s="128">
        <v>0.29</v>
      </c>
      <c r="Q271" s="128">
        <v>2.69</v>
      </c>
      <c r="R271" s="129" t="str">
        <f t="shared" si="1"/>
        <v>OptionStrat</v>
      </c>
      <c r="S271" s="125" t="s">
        <v>440</v>
      </c>
      <c r="T271" s="130"/>
      <c r="U271" s="131">
        <v>0.55</v>
      </c>
    </row>
    <row r="272">
      <c r="A272" s="132" t="s">
        <v>28</v>
      </c>
      <c r="B272" s="132" t="s">
        <v>171</v>
      </c>
      <c r="C272" s="133">
        <v>650.0</v>
      </c>
      <c r="D272" s="133">
        <v>680.0</v>
      </c>
      <c r="E272" s="133">
        <v>30.0</v>
      </c>
      <c r="F272" s="134">
        <v>5.1</v>
      </c>
      <c r="G272" s="134">
        <v>24.9</v>
      </c>
      <c r="H272" s="135">
        <v>4.88</v>
      </c>
      <c r="I272" s="134">
        <v>15.93</v>
      </c>
      <c r="J272" s="135">
        <v>3.12</v>
      </c>
      <c r="K272" s="135">
        <v>0.54</v>
      </c>
      <c r="L272" s="135">
        <v>0.53</v>
      </c>
      <c r="M272" s="133">
        <v>220.0</v>
      </c>
      <c r="N272" s="133">
        <v>77.0</v>
      </c>
      <c r="O272" s="135">
        <v>1.3</v>
      </c>
      <c r="P272" s="135">
        <v>0.32</v>
      </c>
      <c r="Q272" s="135">
        <v>2.69</v>
      </c>
      <c r="R272" s="136" t="str">
        <f t="shared" si="1"/>
        <v>OptionStrat</v>
      </c>
      <c r="S272" s="132" t="s">
        <v>441</v>
      </c>
      <c r="T272" s="137"/>
      <c r="U272" s="138">
        <v>0.55</v>
      </c>
    </row>
    <row r="273">
      <c r="A273" s="125" t="s">
        <v>28</v>
      </c>
      <c r="B273" s="125" t="s">
        <v>169</v>
      </c>
      <c r="C273" s="126">
        <v>410.0</v>
      </c>
      <c r="D273" s="126">
        <v>510.0</v>
      </c>
      <c r="E273" s="126">
        <v>100.0</v>
      </c>
      <c r="F273" s="127">
        <v>31.32</v>
      </c>
      <c r="G273" s="127">
        <v>68.68</v>
      </c>
      <c r="H273" s="128">
        <v>2.19</v>
      </c>
      <c r="I273" s="127">
        <v>50.63</v>
      </c>
      <c r="J273" s="128">
        <v>1.62</v>
      </c>
      <c r="K273" s="128">
        <v>0.71</v>
      </c>
      <c r="L273" s="128">
        <v>0.62</v>
      </c>
      <c r="M273" s="126">
        <v>194.0</v>
      </c>
      <c r="N273" s="126">
        <v>359.0</v>
      </c>
      <c r="O273" s="128">
        <v>2.64</v>
      </c>
      <c r="P273" s="128">
        <v>0.44</v>
      </c>
      <c r="Q273" s="128">
        <v>2.68</v>
      </c>
      <c r="R273" s="129" t="str">
        <f t="shared" si="1"/>
        <v>OptionStrat</v>
      </c>
      <c r="S273" s="125" t="s">
        <v>442</v>
      </c>
      <c r="T273" s="130"/>
      <c r="U273" s="131">
        <v>0.55</v>
      </c>
    </row>
    <row r="274">
      <c r="A274" s="132" t="s">
        <v>28</v>
      </c>
      <c r="B274" s="132" t="s">
        <v>169</v>
      </c>
      <c r="C274" s="133">
        <v>470.0</v>
      </c>
      <c r="D274" s="133">
        <v>570.0</v>
      </c>
      <c r="E274" s="133">
        <v>100.0</v>
      </c>
      <c r="F274" s="134">
        <v>25.82</v>
      </c>
      <c r="G274" s="134">
        <v>74.18</v>
      </c>
      <c r="H274" s="135">
        <v>2.87</v>
      </c>
      <c r="I274" s="134">
        <v>51.15</v>
      </c>
      <c r="J274" s="135">
        <v>1.98</v>
      </c>
      <c r="K274" s="135">
        <v>0.65</v>
      </c>
      <c r="L274" s="135">
        <v>0.56</v>
      </c>
      <c r="M274" s="133">
        <v>318.0</v>
      </c>
      <c r="N274" s="133">
        <v>254.0</v>
      </c>
      <c r="O274" s="135">
        <v>2.84</v>
      </c>
      <c r="P274" s="135">
        <v>0.78</v>
      </c>
      <c r="Q274" s="135">
        <v>2.68</v>
      </c>
      <c r="R274" s="136" t="str">
        <f t="shared" si="1"/>
        <v>OptionStrat</v>
      </c>
      <c r="S274" s="132" t="s">
        <v>443</v>
      </c>
      <c r="T274" s="137"/>
      <c r="U274" s="138">
        <v>0.55</v>
      </c>
    </row>
    <row r="275">
      <c r="A275" s="125" t="s">
        <v>28</v>
      </c>
      <c r="B275" s="125" t="s">
        <v>169</v>
      </c>
      <c r="C275" s="126">
        <v>610.0</v>
      </c>
      <c r="D275" s="126">
        <v>640.0</v>
      </c>
      <c r="E275" s="126">
        <v>30.0</v>
      </c>
      <c r="F275" s="127">
        <v>5.63</v>
      </c>
      <c r="G275" s="127">
        <v>24.37</v>
      </c>
      <c r="H275" s="128">
        <v>4.33</v>
      </c>
      <c r="I275" s="127">
        <v>14.94</v>
      </c>
      <c r="J275" s="128">
        <v>2.65</v>
      </c>
      <c r="K275" s="128">
        <v>0.53</v>
      </c>
      <c r="L275" s="128">
        <v>0.51</v>
      </c>
      <c r="M275" s="126">
        <v>340.0</v>
      </c>
      <c r="N275" s="126">
        <v>222.0</v>
      </c>
      <c r="O275" s="128">
        <v>2.75</v>
      </c>
      <c r="P275" s="128">
        <v>1.14</v>
      </c>
      <c r="Q275" s="128">
        <v>2.68</v>
      </c>
      <c r="R275" s="129" t="str">
        <f t="shared" si="1"/>
        <v>OptionStrat</v>
      </c>
      <c r="S275" s="125" t="s">
        <v>444</v>
      </c>
      <c r="T275" s="130"/>
      <c r="U275" s="131">
        <v>0.55</v>
      </c>
    </row>
    <row r="276">
      <c r="A276" s="132" t="s">
        <v>28</v>
      </c>
      <c r="B276" s="132" t="s">
        <v>169</v>
      </c>
      <c r="C276" s="133">
        <v>660.0</v>
      </c>
      <c r="D276" s="133">
        <v>690.0</v>
      </c>
      <c r="E276" s="133">
        <v>30.0</v>
      </c>
      <c r="F276" s="134">
        <v>4.92</v>
      </c>
      <c r="G276" s="134">
        <v>25.08</v>
      </c>
      <c r="H276" s="135">
        <v>5.1</v>
      </c>
      <c r="I276" s="134">
        <v>14.16</v>
      </c>
      <c r="J276" s="135">
        <v>2.88</v>
      </c>
      <c r="K276" s="135">
        <v>0.5</v>
      </c>
      <c r="L276" s="135">
        <v>0.48</v>
      </c>
      <c r="M276" s="133">
        <v>129.0</v>
      </c>
      <c r="N276" s="133">
        <v>370.0</v>
      </c>
      <c r="O276" s="135">
        <v>2.18</v>
      </c>
      <c r="P276" s="135">
        <v>1.21</v>
      </c>
      <c r="Q276" s="135">
        <v>2.68</v>
      </c>
      <c r="R276" s="136" t="str">
        <f t="shared" si="1"/>
        <v>OptionStrat</v>
      </c>
      <c r="S276" s="132" t="s">
        <v>445</v>
      </c>
      <c r="T276" s="137"/>
      <c r="U276" s="138">
        <v>0.55</v>
      </c>
    </row>
    <row r="277">
      <c r="A277" s="125" t="s">
        <v>28</v>
      </c>
      <c r="B277" s="125" t="s">
        <v>171</v>
      </c>
      <c r="C277" s="126">
        <v>410.0</v>
      </c>
      <c r="D277" s="126">
        <v>550.0</v>
      </c>
      <c r="E277" s="126">
        <v>140.0</v>
      </c>
      <c r="F277" s="127">
        <v>39.75</v>
      </c>
      <c r="G277" s="127">
        <v>100.25</v>
      </c>
      <c r="H277" s="128">
        <v>2.52</v>
      </c>
      <c r="I277" s="127">
        <v>74.2</v>
      </c>
      <c r="J277" s="128">
        <v>1.87</v>
      </c>
      <c r="K277" s="128">
        <v>0.73</v>
      </c>
      <c r="L277" s="128">
        <v>0.61</v>
      </c>
      <c r="M277" s="126">
        <v>54.0</v>
      </c>
      <c r="N277" s="126">
        <v>78.0</v>
      </c>
      <c r="O277" s="128">
        <v>0.65</v>
      </c>
      <c r="P277" s="128">
        <v>0.28</v>
      </c>
      <c r="Q277" s="128">
        <v>2.68</v>
      </c>
      <c r="R277" s="129" t="str">
        <f t="shared" si="1"/>
        <v>OptionStrat</v>
      </c>
      <c r="S277" s="125" t="s">
        <v>446</v>
      </c>
      <c r="T277" s="130"/>
      <c r="U277" s="131">
        <v>0.56</v>
      </c>
    </row>
    <row r="278">
      <c r="A278" s="132" t="s">
        <v>28</v>
      </c>
      <c r="B278" s="132" t="s">
        <v>169</v>
      </c>
      <c r="C278" s="133">
        <v>610.0</v>
      </c>
      <c r="D278" s="133">
        <v>670.0</v>
      </c>
      <c r="E278" s="133">
        <v>60.0</v>
      </c>
      <c r="F278" s="134">
        <v>10.85</v>
      </c>
      <c r="G278" s="134">
        <v>49.15</v>
      </c>
      <c r="H278" s="135">
        <v>4.53</v>
      </c>
      <c r="I278" s="134">
        <v>28.54</v>
      </c>
      <c r="J278" s="135">
        <v>2.63</v>
      </c>
      <c r="K278" s="135">
        <v>0.53</v>
      </c>
      <c r="L278" s="135">
        <v>0.49</v>
      </c>
      <c r="M278" s="133">
        <v>340.0</v>
      </c>
      <c r="N278" s="133">
        <v>228.0</v>
      </c>
      <c r="O278" s="135">
        <v>2.78</v>
      </c>
      <c r="P278" s="135">
        <v>1.18</v>
      </c>
      <c r="Q278" s="135">
        <v>2.67</v>
      </c>
      <c r="R278" s="136" t="str">
        <f t="shared" si="1"/>
        <v>OptionStrat</v>
      </c>
      <c r="S278" s="132" t="s">
        <v>447</v>
      </c>
      <c r="T278" s="137"/>
      <c r="U278" s="138">
        <v>0.55</v>
      </c>
    </row>
    <row r="279">
      <c r="A279" s="125" t="s">
        <v>28</v>
      </c>
      <c r="B279" s="125" t="s">
        <v>169</v>
      </c>
      <c r="C279" s="126">
        <v>610.0</v>
      </c>
      <c r="D279" s="126">
        <v>680.0</v>
      </c>
      <c r="E279" s="126">
        <v>70.0</v>
      </c>
      <c r="F279" s="127">
        <v>12.53</v>
      </c>
      <c r="G279" s="127">
        <v>57.47</v>
      </c>
      <c r="H279" s="128">
        <v>4.59</v>
      </c>
      <c r="I279" s="127">
        <v>32.77</v>
      </c>
      <c r="J279" s="128">
        <v>2.62</v>
      </c>
      <c r="K279" s="128">
        <v>0.53</v>
      </c>
      <c r="L279" s="128">
        <v>0.48</v>
      </c>
      <c r="M279" s="126">
        <v>340.0</v>
      </c>
      <c r="N279" s="126">
        <v>245.0</v>
      </c>
      <c r="O279" s="128">
        <v>2.89</v>
      </c>
      <c r="P279" s="128">
        <v>1.14</v>
      </c>
      <c r="Q279" s="128">
        <v>2.67</v>
      </c>
      <c r="R279" s="129" t="str">
        <f t="shared" si="1"/>
        <v>OptionStrat</v>
      </c>
      <c r="S279" s="125" t="s">
        <v>448</v>
      </c>
      <c r="T279" s="130"/>
      <c r="U279" s="131">
        <v>0.55</v>
      </c>
    </row>
    <row r="280">
      <c r="A280" s="132" t="s">
        <v>28</v>
      </c>
      <c r="B280" s="132" t="s">
        <v>171</v>
      </c>
      <c r="C280" s="133">
        <v>380.0</v>
      </c>
      <c r="D280" s="133">
        <v>450.0</v>
      </c>
      <c r="E280" s="133">
        <v>70.0</v>
      </c>
      <c r="F280" s="134">
        <v>23.27</v>
      </c>
      <c r="G280" s="134">
        <v>46.73</v>
      </c>
      <c r="H280" s="135">
        <v>2.01</v>
      </c>
      <c r="I280" s="134">
        <v>34.35</v>
      </c>
      <c r="J280" s="135">
        <v>1.48</v>
      </c>
      <c r="K280" s="135">
        <v>0.75</v>
      </c>
      <c r="L280" s="135">
        <v>0.69</v>
      </c>
      <c r="M280" s="133">
        <v>97.0</v>
      </c>
      <c r="N280" s="133">
        <v>759.0</v>
      </c>
      <c r="O280" s="135">
        <v>2.71</v>
      </c>
      <c r="P280" s="135">
        <v>0.38</v>
      </c>
      <c r="Q280" s="135">
        <v>2.67</v>
      </c>
      <c r="R280" s="136" t="str">
        <f t="shared" si="1"/>
        <v>OptionStrat</v>
      </c>
      <c r="S280" s="132" t="s">
        <v>449</v>
      </c>
      <c r="T280" s="137"/>
      <c r="U280" s="138">
        <v>0.55</v>
      </c>
    </row>
    <row r="281">
      <c r="A281" s="125" t="s">
        <v>28</v>
      </c>
      <c r="B281" s="125" t="s">
        <v>171</v>
      </c>
      <c r="C281" s="126">
        <v>470.0</v>
      </c>
      <c r="D281" s="126">
        <v>490.0</v>
      </c>
      <c r="E281" s="126">
        <v>20.0</v>
      </c>
      <c r="F281" s="127">
        <v>5.65</v>
      </c>
      <c r="G281" s="127">
        <v>14.35</v>
      </c>
      <c r="H281" s="128">
        <v>2.54</v>
      </c>
      <c r="I281" s="127">
        <v>10.62</v>
      </c>
      <c r="J281" s="128">
        <v>1.88</v>
      </c>
      <c r="K281" s="128">
        <v>0.68</v>
      </c>
      <c r="L281" s="128">
        <v>0.66</v>
      </c>
      <c r="M281" s="126">
        <v>68.0</v>
      </c>
      <c r="N281" s="126">
        <v>93.0</v>
      </c>
      <c r="O281" s="128">
        <v>0.8</v>
      </c>
      <c r="P281" s="128">
        <v>0.27</v>
      </c>
      <c r="Q281" s="128">
        <v>2.67</v>
      </c>
      <c r="R281" s="129" t="str">
        <f t="shared" si="1"/>
        <v>OptionStrat</v>
      </c>
      <c r="S281" s="125" t="s">
        <v>450</v>
      </c>
      <c r="T281" s="130"/>
      <c r="U281" s="131">
        <v>0.55</v>
      </c>
    </row>
    <row r="282">
      <c r="A282" s="132" t="s">
        <v>28</v>
      </c>
      <c r="B282" s="132" t="s">
        <v>171</v>
      </c>
      <c r="C282" s="133">
        <v>580.0</v>
      </c>
      <c r="D282" s="133">
        <v>700.0</v>
      </c>
      <c r="E282" s="133">
        <v>120.0</v>
      </c>
      <c r="F282" s="134">
        <v>21.92</v>
      </c>
      <c r="G282" s="134">
        <v>98.08</v>
      </c>
      <c r="H282" s="135">
        <v>4.47</v>
      </c>
      <c r="I282" s="134">
        <v>61.08</v>
      </c>
      <c r="J282" s="135">
        <v>2.79</v>
      </c>
      <c r="K282" s="135">
        <v>0.59</v>
      </c>
      <c r="L282" s="135">
        <v>0.52</v>
      </c>
      <c r="M282" s="133">
        <v>50.0</v>
      </c>
      <c r="N282" s="133">
        <v>617.0</v>
      </c>
      <c r="O282" s="135">
        <v>1.76</v>
      </c>
      <c r="P282" s="135">
        <v>0.31</v>
      </c>
      <c r="Q282" s="135">
        <v>2.67</v>
      </c>
      <c r="R282" s="136" t="str">
        <f t="shared" si="1"/>
        <v>OptionStrat</v>
      </c>
      <c r="S282" s="132" t="s">
        <v>451</v>
      </c>
      <c r="T282" s="137"/>
      <c r="U282" s="138">
        <v>0.55</v>
      </c>
    </row>
    <row r="283">
      <c r="A283" s="125" t="s">
        <v>28</v>
      </c>
      <c r="B283" s="125" t="s">
        <v>169</v>
      </c>
      <c r="C283" s="126">
        <v>410.0</v>
      </c>
      <c r="D283" s="126">
        <v>530.0</v>
      </c>
      <c r="E283" s="126">
        <v>120.0</v>
      </c>
      <c r="F283" s="127">
        <v>36.47</v>
      </c>
      <c r="G283" s="127">
        <v>83.53</v>
      </c>
      <c r="H283" s="128">
        <v>2.29</v>
      </c>
      <c r="I283" s="127">
        <v>61.66</v>
      </c>
      <c r="J283" s="128">
        <v>1.69</v>
      </c>
      <c r="K283" s="128">
        <v>0.71</v>
      </c>
      <c r="L283" s="128">
        <v>0.6</v>
      </c>
      <c r="M283" s="126">
        <v>194.0</v>
      </c>
      <c r="N283" s="126">
        <v>171.0</v>
      </c>
      <c r="O283" s="128">
        <v>1.82</v>
      </c>
      <c r="P283" s="128">
        <v>0.46</v>
      </c>
      <c r="Q283" s="128">
        <v>2.66</v>
      </c>
      <c r="R283" s="129" t="str">
        <f t="shared" si="1"/>
        <v>OptionStrat</v>
      </c>
      <c r="S283" s="125" t="s">
        <v>452</v>
      </c>
      <c r="T283" s="130"/>
      <c r="U283" s="131">
        <v>0.55</v>
      </c>
    </row>
    <row r="284">
      <c r="A284" s="132" t="s">
        <v>28</v>
      </c>
      <c r="B284" s="132" t="s">
        <v>169</v>
      </c>
      <c r="C284" s="133">
        <v>440.0</v>
      </c>
      <c r="D284" s="133">
        <v>480.0</v>
      </c>
      <c r="E284" s="133">
        <v>40.0</v>
      </c>
      <c r="F284" s="134">
        <v>12.55</v>
      </c>
      <c r="G284" s="134">
        <v>27.45</v>
      </c>
      <c r="H284" s="135">
        <v>2.19</v>
      </c>
      <c r="I284" s="134">
        <v>20.23</v>
      </c>
      <c r="J284" s="135">
        <v>1.61</v>
      </c>
      <c r="K284" s="135">
        <v>0.68</v>
      </c>
      <c r="L284" s="135">
        <v>0.64</v>
      </c>
      <c r="M284" s="133">
        <v>208.0</v>
      </c>
      <c r="N284" s="133">
        <v>403.0</v>
      </c>
      <c r="O284" s="135">
        <v>2.9</v>
      </c>
      <c r="P284" s="135">
        <v>0.45</v>
      </c>
      <c r="Q284" s="135">
        <v>2.66</v>
      </c>
      <c r="R284" s="136" t="str">
        <f t="shared" si="1"/>
        <v>OptionStrat</v>
      </c>
      <c r="S284" s="132" t="s">
        <v>453</v>
      </c>
      <c r="T284" s="137"/>
      <c r="U284" s="138">
        <v>0.55</v>
      </c>
    </row>
    <row r="285">
      <c r="A285" s="125" t="s">
        <v>28</v>
      </c>
      <c r="B285" s="125" t="s">
        <v>169</v>
      </c>
      <c r="C285" s="126">
        <v>460.0</v>
      </c>
      <c r="D285" s="126">
        <v>570.0</v>
      </c>
      <c r="E285" s="126">
        <v>110.0</v>
      </c>
      <c r="F285" s="127">
        <v>28.8</v>
      </c>
      <c r="G285" s="127">
        <v>81.2</v>
      </c>
      <c r="H285" s="128">
        <v>2.82</v>
      </c>
      <c r="I285" s="127">
        <v>55.94</v>
      </c>
      <c r="J285" s="128">
        <v>1.94</v>
      </c>
      <c r="K285" s="128">
        <v>0.66</v>
      </c>
      <c r="L285" s="128">
        <v>0.56</v>
      </c>
      <c r="M285" s="126">
        <v>419.0</v>
      </c>
      <c r="N285" s="126">
        <v>254.0</v>
      </c>
      <c r="O285" s="128">
        <v>3.26</v>
      </c>
      <c r="P285" s="128">
        <v>0.65</v>
      </c>
      <c r="Q285" s="128">
        <v>2.66</v>
      </c>
      <c r="R285" s="129" t="str">
        <f t="shared" si="1"/>
        <v>OptionStrat</v>
      </c>
      <c r="S285" s="125" t="s">
        <v>454</v>
      </c>
      <c r="T285" s="130"/>
      <c r="U285" s="131">
        <v>0.55</v>
      </c>
    </row>
    <row r="286">
      <c r="A286" s="132" t="s">
        <v>28</v>
      </c>
      <c r="B286" s="132" t="s">
        <v>169</v>
      </c>
      <c r="C286" s="133">
        <v>470.0</v>
      </c>
      <c r="D286" s="133">
        <v>560.0</v>
      </c>
      <c r="E286" s="133">
        <v>90.0</v>
      </c>
      <c r="F286" s="134">
        <v>23.57</v>
      </c>
      <c r="G286" s="134">
        <v>66.43</v>
      </c>
      <c r="H286" s="135">
        <v>2.82</v>
      </c>
      <c r="I286" s="134">
        <v>46.76</v>
      </c>
      <c r="J286" s="135">
        <v>1.98</v>
      </c>
      <c r="K286" s="135">
        <v>0.65</v>
      </c>
      <c r="L286" s="135">
        <v>0.57</v>
      </c>
      <c r="M286" s="133">
        <v>318.0</v>
      </c>
      <c r="N286" s="133">
        <v>183.0</v>
      </c>
      <c r="O286" s="135">
        <v>2.41</v>
      </c>
      <c r="P286" s="135">
        <v>0.78</v>
      </c>
      <c r="Q286" s="135">
        <v>2.66</v>
      </c>
      <c r="R286" s="136" t="str">
        <f t="shared" si="1"/>
        <v>OptionStrat</v>
      </c>
      <c r="S286" s="132" t="s">
        <v>455</v>
      </c>
      <c r="T286" s="137"/>
      <c r="U286" s="138">
        <v>0.55</v>
      </c>
    </row>
    <row r="287">
      <c r="A287" s="125" t="s">
        <v>28</v>
      </c>
      <c r="B287" s="125" t="s">
        <v>169</v>
      </c>
      <c r="C287" s="126">
        <v>630.0</v>
      </c>
      <c r="D287" s="126">
        <v>670.0</v>
      </c>
      <c r="E287" s="126">
        <v>40.0</v>
      </c>
      <c r="F287" s="127">
        <v>7.02</v>
      </c>
      <c r="G287" s="127">
        <v>32.98</v>
      </c>
      <c r="H287" s="128">
        <v>4.7</v>
      </c>
      <c r="I287" s="127">
        <v>19.2</v>
      </c>
      <c r="J287" s="128">
        <v>2.74</v>
      </c>
      <c r="K287" s="128">
        <v>0.52</v>
      </c>
      <c r="L287" s="128">
        <v>0.49</v>
      </c>
      <c r="M287" s="126">
        <v>247.0</v>
      </c>
      <c r="N287" s="126">
        <v>228.0</v>
      </c>
      <c r="O287" s="128">
        <v>2.37</v>
      </c>
      <c r="P287" s="128">
        <v>1.21</v>
      </c>
      <c r="Q287" s="128">
        <v>2.66</v>
      </c>
      <c r="R287" s="129" t="str">
        <f t="shared" si="1"/>
        <v>OptionStrat</v>
      </c>
      <c r="S287" s="125" t="s">
        <v>456</v>
      </c>
      <c r="T287" s="130"/>
      <c r="U287" s="131">
        <v>0.55</v>
      </c>
    </row>
    <row r="288">
      <c r="A288" s="132" t="s">
        <v>28</v>
      </c>
      <c r="B288" s="132" t="s">
        <v>171</v>
      </c>
      <c r="C288" s="133">
        <v>400.0</v>
      </c>
      <c r="D288" s="133">
        <v>510.0</v>
      </c>
      <c r="E288" s="133">
        <v>110.0</v>
      </c>
      <c r="F288" s="134">
        <v>34.0</v>
      </c>
      <c r="G288" s="134">
        <v>76.0</v>
      </c>
      <c r="H288" s="135">
        <v>2.24</v>
      </c>
      <c r="I288" s="134">
        <v>56.06</v>
      </c>
      <c r="J288" s="135">
        <v>1.65</v>
      </c>
      <c r="K288" s="135">
        <v>0.74</v>
      </c>
      <c r="L288" s="135">
        <v>0.64</v>
      </c>
      <c r="M288" s="133">
        <v>369.0</v>
      </c>
      <c r="N288" s="133">
        <v>45.0</v>
      </c>
      <c r="O288" s="135">
        <v>1.29</v>
      </c>
      <c r="P288" s="135">
        <v>0.32</v>
      </c>
      <c r="Q288" s="135">
        <v>2.66</v>
      </c>
      <c r="R288" s="136" t="str">
        <f t="shared" si="1"/>
        <v>OptionStrat</v>
      </c>
      <c r="S288" s="132" t="s">
        <v>457</v>
      </c>
      <c r="T288" s="137"/>
      <c r="U288" s="138">
        <v>0.55</v>
      </c>
    </row>
    <row r="289">
      <c r="A289" s="125" t="s">
        <v>28</v>
      </c>
      <c r="B289" s="125" t="s">
        <v>171</v>
      </c>
      <c r="C289" s="126">
        <v>480.0</v>
      </c>
      <c r="D289" s="126">
        <v>570.0</v>
      </c>
      <c r="E289" s="126">
        <v>90.0</v>
      </c>
      <c r="F289" s="127">
        <v>22.4</v>
      </c>
      <c r="G289" s="127">
        <v>67.6</v>
      </c>
      <c r="H289" s="128">
        <v>3.02</v>
      </c>
      <c r="I289" s="127">
        <v>50.26</v>
      </c>
      <c r="J289" s="128">
        <v>2.24</v>
      </c>
      <c r="K289" s="128">
        <v>0.67</v>
      </c>
      <c r="L289" s="128">
        <v>0.6</v>
      </c>
      <c r="M289" s="126">
        <v>139.0</v>
      </c>
      <c r="N289" s="126">
        <v>110.0</v>
      </c>
      <c r="O289" s="128">
        <v>1.24</v>
      </c>
      <c r="P289" s="128">
        <v>0.27</v>
      </c>
      <c r="Q289" s="128">
        <v>2.66</v>
      </c>
      <c r="R289" s="129" t="str">
        <f t="shared" si="1"/>
        <v>OptionStrat</v>
      </c>
      <c r="S289" s="125" t="s">
        <v>458</v>
      </c>
      <c r="T289" s="130"/>
      <c r="U289" s="131">
        <v>0.55</v>
      </c>
    </row>
    <row r="290">
      <c r="A290" s="132" t="s">
        <v>28</v>
      </c>
      <c r="B290" s="132" t="s">
        <v>169</v>
      </c>
      <c r="C290" s="133">
        <v>510.0</v>
      </c>
      <c r="D290" s="133">
        <v>620.0</v>
      </c>
      <c r="E290" s="133">
        <v>110.0</v>
      </c>
      <c r="F290" s="134">
        <v>24.75</v>
      </c>
      <c r="G290" s="134">
        <v>85.25</v>
      </c>
      <c r="H290" s="135">
        <v>3.44</v>
      </c>
      <c r="I290" s="134">
        <v>53.49</v>
      </c>
      <c r="J290" s="135">
        <v>2.16</v>
      </c>
      <c r="K290" s="135">
        <v>0.62</v>
      </c>
      <c r="L290" s="135">
        <v>0.53</v>
      </c>
      <c r="M290" s="133">
        <v>359.0</v>
      </c>
      <c r="N290" s="133">
        <v>426.0</v>
      </c>
      <c r="O290" s="135">
        <v>3.91</v>
      </c>
      <c r="P290" s="135">
        <v>0.65</v>
      </c>
      <c r="Q290" s="135">
        <v>2.65</v>
      </c>
      <c r="R290" s="136" t="str">
        <f t="shared" si="1"/>
        <v>OptionStrat</v>
      </c>
      <c r="S290" s="132" t="s">
        <v>459</v>
      </c>
      <c r="T290" s="137"/>
      <c r="U290" s="138">
        <v>0.55</v>
      </c>
    </row>
    <row r="291">
      <c r="A291" s="125" t="s">
        <v>28</v>
      </c>
      <c r="B291" s="125" t="s">
        <v>169</v>
      </c>
      <c r="C291" s="126">
        <v>550.0</v>
      </c>
      <c r="D291" s="126">
        <v>690.0</v>
      </c>
      <c r="E291" s="126">
        <v>140.0</v>
      </c>
      <c r="F291" s="127">
        <v>27.07</v>
      </c>
      <c r="G291" s="127">
        <v>112.93</v>
      </c>
      <c r="H291" s="128">
        <v>4.17</v>
      </c>
      <c r="I291" s="127">
        <v>62.61</v>
      </c>
      <c r="J291" s="128">
        <v>2.31</v>
      </c>
      <c r="K291" s="128">
        <v>0.58</v>
      </c>
      <c r="L291" s="128">
        <v>0.48</v>
      </c>
      <c r="M291" s="126">
        <v>474.0</v>
      </c>
      <c r="N291" s="126">
        <v>370.0</v>
      </c>
      <c r="O291" s="128">
        <v>4.19</v>
      </c>
      <c r="P291" s="128">
        <v>1.14</v>
      </c>
      <c r="Q291" s="128">
        <v>2.65</v>
      </c>
      <c r="R291" s="129" t="str">
        <f t="shared" si="1"/>
        <v>OptionStrat</v>
      </c>
      <c r="S291" s="125" t="s">
        <v>460</v>
      </c>
      <c r="T291" s="125" t="s">
        <v>181</v>
      </c>
      <c r="U291" s="131">
        <v>0.55</v>
      </c>
    </row>
    <row r="292">
      <c r="A292" s="132" t="s">
        <v>28</v>
      </c>
      <c r="B292" s="132" t="s">
        <v>169</v>
      </c>
      <c r="C292" s="133">
        <v>630.0</v>
      </c>
      <c r="D292" s="133">
        <v>680.0</v>
      </c>
      <c r="E292" s="133">
        <v>50.0</v>
      </c>
      <c r="F292" s="134">
        <v>8.7</v>
      </c>
      <c r="G292" s="134">
        <v>41.3</v>
      </c>
      <c r="H292" s="135">
        <v>4.75</v>
      </c>
      <c r="I292" s="134">
        <v>23.62</v>
      </c>
      <c r="J292" s="135">
        <v>2.71</v>
      </c>
      <c r="K292" s="135">
        <v>0.52</v>
      </c>
      <c r="L292" s="135">
        <v>0.48</v>
      </c>
      <c r="M292" s="133">
        <v>247.0</v>
      </c>
      <c r="N292" s="133">
        <v>245.0</v>
      </c>
      <c r="O292" s="135">
        <v>2.46</v>
      </c>
      <c r="P292" s="135">
        <v>1.18</v>
      </c>
      <c r="Q292" s="135">
        <v>2.65</v>
      </c>
      <c r="R292" s="136" t="str">
        <f t="shared" si="1"/>
        <v>OptionStrat</v>
      </c>
      <c r="S292" s="132" t="s">
        <v>461</v>
      </c>
      <c r="T292" s="137"/>
      <c r="U292" s="138">
        <v>0.55</v>
      </c>
    </row>
    <row r="293">
      <c r="A293" s="125" t="s">
        <v>28</v>
      </c>
      <c r="B293" s="125" t="s">
        <v>171</v>
      </c>
      <c r="C293" s="126">
        <v>460.0</v>
      </c>
      <c r="D293" s="126">
        <v>510.0</v>
      </c>
      <c r="E293" s="126">
        <v>50.0</v>
      </c>
      <c r="F293" s="127">
        <v>13.9</v>
      </c>
      <c r="G293" s="127">
        <v>36.1</v>
      </c>
      <c r="H293" s="128">
        <v>2.6</v>
      </c>
      <c r="I293" s="127">
        <v>26.74</v>
      </c>
      <c r="J293" s="128">
        <v>1.92</v>
      </c>
      <c r="K293" s="128">
        <v>0.68</v>
      </c>
      <c r="L293" s="128">
        <v>0.64</v>
      </c>
      <c r="M293" s="126">
        <v>90.0</v>
      </c>
      <c r="N293" s="126">
        <v>45.0</v>
      </c>
      <c r="O293" s="128">
        <v>0.64</v>
      </c>
      <c r="P293" s="128">
        <v>0.27</v>
      </c>
      <c r="Q293" s="128">
        <v>2.65</v>
      </c>
      <c r="R293" s="129" t="str">
        <f t="shared" si="1"/>
        <v>OptionStrat</v>
      </c>
      <c r="S293" s="125" t="s">
        <v>462</v>
      </c>
      <c r="T293" s="130"/>
      <c r="U293" s="131">
        <v>0.55</v>
      </c>
    </row>
    <row r="294">
      <c r="A294" s="132" t="s">
        <v>28</v>
      </c>
      <c r="B294" s="132" t="s">
        <v>169</v>
      </c>
      <c r="C294" s="133">
        <v>420.0</v>
      </c>
      <c r="D294" s="133">
        <v>480.0</v>
      </c>
      <c r="E294" s="133">
        <v>60.0</v>
      </c>
      <c r="F294" s="134">
        <v>19.38</v>
      </c>
      <c r="G294" s="134">
        <v>40.62</v>
      </c>
      <c r="H294" s="135">
        <v>2.1</v>
      </c>
      <c r="I294" s="134">
        <v>29.91</v>
      </c>
      <c r="J294" s="135">
        <v>1.54</v>
      </c>
      <c r="K294" s="135">
        <v>0.7</v>
      </c>
      <c r="L294" s="135">
        <v>0.64</v>
      </c>
      <c r="M294" s="133">
        <v>290.0</v>
      </c>
      <c r="N294" s="133">
        <v>403.0</v>
      </c>
      <c r="O294" s="135">
        <v>3.42</v>
      </c>
      <c r="P294" s="135">
        <v>0.46</v>
      </c>
      <c r="Q294" s="135">
        <v>2.64</v>
      </c>
      <c r="R294" s="136" t="str">
        <f t="shared" si="1"/>
        <v>OptionStrat</v>
      </c>
      <c r="S294" s="132" t="s">
        <v>463</v>
      </c>
      <c r="T294" s="137"/>
      <c r="U294" s="138">
        <v>0.55</v>
      </c>
    </row>
    <row r="295">
      <c r="A295" s="125" t="s">
        <v>28</v>
      </c>
      <c r="B295" s="125" t="s">
        <v>169</v>
      </c>
      <c r="C295" s="126">
        <v>430.0</v>
      </c>
      <c r="D295" s="126">
        <v>480.0</v>
      </c>
      <c r="E295" s="126">
        <v>50.0</v>
      </c>
      <c r="F295" s="127">
        <v>15.88</v>
      </c>
      <c r="G295" s="127">
        <v>34.12</v>
      </c>
      <c r="H295" s="128">
        <v>2.15</v>
      </c>
      <c r="I295" s="127">
        <v>25.14</v>
      </c>
      <c r="J295" s="128">
        <v>1.58</v>
      </c>
      <c r="K295" s="128">
        <v>0.69</v>
      </c>
      <c r="L295" s="128">
        <v>0.64</v>
      </c>
      <c r="M295" s="126">
        <v>230.0</v>
      </c>
      <c r="N295" s="126">
        <v>403.0</v>
      </c>
      <c r="O295" s="128">
        <v>3.04</v>
      </c>
      <c r="P295" s="128">
        <v>0.46</v>
      </c>
      <c r="Q295" s="128">
        <v>2.64</v>
      </c>
      <c r="R295" s="129" t="str">
        <f t="shared" si="1"/>
        <v>OptionStrat</v>
      </c>
      <c r="S295" s="125" t="s">
        <v>464</v>
      </c>
      <c r="T295" s="130"/>
      <c r="U295" s="131">
        <v>0.55</v>
      </c>
    </row>
    <row r="296">
      <c r="A296" s="132" t="s">
        <v>28</v>
      </c>
      <c r="B296" s="132" t="s">
        <v>169</v>
      </c>
      <c r="C296" s="133">
        <v>460.0</v>
      </c>
      <c r="D296" s="133">
        <v>560.0</v>
      </c>
      <c r="E296" s="133">
        <v>100.0</v>
      </c>
      <c r="F296" s="134">
        <v>26.55</v>
      </c>
      <c r="G296" s="134">
        <v>73.45</v>
      </c>
      <c r="H296" s="135">
        <v>2.77</v>
      </c>
      <c r="I296" s="134">
        <v>51.66</v>
      </c>
      <c r="J296" s="135">
        <v>1.95</v>
      </c>
      <c r="K296" s="135">
        <v>0.66</v>
      </c>
      <c r="L296" s="135">
        <v>0.57</v>
      </c>
      <c r="M296" s="133">
        <v>419.0</v>
      </c>
      <c r="N296" s="133">
        <v>183.0</v>
      </c>
      <c r="O296" s="135">
        <v>2.77</v>
      </c>
      <c r="P296" s="135">
        <v>0.65</v>
      </c>
      <c r="Q296" s="135">
        <v>2.64</v>
      </c>
      <c r="R296" s="136" t="str">
        <f t="shared" si="1"/>
        <v>OptionStrat</v>
      </c>
      <c r="S296" s="132" t="s">
        <v>465</v>
      </c>
      <c r="T296" s="137"/>
      <c r="U296" s="138">
        <v>0.55</v>
      </c>
    </row>
    <row r="297">
      <c r="A297" s="125" t="s">
        <v>28</v>
      </c>
      <c r="B297" s="125" t="s">
        <v>169</v>
      </c>
      <c r="C297" s="126">
        <v>470.0</v>
      </c>
      <c r="D297" s="126">
        <v>580.0</v>
      </c>
      <c r="E297" s="126">
        <v>110.0</v>
      </c>
      <c r="F297" s="127">
        <v>27.97</v>
      </c>
      <c r="G297" s="127">
        <v>82.03</v>
      </c>
      <c r="H297" s="128">
        <v>2.93</v>
      </c>
      <c r="I297" s="127">
        <v>55.44</v>
      </c>
      <c r="J297" s="128">
        <v>1.98</v>
      </c>
      <c r="K297" s="128">
        <v>0.65</v>
      </c>
      <c r="L297" s="128">
        <v>0.56</v>
      </c>
      <c r="M297" s="126">
        <v>318.0</v>
      </c>
      <c r="N297" s="126">
        <v>263.0</v>
      </c>
      <c r="O297" s="128">
        <v>2.89</v>
      </c>
      <c r="P297" s="128">
        <v>0.82</v>
      </c>
      <c r="Q297" s="128">
        <v>2.64</v>
      </c>
      <c r="R297" s="129" t="str">
        <f t="shared" si="1"/>
        <v>OptionStrat</v>
      </c>
      <c r="S297" s="125" t="s">
        <v>466</v>
      </c>
      <c r="T297" s="130"/>
      <c r="U297" s="131">
        <v>0.55</v>
      </c>
    </row>
    <row r="298">
      <c r="A298" s="132" t="s">
        <v>28</v>
      </c>
      <c r="B298" s="132" t="s">
        <v>169</v>
      </c>
      <c r="C298" s="133">
        <v>540.0</v>
      </c>
      <c r="D298" s="133">
        <v>600.0</v>
      </c>
      <c r="E298" s="133">
        <v>60.0</v>
      </c>
      <c r="F298" s="134">
        <v>13.4</v>
      </c>
      <c r="G298" s="134">
        <v>46.6</v>
      </c>
      <c r="H298" s="135">
        <v>3.48</v>
      </c>
      <c r="I298" s="134">
        <v>30.41</v>
      </c>
      <c r="J298" s="135">
        <v>2.27</v>
      </c>
      <c r="K298" s="135">
        <v>0.59</v>
      </c>
      <c r="L298" s="135">
        <v>0.54</v>
      </c>
      <c r="M298" s="133">
        <v>116.0</v>
      </c>
      <c r="N298" s="133">
        <v>1000.0</v>
      </c>
      <c r="O298" s="135">
        <v>3.41</v>
      </c>
      <c r="P298" s="135">
        <v>1.05</v>
      </c>
      <c r="Q298" s="135">
        <v>2.64</v>
      </c>
      <c r="R298" s="136" t="str">
        <f t="shared" si="1"/>
        <v>OptionStrat</v>
      </c>
      <c r="S298" s="132" t="s">
        <v>467</v>
      </c>
      <c r="T298" s="137"/>
      <c r="U298" s="138">
        <v>0.55</v>
      </c>
    </row>
    <row r="299">
      <c r="A299" s="125" t="s">
        <v>28</v>
      </c>
      <c r="B299" s="125" t="s">
        <v>169</v>
      </c>
      <c r="C299" s="126">
        <v>550.0</v>
      </c>
      <c r="D299" s="126">
        <v>610.0</v>
      </c>
      <c r="E299" s="126">
        <v>60.0</v>
      </c>
      <c r="F299" s="127">
        <v>12.97</v>
      </c>
      <c r="G299" s="127">
        <v>47.03</v>
      </c>
      <c r="H299" s="128">
        <v>3.63</v>
      </c>
      <c r="I299" s="127">
        <v>30.22</v>
      </c>
      <c r="J299" s="128">
        <v>2.33</v>
      </c>
      <c r="K299" s="128">
        <v>0.58</v>
      </c>
      <c r="L299" s="128">
        <v>0.53</v>
      </c>
      <c r="M299" s="126">
        <v>474.0</v>
      </c>
      <c r="N299" s="126">
        <v>340.0</v>
      </c>
      <c r="O299" s="128">
        <v>4.01</v>
      </c>
      <c r="P299" s="128">
        <v>1.08</v>
      </c>
      <c r="Q299" s="128">
        <v>2.64</v>
      </c>
      <c r="R299" s="129" t="str">
        <f t="shared" si="1"/>
        <v>OptionStrat</v>
      </c>
      <c r="S299" s="125" t="s">
        <v>468</v>
      </c>
      <c r="T299" s="125" t="s">
        <v>181</v>
      </c>
      <c r="U299" s="131">
        <v>0.55</v>
      </c>
    </row>
    <row r="300">
      <c r="A300" s="132" t="s">
        <v>28</v>
      </c>
      <c r="B300" s="132" t="s">
        <v>169</v>
      </c>
      <c r="C300" s="133">
        <v>640.0</v>
      </c>
      <c r="D300" s="133">
        <v>670.0</v>
      </c>
      <c r="E300" s="133">
        <v>30.0</v>
      </c>
      <c r="F300" s="134">
        <v>5.22</v>
      </c>
      <c r="G300" s="134">
        <v>24.78</v>
      </c>
      <c r="H300" s="135">
        <v>4.75</v>
      </c>
      <c r="I300" s="134">
        <v>14.44</v>
      </c>
      <c r="J300" s="135">
        <v>2.77</v>
      </c>
      <c r="K300" s="135">
        <v>0.51</v>
      </c>
      <c r="L300" s="135">
        <v>0.49</v>
      </c>
      <c r="M300" s="133">
        <v>222.0</v>
      </c>
      <c r="N300" s="133">
        <v>228.0</v>
      </c>
      <c r="O300" s="135">
        <v>2.25</v>
      </c>
      <c r="P300" s="135">
        <v>1.21</v>
      </c>
      <c r="Q300" s="135">
        <v>2.64</v>
      </c>
      <c r="R300" s="136" t="str">
        <f t="shared" si="1"/>
        <v>OptionStrat</v>
      </c>
      <c r="S300" s="132" t="s">
        <v>469</v>
      </c>
      <c r="T300" s="137"/>
      <c r="U300" s="138">
        <v>0.55</v>
      </c>
    </row>
    <row r="301">
      <c r="A301" s="125" t="s">
        <v>28</v>
      </c>
      <c r="B301" s="125" t="s">
        <v>171</v>
      </c>
      <c r="C301" s="126">
        <v>510.0</v>
      </c>
      <c r="D301" s="126">
        <v>600.0</v>
      </c>
      <c r="E301" s="126">
        <v>90.0</v>
      </c>
      <c r="F301" s="127">
        <v>20.6</v>
      </c>
      <c r="G301" s="127">
        <v>69.4</v>
      </c>
      <c r="H301" s="128">
        <v>3.37</v>
      </c>
      <c r="I301" s="127">
        <v>49.7</v>
      </c>
      <c r="J301" s="128">
        <v>2.41</v>
      </c>
      <c r="K301" s="128">
        <v>0.64</v>
      </c>
      <c r="L301" s="128">
        <v>0.58</v>
      </c>
      <c r="M301" s="126">
        <v>45.0</v>
      </c>
      <c r="N301" s="126">
        <v>416.0</v>
      </c>
      <c r="O301" s="128">
        <v>1.37</v>
      </c>
      <c r="P301" s="128">
        <v>0.29</v>
      </c>
      <c r="Q301" s="128">
        <v>2.64</v>
      </c>
      <c r="R301" s="129" t="str">
        <f t="shared" si="1"/>
        <v>OptionStrat</v>
      </c>
      <c r="S301" s="125" t="s">
        <v>470</v>
      </c>
      <c r="T301" s="130"/>
      <c r="U301" s="131">
        <v>0.55</v>
      </c>
    </row>
    <row r="302">
      <c r="A302" s="132" t="s">
        <v>28</v>
      </c>
      <c r="B302" s="132" t="s">
        <v>169</v>
      </c>
      <c r="C302" s="133">
        <v>480.0</v>
      </c>
      <c r="D302" s="133">
        <v>620.0</v>
      </c>
      <c r="E302" s="133">
        <v>140.0</v>
      </c>
      <c r="F302" s="134">
        <v>33.1</v>
      </c>
      <c r="G302" s="134">
        <v>106.9</v>
      </c>
      <c r="H302" s="135">
        <v>3.23</v>
      </c>
      <c r="I302" s="134">
        <v>66.75</v>
      </c>
      <c r="J302" s="135">
        <v>2.02</v>
      </c>
      <c r="K302" s="135">
        <v>0.64</v>
      </c>
      <c r="L302" s="135">
        <v>0.53</v>
      </c>
      <c r="M302" s="133">
        <v>403.0</v>
      </c>
      <c r="N302" s="133">
        <v>426.0</v>
      </c>
      <c r="O302" s="135">
        <v>4.14</v>
      </c>
      <c r="P302" s="135">
        <v>0.67</v>
      </c>
      <c r="Q302" s="135">
        <v>2.63</v>
      </c>
      <c r="R302" s="136" t="str">
        <f t="shared" si="1"/>
        <v>OptionStrat</v>
      </c>
      <c r="S302" s="132" t="s">
        <v>471</v>
      </c>
      <c r="T302" s="137"/>
      <c r="U302" s="138">
        <v>0.55</v>
      </c>
    </row>
    <row r="303">
      <c r="A303" s="125" t="s">
        <v>28</v>
      </c>
      <c r="B303" s="125" t="s">
        <v>169</v>
      </c>
      <c r="C303" s="126">
        <v>510.0</v>
      </c>
      <c r="D303" s="126">
        <v>610.0</v>
      </c>
      <c r="E303" s="126">
        <v>100.0</v>
      </c>
      <c r="F303" s="127">
        <v>22.8</v>
      </c>
      <c r="G303" s="127">
        <v>77.2</v>
      </c>
      <c r="H303" s="128">
        <v>3.39</v>
      </c>
      <c r="I303" s="127">
        <v>49.39</v>
      </c>
      <c r="J303" s="128">
        <v>2.17</v>
      </c>
      <c r="K303" s="128">
        <v>0.62</v>
      </c>
      <c r="L303" s="128">
        <v>0.53</v>
      </c>
      <c r="M303" s="126">
        <v>359.0</v>
      </c>
      <c r="N303" s="126">
        <v>340.0</v>
      </c>
      <c r="O303" s="128">
        <v>3.49</v>
      </c>
      <c r="P303" s="128">
        <v>0.65</v>
      </c>
      <c r="Q303" s="128">
        <v>2.63</v>
      </c>
      <c r="R303" s="129" t="str">
        <f t="shared" si="1"/>
        <v>OptionStrat</v>
      </c>
      <c r="S303" s="125" t="s">
        <v>472</v>
      </c>
      <c r="T303" s="130"/>
      <c r="U303" s="131">
        <v>0.55</v>
      </c>
    </row>
    <row r="304">
      <c r="A304" s="132" t="s">
        <v>28</v>
      </c>
      <c r="B304" s="132" t="s">
        <v>169</v>
      </c>
      <c r="C304" s="133">
        <v>530.0</v>
      </c>
      <c r="D304" s="133">
        <v>570.0</v>
      </c>
      <c r="E304" s="133">
        <v>40.0</v>
      </c>
      <c r="F304" s="134">
        <v>9.23</v>
      </c>
      <c r="G304" s="134">
        <v>30.77</v>
      </c>
      <c r="H304" s="135">
        <v>3.33</v>
      </c>
      <c r="I304" s="134">
        <v>21.37</v>
      </c>
      <c r="J304" s="135">
        <v>2.31</v>
      </c>
      <c r="K304" s="135">
        <v>0.6</v>
      </c>
      <c r="L304" s="135">
        <v>0.56</v>
      </c>
      <c r="M304" s="133">
        <v>171.0</v>
      </c>
      <c r="N304" s="133">
        <v>254.0</v>
      </c>
      <c r="O304" s="135">
        <v>2.08</v>
      </c>
      <c r="P304" s="135">
        <v>0.68</v>
      </c>
      <c r="Q304" s="135">
        <v>2.63</v>
      </c>
      <c r="R304" s="136" t="str">
        <f t="shared" si="1"/>
        <v>OptionStrat</v>
      </c>
      <c r="S304" s="132" t="s">
        <v>473</v>
      </c>
      <c r="T304" s="137"/>
      <c r="U304" s="138">
        <v>0.55</v>
      </c>
    </row>
    <row r="305">
      <c r="A305" s="125" t="s">
        <v>28</v>
      </c>
      <c r="B305" s="125" t="s">
        <v>169</v>
      </c>
      <c r="C305" s="126">
        <v>640.0</v>
      </c>
      <c r="D305" s="126">
        <v>680.0</v>
      </c>
      <c r="E305" s="126">
        <v>40.0</v>
      </c>
      <c r="F305" s="127">
        <v>6.9</v>
      </c>
      <c r="G305" s="127">
        <v>33.1</v>
      </c>
      <c r="H305" s="128">
        <v>4.8</v>
      </c>
      <c r="I305" s="127">
        <v>18.94</v>
      </c>
      <c r="J305" s="128">
        <v>2.75</v>
      </c>
      <c r="K305" s="128">
        <v>0.51</v>
      </c>
      <c r="L305" s="128">
        <v>0.48</v>
      </c>
      <c r="M305" s="126">
        <v>222.0</v>
      </c>
      <c r="N305" s="126">
        <v>245.0</v>
      </c>
      <c r="O305" s="128">
        <v>2.33</v>
      </c>
      <c r="P305" s="128">
        <v>1.18</v>
      </c>
      <c r="Q305" s="128">
        <v>2.63</v>
      </c>
      <c r="R305" s="129" t="str">
        <f t="shared" si="1"/>
        <v>OptionStrat</v>
      </c>
      <c r="S305" s="125" t="s">
        <v>474</v>
      </c>
      <c r="T305" s="130"/>
      <c r="U305" s="131">
        <v>0.55</v>
      </c>
    </row>
    <row r="306">
      <c r="A306" s="132" t="s">
        <v>28</v>
      </c>
      <c r="B306" s="132" t="s">
        <v>171</v>
      </c>
      <c r="C306" s="133">
        <v>450.0</v>
      </c>
      <c r="D306" s="133">
        <v>470.0</v>
      </c>
      <c r="E306" s="133">
        <v>20.0</v>
      </c>
      <c r="F306" s="134">
        <v>6.65</v>
      </c>
      <c r="G306" s="134">
        <v>13.35</v>
      </c>
      <c r="H306" s="135">
        <v>2.01</v>
      </c>
      <c r="I306" s="134">
        <v>9.81</v>
      </c>
      <c r="J306" s="135">
        <v>1.48</v>
      </c>
      <c r="K306" s="135">
        <v>0.69</v>
      </c>
      <c r="L306" s="135">
        <v>0.68</v>
      </c>
      <c r="M306" s="133">
        <v>759.0</v>
      </c>
      <c r="N306" s="133">
        <v>68.0</v>
      </c>
      <c r="O306" s="135">
        <v>2.27</v>
      </c>
      <c r="P306" s="135">
        <v>0.39</v>
      </c>
      <c r="Q306" s="135">
        <v>2.63</v>
      </c>
      <c r="R306" s="136" t="str">
        <f t="shared" si="1"/>
        <v>OptionStrat</v>
      </c>
      <c r="S306" s="132" t="s">
        <v>475</v>
      </c>
      <c r="T306" s="132" t="s">
        <v>181</v>
      </c>
      <c r="U306" s="138">
        <v>0.55</v>
      </c>
    </row>
    <row r="307">
      <c r="A307" s="125" t="s">
        <v>28</v>
      </c>
      <c r="B307" s="125" t="s">
        <v>169</v>
      </c>
      <c r="C307" s="126">
        <v>460.0</v>
      </c>
      <c r="D307" s="126">
        <v>580.0</v>
      </c>
      <c r="E307" s="126">
        <v>120.0</v>
      </c>
      <c r="F307" s="127">
        <v>30.95</v>
      </c>
      <c r="G307" s="127">
        <v>89.05</v>
      </c>
      <c r="H307" s="128">
        <v>2.88</v>
      </c>
      <c r="I307" s="127">
        <v>60.12</v>
      </c>
      <c r="J307" s="128">
        <v>1.94</v>
      </c>
      <c r="K307" s="128">
        <v>0.66</v>
      </c>
      <c r="L307" s="128">
        <v>0.56</v>
      </c>
      <c r="M307" s="126">
        <v>419.0</v>
      </c>
      <c r="N307" s="126">
        <v>263.0</v>
      </c>
      <c r="O307" s="128">
        <v>3.32</v>
      </c>
      <c r="P307" s="128">
        <v>0.67</v>
      </c>
      <c r="Q307" s="128">
        <v>2.62</v>
      </c>
      <c r="R307" s="129" t="str">
        <f t="shared" si="1"/>
        <v>OptionStrat</v>
      </c>
      <c r="S307" s="125" t="s">
        <v>476</v>
      </c>
      <c r="T307" s="130"/>
      <c r="U307" s="131">
        <v>0.55</v>
      </c>
    </row>
    <row r="308">
      <c r="A308" s="132" t="s">
        <v>28</v>
      </c>
      <c r="B308" s="132" t="s">
        <v>169</v>
      </c>
      <c r="C308" s="133">
        <v>550.0</v>
      </c>
      <c r="D308" s="133">
        <v>580.0</v>
      </c>
      <c r="E308" s="133">
        <v>30.0</v>
      </c>
      <c r="F308" s="134">
        <v>6.7</v>
      </c>
      <c r="G308" s="134">
        <v>23.3</v>
      </c>
      <c r="H308" s="135">
        <v>3.48</v>
      </c>
      <c r="I308" s="134">
        <v>15.88</v>
      </c>
      <c r="J308" s="135">
        <v>2.37</v>
      </c>
      <c r="K308" s="135">
        <v>0.58</v>
      </c>
      <c r="L308" s="135">
        <v>0.56</v>
      </c>
      <c r="M308" s="133">
        <v>474.0</v>
      </c>
      <c r="N308" s="133">
        <v>263.0</v>
      </c>
      <c r="O308" s="135">
        <v>3.53</v>
      </c>
      <c r="P308" s="135">
        <v>1.11</v>
      </c>
      <c r="Q308" s="135">
        <v>2.62</v>
      </c>
      <c r="R308" s="136" t="str">
        <f t="shared" si="1"/>
        <v>OptionStrat</v>
      </c>
      <c r="S308" s="132" t="s">
        <v>477</v>
      </c>
      <c r="T308" s="132" t="s">
        <v>181</v>
      </c>
      <c r="U308" s="138">
        <v>0.55</v>
      </c>
    </row>
    <row r="309">
      <c r="A309" s="125" t="s">
        <v>28</v>
      </c>
      <c r="B309" s="125" t="s">
        <v>169</v>
      </c>
      <c r="C309" s="126">
        <v>580.0</v>
      </c>
      <c r="D309" s="126">
        <v>620.0</v>
      </c>
      <c r="E309" s="126">
        <v>40.0</v>
      </c>
      <c r="F309" s="127">
        <v>8.22</v>
      </c>
      <c r="G309" s="127">
        <v>31.78</v>
      </c>
      <c r="H309" s="128">
        <v>3.87</v>
      </c>
      <c r="I309" s="127">
        <v>20.1</v>
      </c>
      <c r="J309" s="128">
        <v>2.44</v>
      </c>
      <c r="K309" s="128">
        <v>0.56</v>
      </c>
      <c r="L309" s="128">
        <v>0.53</v>
      </c>
      <c r="M309" s="126">
        <v>263.0</v>
      </c>
      <c r="N309" s="126">
        <v>426.0</v>
      </c>
      <c r="O309" s="128">
        <v>3.35</v>
      </c>
      <c r="P309" s="128">
        <v>1.14</v>
      </c>
      <c r="Q309" s="128">
        <v>2.62</v>
      </c>
      <c r="R309" s="129" t="str">
        <f t="shared" si="1"/>
        <v>OptionStrat</v>
      </c>
      <c r="S309" s="125" t="s">
        <v>478</v>
      </c>
      <c r="T309" s="130"/>
      <c r="U309" s="131">
        <v>0.55</v>
      </c>
    </row>
    <row r="310">
      <c r="A310" s="132" t="s">
        <v>28</v>
      </c>
      <c r="B310" s="132" t="s">
        <v>171</v>
      </c>
      <c r="C310" s="133">
        <v>440.0</v>
      </c>
      <c r="D310" s="133">
        <v>460.0</v>
      </c>
      <c r="E310" s="133">
        <v>20.0</v>
      </c>
      <c r="F310" s="134">
        <v>5.95</v>
      </c>
      <c r="G310" s="134">
        <v>14.05</v>
      </c>
      <c r="H310" s="135">
        <v>2.36</v>
      </c>
      <c r="I310" s="134">
        <v>10.38</v>
      </c>
      <c r="J310" s="135">
        <v>1.74</v>
      </c>
      <c r="K310" s="135">
        <v>0.7</v>
      </c>
      <c r="L310" s="135">
        <v>0.68</v>
      </c>
      <c r="M310" s="133">
        <v>144.0</v>
      </c>
      <c r="N310" s="133">
        <v>90.0</v>
      </c>
      <c r="O310" s="135">
        <v>1.14</v>
      </c>
      <c r="P310" s="135">
        <v>0.3</v>
      </c>
      <c r="Q310" s="135">
        <v>2.62</v>
      </c>
      <c r="R310" s="136" t="str">
        <f t="shared" si="1"/>
        <v>OptionStrat</v>
      </c>
      <c r="S310" s="132" t="s">
        <v>479</v>
      </c>
      <c r="T310" s="132" t="s">
        <v>181</v>
      </c>
      <c r="U310" s="138">
        <v>0.55</v>
      </c>
    </row>
    <row r="311">
      <c r="A311" s="125" t="s">
        <v>28</v>
      </c>
      <c r="B311" s="125" t="s">
        <v>171</v>
      </c>
      <c r="C311" s="126">
        <v>470.0</v>
      </c>
      <c r="D311" s="126">
        <v>510.0</v>
      </c>
      <c r="E311" s="126">
        <v>40.0</v>
      </c>
      <c r="F311" s="127">
        <v>11.0</v>
      </c>
      <c r="G311" s="127">
        <v>29.0</v>
      </c>
      <c r="H311" s="128">
        <v>2.64</v>
      </c>
      <c r="I311" s="127">
        <v>21.49</v>
      </c>
      <c r="J311" s="128">
        <v>1.95</v>
      </c>
      <c r="K311" s="128">
        <v>0.68</v>
      </c>
      <c r="L311" s="128">
        <v>0.64</v>
      </c>
      <c r="M311" s="126">
        <v>68.0</v>
      </c>
      <c r="N311" s="126">
        <v>45.0</v>
      </c>
      <c r="O311" s="128">
        <v>0.55</v>
      </c>
      <c r="P311" s="128">
        <v>0.27</v>
      </c>
      <c r="Q311" s="128">
        <v>2.62</v>
      </c>
      <c r="R311" s="129" t="str">
        <f t="shared" si="1"/>
        <v>OptionStrat</v>
      </c>
      <c r="S311" s="125" t="s">
        <v>480</v>
      </c>
      <c r="T311" s="130"/>
      <c r="U311" s="131">
        <v>0.55</v>
      </c>
    </row>
    <row r="312">
      <c r="A312" s="132" t="s">
        <v>28</v>
      </c>
      <c r="B312" s="132" t="s">
        <v>171</v>
      </c>
      <c r="C312" s="133">
        <v>530.0</v>
      </c>
      <c r="D312" s="133">
        <v>570.0</v>
      </c>
      <c r="E312" s="133">
        <v>40.0</v>
      </c>
      <c r="F312" s="134">
        <v>8.95</v>
      </c>
      <c r="G312" s="134">
        <v>31.05</v>
      </c>
      <c r="H312" s="135">
        <v>3.47</v>
      </c>
      <c r="I312" s="134">
        <v>23.15</v>
      </c>
      <c r="J312" s="135">
        <v>2.59</v>
      </c>
      <c r="K312" s="135">
        <v>0.63</v>
      </c>
      <c r="L312" s="135">
        <v>0.6</v>
      </c>
      <c r="M312" s="133">
        <v>60.0</v>
      </c>
      <c r="N312" s="133">
        <v>110.0</v>
      </c>
      <c r="O312" s="135">
        <v>0.81</v>
      </c>
      <c r="P312" s="135">
        <v>0.31</v>
      </c>
      <c r="Q312" s="135">
        <v>2.62</v>
      </c>
      <c r="R312" s="136" t="str">
        <f t="shared" si="1"/>
        <v>OptionStrat</v>
      </c>
      <c r="S312" s="132" t="s">
        <v>481</v>
      </c>
      <c r="T312" s="137"/>
      <c r="U312" s="138">
        <v>0.55</v>
      </c>
    </row>
    <row r="313">
      <c r="A313" s="125" t="s">
        <v>28</v>
      </c>
      <c r="B313" s="125" t="s">
        <v>169</v>
      </c>
      <c r="C313" s="126">
        <v>410.0</v>
      </c>
      <c r="D313" s="126">
        <v>490.0</v>
      </c>
      <c r="E313" s="126">
        <v>80.0</v>
      </c>
      <c r="F313" s="127">
        <v>25.82</v>
      </c>
      <c r="G313" s="127">
        <v>54.18</v>
      </c>
      <c r="H313" s="128">
        <v>2.1</v>
      </c>
      <c r="I313" s="127">
        <v>39.88</v>
      </c>
      <c r="J313" s="128">
        <v>1.54</v>
      </c>
      <c r="K313" s="128">
        <v>0.71</v>
      </c>
      <c r="L313" s="128">
        <v>0.63</v>
      </c>
      <c r="M313" s="126">
        <v>194.0</v>
      </c>
      <c r="N313" s="126">
        <v>494.0</v>
      </c>
      <c r="O313" s="128">
        <v>3.1</v>
      </c>
      <c r="P313" s="128">
        <v>0.46</v>
      </c>
      <c r="Q313" s="128">
        <v>2.61</v>
      </c>
      <c r="R313" s="129" t="str">
        <f t="shared" si="1"/>
        <v>OptionStrat</v>
      </c>
      <c r="S313" s="125" t="s">
        <v>482</v>
      </c>
      <c r="T313" s="130"/>
      <c r="U313" s="131">
        <v>0.55</v>
      </c>
    </row>
    <row r="314">
      <c r="A314" s="132" t="s">
        <v>28</v>
      </c>
      <c r="B314" s="132" t="s">
        <v>169</v>
      </c>
      <c r="C314" s="133">
        <v>430.0</v>
      </c>
      <c r="D314" s="133">
        <v>450.0</v>
      </c>
      <c r="E314" s="133">
        <v>20.0</v>
      </c>
      <c r="F314" s="134">
        <v>6.65</v>
      </c>
      <c r="G314" s="134">
        <v>13.35</v>
      </c>
      <c r="H314" s="135">
        <v>2.01</v>
      </c>
      <c r="I314" s="134">
        <v>9.81</v>
      </c>
      <c r="J314" s="135">
        <v>1.48</v>
      </c>
      <c r="K314" s="135">
        <v>0.69</v>
      </c>
      <c r="L314" s="135">
        <v>0.67</v>
      </c>
      <c r="M314" s="133">
        <v>230.0</v>
      </c>
      <c r="N314" s="133">
        <v>943.0</v>
      </c>
      <c r="O314" s="135">
        <v>4.66</v>
      </c>
      <c r="P314" s="135">
        <v>0.45</v>
      </c>
      <c r="Q314" s="135">
        <v>2.61</v>
      </c>
      <c r="R314" s="136" t="str">
        <f t="shared" si="1"/>
        <v>OptionStrat</v>
      </c>
      <c r="S314" s="132" t="s">
        <v>483</v>
      </c>
      <c r="T314" s="137"/>
      <c r="U314" s="138">
        <v>0.55</v>
      </c>
    </row>
    <row r="315">
      <c r="A315" s="125" t="s">
        <v>28</v>
      </c>
      <c r="B315" s="125" t="s">
        <v>169</v>
      </c>
      <c r="C315" s="126">
        <v>480.0</v>
      </c>
      <c r="D315" s="126">
        <v>610.0</v>
      </c>
      <c r="E315" s="126">
        <v>130.0</v>
      </c>
      <c r="F315" s="127">
        <v>31.15</v>
      </c>
      <c r="G315" s="127">
        <v>98.85</v>
      </c>
      <c r="H315" s="128">
        <v>3.17</v>
      </c>
      <c r="I315" s="127">
        <v>62.96</v>
      </c>
      <c r="J315" s="128">
        <v>2.02</v>
      </c>
      <c r="K315" s="128">
        <v>0.64</v>
      </c>
      <c r="L315" s="128">
        <v>0.53</v>
      </c>
      <c r="M315" s="126">
        <v>403.0</v>
      </c>
      <c r="N315" s="126">
        <v>340.0</v>
      </c>
      <c r="O315" s="128">
        <v>3.7</v>
      </c>
      <c r="P315" s="128">
        <v>0.67</v>
      </c>
      <c r="Q315" s="128">
        <v>2.61</v>
      </c>
      <c r="R315" s="129" t="str">
        <f t="shared" si="1"/>
        <v>OptionStrat</v>
      </c>
      <c r="S315" s="125" t="s">
        <v>484</v>
      </c>
      <c r="T315" s="130"/>
      <c r="U315" s="131">
        <v>0.55</v>
      </c>
    </row>
    <row r="316">
      <c r="A316" s="132" t="s">
        <v>28</v>
      </c>
      <c r="B316" s="132" t="s">
        <v>169</v>
      </c>
      <c r="C316" s="133">
        <v>580.0</v>
      </c>
      <c r="D316" s="133">
        <v>690.0</v>
      </c>
      <c r="E316" s="133">
        <v>110.0</v>
      </c>
      <c r="F316" s="134">
        <v>20.37</v>
      </c>
      <c r="G316" s="134">
        <v>89.63</v>
      </c>
      <c r="H316" s="135">
        <v>4.4</v>
      </c>
      <c r="I316" s="134">
        <v>49.96</v>
      </c>
      <c r="J316" s="135">
        <v>2.45</v>
      </c>
      <c r="K316" s="135">
        <v>0.56</v>
      </c>
      <c r="L316" s="135">
        <v>0.48</v>
      </c>
      <c r="M316" s="133">
        <v>263.0</v>
      </c>
      <c r="N316" s="133">
        <v>370.0</v>
      </c>
      <c r="O316" s="135">
        <v>3.12</v>
      </c>
      <c r="P316" s="135">
        <v>1.21</v>
      </c>
      <c r="Q316" s="135">
        <v>2.61</v>
      </c>
      <c r="R316" s="136" t="str">
        <f t="shared" si="1"/>
        <v>OptionStrat</v>
      </c>
      <c r="S316" s="132" t="s">
        <v>485</v>
      </c>
      <c r="T316" s="137"/>
      <c r="U316" s="138">
        <v>0.55</v>
      </c>
    </row>
    <row r="317">
      <c r="A317" s="125" t="s">
        <v>28</v>
      </c>
      <c r="B317" s="125" t="s">
        <v>171</v>
      </c>
      <c r="C317" s="126">
        <v>600.0</v>
      </c>
      <c r="D317" s="126">
        <v>690.0</v>
      </c>
      <c r="E317" s="126">
        <v>90.0</v>
      </c>
      <c r="F317" s="127">
        <v>16.15</v>
      </c>
      <c r="G317" s="127">
        <v>73.85</v>
      </c>
      <c r="H317" s="128">
        <v>4.57</v>
      </c>
      <c r="I317" s="127">
        <v>46.38</v>
      </c>
      <c r="J317" s="128">
        <v>2.87</v>
      </c>
      <c r="K317" s="128">
        <v>0.58</v>
      </c>
      <c r="L317" s="128">
        <v>0.52</v>
      </c>
      <c r="M317" s="126">
        <v>416.0</v>
      </c>
      <c r="N317" s="126">
        <v>49.0</v>
      </c>
      <c r="O317" s="128">
        <v>1.43</v>
      </c>
      <c r="P317" s="128">
        <v>0.31</v>
      </c>
      <c r="Q317" s="128">
        <v>2.61</v>
      </c>
      <c r="R317" s="129" t="str">
        <f t="shared" si="1"/>
        <v>OptionStrat</v>
      </c>
      <c r="S317" s="125" t="s">
        <v>486</v>
      </c>
      <c r="T317" s="125" t="s">
        <v>181</v>
      </c>
      <c r="U317" s="131">
        <v>0.55</v>
      </c>
    </row>
    <row r="318">
      <c r="A318" s="132" t="s">
        <v>28</v>
      </c>
      <c r="B318" s="132" t="s">
        <v>171</v>
      </c>
      <c r="C318" s="133">
        <v>610.0</v>
      </c>
      <c r="D318" s="133">
        <v>700.0</v>
      </c>
      <c r="E318" s="133">
        <v>90.0</v>
      </c>
      <c r="F318" s="134">
        <v>15.75</v>
      </c>
      <c r="G318" s="134">
        <v>74.25</v>
      </c>
      <c r="H318" s="135">
        <v>4.71</v>
      </c>
      <c r="I318" s="134">
        <v>46.39</v>
      </c>
      <c r="J318" s="135">
        <v>2.95</v>
      </c>
      <c r="K318" s="135">
        <v>0.57</v>
      </c>
      <c r="L318" s="135">
        <v>0.52</v>
      </c>
      <c r="M318" s="133">
        <v>26.0</v>
      </c>
      <c r="N318" s="133">
        <v>617.0</v>
      </c>
      <c r="O318" s="135">
        <v>1.27</v>
      </c>
      <c r="P318" s="135">
        <v>0.33</v>
      </c>
      <c r="Q318" s="135">
        <v>2.61</v>
      </c>
      <c r="R318" s="136" t="str">
        <f t="shared" si="1"/>
        <v>OptionStrat</v>
      </c>
      <c r="S318" s="132" t="s">
        <v>487</v>
      </c>
      <c r="T318" s="137"/>
      <c r="U318" s="138">
        <v>0.55</v>
      </c>
    </row>
    <row r="319">
      <c r="A319" s="125" t="s">
        <v>28</v>
      </c>
      <c r="B319" s="125" t="s">
        <v>169</v>
      </c>
      <c r="C319" s="126">
        <v>420.0</v>
      </c>
      <c r="D319" s="126">
        <v>450.0</v>
      </c>
      <c r="E319" s="126">
        <v>30.0</v>
      </c>
      <c r="F319" s="127">
        <v>10.15</v>
      </c>
      <c r="G319" s="127">
        <v>19.85</v>
      </c>
      <c r="H319" s="128">
        <v>1.96</v>
      </c>
      <c r="I319" s="127">
        <v>14.58</v>
      </c>
      <c r="J319" s="128">
        <v>1.44</v>
      </c>
      <c r="K319" s="128">
        <v>0.7</v>
      </c>
      <c r="L319" s="128">
        <v>0.67</v>
      </c>
      <c r="M319" s="126">
        <v>290.0</v>
      </c>
      <c r="N319" s="126">
        <v>943.0</v>
      </c>
      <c r="O319" s="128">
        <v>5.23</v>
      </c>
      <c r="P319" s="128">
        <v>0.45</v>
      </c>
      <c r="Q319" s="128">
        <v>2.6</v>
      </c>
      <c r="R319" s="129" t="str">
        <f t="shared" si="1"/>
        <v>OptionStrat</v>
      </c>
      <c r="S319" s="125" t="s">
        <v>488</v>
      </c>
      <c r="T319" s="130"/>
      <c r="U319" s="131">
        <v>0.55</v>
      </c>
    </row>
    <row r="320">
      <c r="A320" s="132" t="s">
        <v>28</v>
      </c>
      <c r="B320" s="132" t="s">
        <v>169</v>
      </c>
      <c r="C320" s="133">
        <v>620.0</v>
      </c>
      <c r="D320" s="133">
        <v>660.0</v>
      </c>
      <c r="E320" s="133">
        <v>40.0</v>
      </c>
      <c r="F320" s="134">
        <v>7.23</v>
      </c>
      <c r="G320" s="134">
        <v>32.77</v>
      </c>
      <c r="H320" s="135">
        <v>4.53</v>
      </c>
      <c r="I320" s="134">
        <v>19.4</v>
      </c>
      <c r="J320" s="135">
        <v>2.68</v>
      </c>
      <c r="K320" s="135">
        <v>0.53</v>
      </c>
      <c r="L320" s="135">
        <v>0.5</v>
      </c>
      <c r="M320" s="133">
        <v>426.0</v>
      </c>
      <c r="N320" s="133">
        <v>129.0</v>
      </c>
      <c r="O320" s="135">
        <v>2.34</v>
      </c>
      <c r="P320" s="135">
        <v>1.14</v>
      </c>
      <c r="Q320" s="135">
        <v>2.6</v>
      </c>
      <c r="R320" s="136" t="str">
        <f t="shared" si="1"/>
        <v>OptionStrat</v>
      </c>
      <c r="S320" s="132" t="s">
        <v>489</v>
      </c>
      <c r="T320" s="137"/>
      <c r="U320" s="138">
        <v>0.55</v>
      </c>
    </row>
    <row r="321">
      <c r="A321" s="125" t="s">
        <v>28</v>
      </c>
      <c r="B321" s="125" t="s">
        <v>171</v>
      </c>
      <c r="C321" s="126">
        <v>390.0</v>
      </c>
      <c r="D321" s="126">
        <v>450.0</v>
      </c>
      <c r="E321" s="126">
        <v>60.0</v>
      </c>
      <c r="F321" s="127">
        <v>19.42</v>
      </c>
      <c r="G321" s="127">
        <v>40.58</v>
      </c>
      <c r="H321" s="128">
        <v>2.09</v>
      </c>
      <c r="I321" s="127">
        <v>29.87</v>
      </c>
      <c r="J321" s="128">
        <v>1.54</v>
      </c>
      <c r="K321" s="128">
        <v>0.75</v>
      </c>
      <c r="L321" s="128">
        <v>0.69</v>
      </c>
      <c r="M321" s="126">
        <v>48.0</v>
      </c>
      <c r="N321" s="126">
        <v>759.0</v>
      </c>
      <c r="O321" s="128">
        <v>1.91</v>
      </c>
      <c r="P321" s="128">
        <v>0.38</v>
      </c>
      <c r="Q321" s="128">
        <v>2.6</v>
      </c>
      <c r="R321" s="129" t="str">
        <f t="shared" si="1"/>
        <v>OptionStrat</v>
      </c>
      <c r="S321" s="125" t="s">
        <v>490</v>
      </c>
      <c r="T321" s="130"/>
      <c r="U321" s="131">
        <v>0.55</v>
      </c>
    </row>
    <row r="322">
      <c r="A322" s="132" t="s">
        <v>28</v>
      </c>
      <c r="B322" s="132" t="s">
        <v>171</v>
      </c>
      <c r="C322" s="133">
        <v>420.0</v>
      </c>
      <c r="D322" s="133">
        <v>480.0</v>
      </c>
      <c r="E322" s="133">
        <v>60.0</v>
      </c>
      <c r="F322" s="134">
        <v>18.45</v>
      </c>
      <c r="G322" s="134">
        <v>41.55</v>
      </c>
      <c r="H322" s="135">
        <v>2.25</v>
      </c>
      <c r="I322" s="134">
        <v>30.66</v>
      </c>
      <c r="J322" s="135">
        <v>1.66</v>
      </c>
      <c r="K322" s="135">
        <v>0.72</v>
      </c>
      <c r="L322" s="135">
        <v>0.67</v>
      </c>
      <c r="M322" s="133">
        <v>131.0</v>
      </c>
      <c r="N322" s="133">
        <v>139.0</v>
      </c>
      <c r="O322" s="135">
        <v>1.35</v>
      </c>
      <c r="P322" s="135">
        <v>0.27</v>
      </c>
      <c r="Q322" s="135">
        <v>2.6</v>
      </c>
      <c r="R322" s="136" t="str">
        <f t="shared" si="1"/>
        <v>OptionStrat</v>
      </c>
      <c r="S322" s="132" t="s">
        <v>491</v>
      </c>
      <c r="T322" s="137"/>
      <c r="U322" s="138">
        <v>0.55</v>
      </c>
    </row>
    <row r="323">
      <c r="A323" s="125" t="s">
        <v>28</v>
      </c>
      <c r="B323" s="125" t="s">
        <v>171</v>
      </c>
      <c r="C323" s="126">
        <v>440.0</v>
      </c>
      <c r="D323" s="126">
        <v>470.0</v>
      </c>
      <c r="E323" s="126">
        <v>30.0</v>
      </c>
      <c r="F323" s="127">
        <v>8.85</v>
      </c>
      <c r="G323" s="127">
        <v>21.15</v>
      </c>
      <c r="H323" s="128">
        <v>2.39</v>
      </c>
      <c r="I323" s="127">
        <v>15.63</v>
      </c>
      <c r="J323" s="128">
        <v>1.77</v>
      </c>
      <c r="K323" s="128">
        <v>0.7</v>
      </c>
      <c r="L323" s="128">
        <v>0.68</v>
      </c>
      <c r="M323" s="126">
        <v>144.0</v>
      </c>
      <c r="N323" s="126">
        <v>68.0</v>
      </c>
      <c r="O323" s="128">
        <v>0.99</v>
      </c>
      <c r="P323" s="128">
        <v>0.31</v>
      </c>
      <c r="Q323" s="128">
        <v>2.6</v>
      </c>
      <c r="R323" s="129" t="str">
        <f t="shared" si="1"/>
        <v>OptionStrat</v>
      </c>
      <c r="S323" s="125" t="s">
        <v>492</v>
      </c>
      <c r="T323" s="125" t="s">
        <v>181</v>
      </c>
      <c r="U323" s="131">
        <v>0.55</v>
      </c>
    </row>
    <row r="324">
      <c r="A324" s="132" t="s">
        <v>28</v>
      </c>
      <c r="B324" s="132" t="s">
        <v>171</v>
      </c>
      <c r="C324" s="133">
        <v>450.0</v>
      </c>
      <c r="D324" s="133">
        <v>590.0</v>
      </c>
      <c r="E324" s="133">
        <v>140.0</v>
      </c>
      <c r="F324" s="134">
        <v>35.6</v>
      </c>
      <c r="G324" s="134">
        <v>104.4</v>
      </c>
      <c r="H324" s="135">
        <v>2.93</v>
      </c>
      <c r="I324" s="134">
        <v>75.93</v>
      </c>
      <c r="J324" s="135">
        <v>2.13</v>
      </c>
      <c r="K324" s="135">
        <v>0.69</v>
      </c>
      <c r="L324" s="135">
        <v>0.59</v>
      </c>
      <c r="M324" s="133">
        <v>759.0</v>
      </c>
      <c r="N324" s="133">
        <v>15.0</v>
      </c>
      <c r="O324" s="135">
        <v>1.07</v>
      </c>
      <c r="P324" s="135">
        <v>0.59</v>
      </c>
      <c r="Q324" s="135">
        <v>2.6</v>
      </c>
      <c r="R324" s="136" t="str">
        <f t="shared" si="1"/>
        <v>OptionStrat</v>
      </c>
      <c r="S324" s="132" t="s">
        <v>493</v>
      </c>
      <c r="T324" s="132" t="s">
        <v>181</v>
      </c>
      <c r="U324" s="138">
        <v>0.55</v>
      </c>
    </row>
    <row r="325">
      <c r="A325" s="125" t="s">
        <v>28</v>
      </c>
      <c r="B325" s="125" t="s">
        <v>169</v>
      </c>
      <c r="C325" s="126">
        <v>440.0</v>
      </c>
      <c r="D325" s="126">
        <v>470.0</v>
      </c>
      <c r="E325" s="126">
        <v>30.0</v>
      </c>
      <c r="F325" s="127">
        <v>9.45</v>
      </c>
      <c r="G325" s="127">
        <v>20.55</v>
      </c>
      <c r="H325" s="128">
        <v>2.17</v>
      </c>
      <c r="I325" s="127">
        <v>15.15</v>
      </c>
      <c r="J325" s="128">
        <v>1.6</v>
      </c>
      <c r="K325" s="128">
        <v>0.68</v>
      </c>
      <c r="L325" s="128">
        <v>0.65</v>
      </c>
      <c r="M325" s="126">
        <v>208.0</v>
      </c>
      <c r="N325" s="126">
        <v>318.0</v>
      </c>
      <c r="O325" s="128">
        <v>2.57</v>
      </c>
      <c r="P325" s="128">
        <v>0.51</v>
      </c>
      <c r="Q325" s="128">
        <v>2.59</v>
      </c>
      <c r="R325" s="129" t="str">
        <f t="shared" si="1"/>
        <v>OptionStrat</v>
      </c>
      <c r="S325" s="125" t="s">
        <v>494</v>
      </c>
      <c r="T325" s="130"/>
      <c r="U325" s="131">
        <v>0.55</v>
      </c>
    </row>
    <row r="326">
      <c r="A326" s="132" t="s">
        <v>28</v>
      </c>
      <c r="B326" s="132" t="s">
        <v>169</v>
      </c>
      <c r="C326" s="133">
        <v>520.0</v>
      </c>
      <c r="D326" s="133">
        <v>620.0</v>
      </c>
      <c r="E326" s="133">
        <v>100.0</v>
      </c>
      <c r="F326" s="134">
        <v>22.13</v>
      </c>
      <c r="G326" s="134">
        <v>77.87</v>
      </c>
      <c r="H326" s="135">
        <v>3.52</v>
      </c>
      <c r="I326" s="134">
        <v>48.94</v>
      </c>
      <c r="J326" s="135">
        <v>2.21</v>
      </c>
      <c r="K326" s="135">
        <v>0.61</v>
      </c>
      <c r="L326" s="135">
        <v>0.53</v>
      </c>
      <c r="M326" s="133">
        <v>281.0</v>
      </c>
      <c r="N326" s="133">
        <v>426.0</v>
      </c>
      <c r="O326" s="135">
        <v>3.46</v>
      </c>
      <c r="P326" s="135">
        <v>0.66</v>
      </c>
      <c r="Q326" s="135">
        <v>2.59</v>
      </c>
      <c r="R326" s="136" t="str">
        <f t="shared" si="1"/>
        <v>OptionStrat</v>
      </c>
      <c r="S326" s="132" t="s">
        <v>495</v>
      </c>
      <c r="T326" s="137"/>
      <c r="U326" s="138">
        <v>0.55</v>
      </c>
    </row>
    <row r="327">
      <c r="A327" s="125" t="s">
        <v>28</v>
      </c>
      <c r="B327" s="125" t="s">
        <v>169</v>
      </c>
      <c r="C327" s="126">
        <v>550.0</v>
      </c>
      <c r="D327" s="126">
        <v>570.0</v>
      </c>
      <c r="E327" s="126">
        <v>20.0</v>
      </c>
      <c r="F327" s="127">
        <v>4.55</v>
      </c>
      <c r="G327" s="127">
        <v>15.45</v>
      </c>
      <c r="H327" s="128">
        <v>3.4</v>
      </c>
      <c r="I327" s="127">
        <v>10.73</v>
      </c>
      <c r="J327" s="128">
        <v>2.36</v>
      </c>
      <c r="K327" s="128">
        <v>0.58</v>
      </c>
      <c r="L327" s="128">
        <v>0.56</v>
      </c>
      <c r="M327" s="126">
        <v>474.0</v>
      </c>
      <c r="N327" s="126">
        <v>254.0</v>
      </c>
      <c r="O327" s="128">
        <v>3.47</v>
      </c>
      <c r="P327" s="128">
        <v>1.05</v>
      </c>
      <c r="Q327" s="128">
        <v>2.59</v>
      </c>
      <c r="R327" s="129" t="str">
        <f t="shared" si="1"/>
        <v>OptionStrat</v>
      </c>
      <c r="S327" s="125" t="s">
        <v>496</v>
      </c>
      <c r="T327" s="125" t="s">
        <v>181</v>
      </c>
      <c r="U327" s="131">
        <v>0.55</v>
      </c>
    </row>
    <row r="328">
      <c r="A328" s="132" t="s">
        <v>28</v>
      </c>
      <c r="B328" s="132" t="s">
        <v>169</v>
      </c>
      <c r="C328" s="133">
        <v>550.0</v>
      </c>
      <c r="D328" s="133">
        <v>650.0</v>
      </c>
      <c r="E328" s="133">
        <v>100.0</v>
      </c>
      <c r="F328" s="134">
        <v>20.4</v>
      </c>
      <c r="G328" s="134">
        <v>79.6</v>
      </c>
      <c r="H328" s="135">
        <v>3.9</v>
      </c>
      <c r="I328" s="134">
        <v>47.47</v>
      </c>
      <c r="J328" s="135">
        <v>2.33</v>
      </c>
      <c r="K328" s="135">
        <v>0.58</v>
      </c>
      <c r="L328" s="135">
        <v>0.5</v>
      </c>
      <c r="M328" s="133">
        <v>474.0</v>
      </c>
      <c r="N328" s="133">
        <v>284.0</v>
      </c>
      <c r="O328" s="135">
        <v>3.67</v>
      </c>
      <c r="P328" s="135">
        <v>1.11</v>
      </c>
      <c r="Q328" s="135">
        <v>2.59</v>
      </c>
      <c r="R328" s="136" t="str">
        <f t="shared" si="1"/>
        <v>OptionStrat</v>
      </c>
      <c r="S328" s="132" t="s">
        <v>497</v>
      </c>
      <c r="T328" s="132" t="s">
        <v>181</v>
      </c>
      <c r="U328" s="138">
        <v>0.55</v>
      </c>
    </row>
    <row r="329">
      <c r="A329" s="125" t="s">
        <v>28</v>
      </c>
      <c r="B329" s="125" t="s">
        <v>169</v>
      </c>
      <c r="C329" s="126">
        <v>570.0</v>
      </c>
      <c r="D329" s="126">
        <v>620.0</v>
      </c>
      <c r="E329" s="126">
        <v>50.0</v>
      </c>
      <c r="F329" s="127">
        <v>10.37</v>
      </c>
      <c r="G329" s="127">
        <v>39.63</v>
      </c>
      <c r="H329" s="128">
        <v>3.82</v>
      </c>
      <c r="I329" s="127">
        <v>25.04</v>
      </c>
      <c r="J329" s="128">
        <v>2.41</v>
      </c>
      <c r="K329" s="128">
        <v>0.56</v>
      </c>
      <c r="L329" s="128">
        <v>0.53</v>
      </c>
      <c r="M329" s="126">
        <v>254.0</v>
      </c>
      <c r="N329" s="126">
        <v>426.0</v>
      </c>
      <c r="O329" s="128">
        <v>3.29</v>
      </c>
      <c r="P329" s="128">
        <v>1.08</v>
      </c>
      <c r="Q329" s="128">
        <v>2.59</v>
      </c>
      <c r="R329" s="129" t="str">
        <f t="shared" si="1"/>
        <v>OptionStrat</v>
      </c>
      <c r="S329" s="125" t="s">
        <v>498</v>
      </c>
      <c r="T329" s="130"/>
      <c r="U329" s="131">
        <v>0.55</v>
      </c>
    </row>
    <row r="330">
      <c r="A330" s="132" t="s">
        <v>28</v>
      </c>
      <c r="B330" s="132" t="s">
        <v>171</v>
      </c>
      <c r="C330" s="133">
        <v>540.0</v>
      </c>
      <c r="D330" s="133">
        <v>600.0</v>
      </c>
      <c r="E330" s="133">
        <v>60.0</v>
      </c>
      <c r="F330" s="134">
        <v>13.18</v>
      </c>
      <c r="G330" s="134">
        <v>46.82</v>
      </c>
      <c r="H330" s="135">
        <v>3.55</v>
      </c>
      <c r="I330" s="134">
        <v>33.59</v>
      </c>
      <c r="J330" s="135">
        <v>2.55</v>
      </c>
      <c r="K330" s="135">
        <v>0.62</v>
      </c>
      <c r="L330" s="135">
        <v>0.58</v>
      </c>
      <c r="M330" s="133">
        <v>58.0</v>
      </c>
      <c r="N330" s="133">
        <v>416.0</v>
      </c>
      <c r="O330" s="135">
        <v>1.55</v>
      </c>
      <c r="P330" s="135">
        <v>0.29</v>
      </c>
      <c r="Q330" s="135">
        <v>2.59</v>
      </c>
      <c r="R330" s="136" t="str">
        <f t="shared" si="1"/>
        <v>OptionStrat</v>
      </c>
      <c r="S330" s="132" t="s">
        <v>499</v>
      </c>
      <c r="T330" s="137"/>
      <c r="U330" s="138">
        <v>0.55</v>
      </c>
    </row>
    <row r="331">
      <c r="A331" s="125" t="s">
        <v>28</v>
      </c>
      <c r="B331" s="125" t="s">
        <v>169</v>
      </c>
      <c r="C331" s="126">
        <v>590.0</v>
      </c>
      <c r="D331" s="126">
        <v>700.0</v>
      </c>
      <c r="E331" s="126">
        <v>110.0</v>
      </c>
      <c r="F331" s="127">
        <v>19.75</v>
      </c>
      <c r="G331" s="127">
        <v>90.25</v>
      </c>
      <c r="H331" s="128">
        <v>4.57</v>
      </c>
      <c r="I331" s="127">
        <v>49.53</v>
      </c>
      <c r="J331" s="128">
        <v>2.51</v>
      </c>
      <c r="K331" s="128">
        <v>0.55</v>
      </c>
      <c r="L331" s="128">
        <v>0.47</v>
      </c>
      <c r="M331" s="126">
        <v>72.0</v>
      </c>
      <c r="N331" s="126">
        <v>1080.0</v>
      </c>
      <c r="O331" s="128">
        <v>2.79</v>
      </c>
      <c r="P331" s="128">
        <v>1.18</v>
      </c>
      <c r="Q331" s="128">
        <v>2.58</v>
      </c>
      <c r="R331" s="129" t="str">
        <f t="shared" si="1"/>
        <v>OptionStrat</v>
      </c>
      <c r="S331" s="125" t="s">
        <v>500</v>
      </c>
      <c r="T331" s="130"/>
      <c r="U331" s="131">
        <v>0.55</v>
      </c>
    </row>
    <row r="332">
      <c r="A332" s="132" t="s">
        <v>28</v>
      </c>
      <c r="B332" s="132" t="s">
        <v>171</v>
      </c>
      <c r="C332" s="133">
        <v>490.0</v>
      </c>
      <c r="D332" s="133">
        <v>570.0</v>
      </c>
      <c r="E332" s="133">
        <v>80.0</v>
      </c>
      <c r="F332" s="134">
        <v>19.65</v>
      </c>
      <c r="G332" s="134">
        <v>60.35</v>
      </c>
      <c r="H332" s="135">
        <v>3.07</v>
      </c>
      <c r="I332" s="134">
        <v>44.88</v>
      </c>
      <c r="J332" s="135">
        <v>2.28</v>
      </c>
      <c r="K332" s="135">
        <v>0.66</v>
      </c>
      <c r="L332" s="135">
        <v>0.6</v>
      </c>
      <c r="M332" s="133">
        <v>93.0</v>
      </c>
      <c r="N332" s="133">
        <v>110.0</v>
      </c>
      <c r="O332" s="135">
        <v>1.01</v>
      </c>
      <c r="P332" s="135">
        <v>0.27</v>
      </c>
      <c r="Q332" s="135">
        <v>2.58</v>
      </c>
      <c r="R332" s="136" t="str">
        <f t="shared" si="1"/>
        <v>OptionStrat</v>
      </c>
      <c r="S332" s="132" t="s">
        <v>501</v>
      </c>
      <c r="T332" s="132" t="s">
        <v>181</v>
      </c>
      <c r="U332" s="138">
        <v>0.55</v>
      </c>
    </row>
    <row r="333">
      <c r="A333" s="125" t="s">
        <v>28</v>
      </c>
      <c r="B333" s="125" t="s">
        <v>171</v>
      </c>
      <c r="C333" s="126">
        <v>520.0</v>
      </c>
      <c r="D333" s="126">
        <v>570.0</v>
      </c>
      <c r="E333" s="126">
        <v>50.0</v>
      </c>
      <c r="F333" s="127">
        <v>11.75</v>
      </c>
      <c r="G333" s="127">
        <v>38.25</v>
      </c>
      <c r="H333" s="128">
        <v>3.26</v>
      </c>
      <c r="I333" s="127">
        <v>28.48</v>
      </c>
      <c r="J333" s="128">
        <v>2.42</v>
      </c>
      <c r="K333" s="128">
        <v>0.64</v>
      </c>
      <c r="L333" s="128">
        <v>0.6</v>
      </c>
      <c r="M333" s="126">
        <v>82.0</v>
      </c>
      <c r="N333" s="126">
        <v>110.0</v>
      </c>
      <c r="O333" s="128">
        <v>0.95</v>
      </c>
      <c r="P333" s="128">
        <v>0.27</v>
      </c>
      <c r="Q333" s="128">
        <v>2.58</v>
      </c>
      <c r="R333" s="129" t="str">
        <f t="shared" si="1"/>
        <v>OptionStrat</v>
      </c>
      <c r="S333" s="125" t="s">
        <v>502</v>
      </c>
      <c r="T333" s="130"/>
      <c r="U333" s="131">
        <v>0.55</v>
      </c>
    </row>
    <row r="334">
      <c r="A334" s="132" t="s">
        <v>28</v>
      </c>
      <c r="B334" s="132" t="s">
        <v>171</v>
      </c>
      <c r="C334" s="133">
        <v>650.0</v>
      </c>
      <c r="D334" s="133">
        <v>690.0</v>
      </c>
      <c r="E334" s="133">
        <v>40.0</v>
      </c>
      <c r="F334" s="134">
        <v>6.7</v>
      </c>
      <c r="G334" s="134">
        <v>33.3</v>
      </c>
      <c r="H334" s="135">
        <v>4.97</v>
      </c>
      <c r="I334" s="134">
        <v>21.01</v>
      </c>
      <c r="J334" s="135">
        <v>3.14</v>
      </c>
      <c r="K334" s="135">
        <v>0.54</v>
      </c>
      <c r="L334" s="135">
        <v>0.52</v>
      </c>
      <c r="M334" s="133">
        <v>220.0</v>
      </c>
      <c r="N334" s="133">
        <v>49.0</v>
      </c>
      <c r="O334" s="135">
        <v>1.04</v>
      </c>
      <c r="P334" s="135">
        <v>0.32</v>
      </c>
      <c r="Q334" s="135">
        <v>2.58</v>
      </c>
      <c r="R334" s="136" t="str">
        <f t="shared" si="1"/>
        <v>OptionStrat</v>
      </c>
      <c r="S334" s="132" t="s">
        <v>503</v>
      </c>
      <c r="T334" s="137"/>
      <c r="U334" s="138">
        <v>0.55</v>
      </c>
    </row>
    <row r="335">
      <c r="A335" s="125" t="s">
        <v>28</v>
      </c>
      <c r="B335" s="125" t="s">
        <v>169</v>
      </c>
      <c r="C335" s="126">
        <v>430.0</v>
      </c>
      <c r="D335" s="126">
        <v>470.0</v>
      </c>
      <c r="E335" s="126">
        <v>40.0</v>
      </c>
      <c r="F335" s="127">
        <v>12.78</v>
      </c>
      <c r="G335" s="127">
        <v>27.22</v>
      </c>
      <c r="H335" s="128">
        <v>2.13</v>
      </c>
      <c r="I335" s="127">
        <v>20.05</v>
      </c>
      <c r="J335" s="128">
        <v>1.57</v>
      </c>
      <c r="K335" s="128">
        <v>0.69</v>
      </c>
      <c r="L335" s="128">
        <v>0.65</v>
      </c>
      <c r="M335" s="126">
        <v>230.0</v>
      </c>
      <c r="N335" s="126">
        <v>318.0</v>
      </c>
      <c r="O335" s="128">
        <v>2.7</v>
      </c>
      <c r="P335" s="128">
        <v>0.52</v>
      </c>
      <c r="Q335" s="128">
        <v>2.57</v>
      </c>
      <c r="R335" s="129" t="str">
        <f t="shared" si="1"/>
        <v>OptionStrat</v>
      </c>
      <c r="S335" s="125" t="s">
        <v>504</v>
      </c>
      <c r="T335" s="130"/>
      <c r="U335" s="131">
        <v>0.55</v>
      </c>
    </row>
    <row r="336">
      <c r="A336" s="132" t="s">
        <v>28</v>
      </c>
      <c r="B336" s="132" t="s">
        <v>169</v>
      </c>
      <c r="C336" s="133">
        <v>470.0</v>
      </c>
      <c r="D336" s="133">
        <v>620.0</v>
      </c>
      <c r="E336" s="133">
        <v>150.0</v>
      </c>
      <c r="F336" s="134">
        <v>36.2</v>
      </c>
      <c r="G336" s="134">
        <v>113.8</v>
      </c>
      <c r="H336" s="135">
        <v>3.14</v>
      </c>
      <c r="I336" s="134">
        <v>70.91</v>
      </c>
      <c r="J336" s="135">
        <v>1.96</v>
      </c>
      <c r="K336" s="135">
        <v>0.65</v>
      </c>
      <c r="L336" s="135">
        <v>0.53</v>
      </c>
      <c r="M336" s="133">
        <v>318.0</v>
      </c>
      <c r="N336" s="133">
        <v>426.0</v>
      </c>
      <c r="O336" s="135">
        <v>3.68</v>
      </c>
      <c r="P336" s="135">
        <v>0.8</v>
      </c>
      <c r="Q336" s="135">
        <v>2.57</v>
      </c>
      <c r="R336" s="136" t="str">
        <f t="shared" si="1"/>
        <v>OptionStrat</v>
      </c>
      <c r="S336" s="132" t="s">
        <v>505</v>
      </c>
      <c r="T336" s="137"/>
      <c r="U336" s="138">
        <v>0.55</v>
      </c>
    </row>
    <row r="337">
      <c r="A337" s="125" t="s">
        <v>28</v>
      </c>
      <c r="B337" s="125" t="s">
        <v>169</v>
      </c>
      <c r="C337" s="126">
        <v>520.0</v>
      </c>
      <c r="D337" s="126">
        <v>610.0</v>
      </c>
      <c r="E337" s="126">
        <v>90.0</v>
      </c>
      <c r="F337" s="127">
        <v>20.17</v>
      </c>
      <c r="G337" s="127">
        <v>69.83</v>
      </c>
      <c r="H337" s="128">
        <v>3.46</v>
      </c>
      <c r="I337" s="127">
        <v>44.74</v>
      </c>
      <c r="J337" s="128">
        <v>2.22</v>
      </c>
      <c r="K337" s="128">
        <v>0.61</v>
      </c>
      <c r="L337" s="128">
        <v>0.53</v>
      </c>
      <c r="M337" s="126">
        <v>281.0</v>
      </c>
      <c r="N337" s="126">
        <v>340.0</v>
      </c>
      <c r="O337" s="128">
        <v>3.09</v>
      </c>
      <c r="P337" s="128">
        <v>0.66</v>
      </c>
      <c r="Q337" s="128">
        <v>2.57</v>
      </c>
      <c r="R337" s="129" t="str">
        <f t="shared" si="1"/>
        <v>OptionStrat</v>
      </c>
      <c r="S337" s="125" t="s">
        <v>506</v>
      </c>
      <c r="T337" s="130"/>
      <c r="U337" s="131">
        <v>0.55</v>
      </c>
    </row>
    <row r="338">
      <c r="A338" s="132" t="s">
        <v>28</v>
      </c>
      <c r="B338" s="132" t="s">
        <v>171</v>
      </c>
      <c r="C338" s="133">
        <v>420.0</v>
      </c>
      <c r="D338" s="133">
        <v>490.0</v>
      </c>
      <c r="E338" s="133">
        <v>70.0</v>
      </c>
      <c r="F338" s="134">
        <v>21.2</v>
      </c>
      <c r="G338" s="134">
        <v>48.8</v>
      </c>
      <c r="H338" s="135">
        <v>2.3</v>
      </c>
      <c r="I338" s="134">
        <v>36.03</v>
      </c>
      <c r="J338" s="135">
        <v>1.7</v>
      </c>
      <c r="K338" s="135">
        <v>0.72</v>
      </c>
      <c r="L338" s="135">
        <v>0.66</v>
      </c>
      <c r="M338" s="133">
        <v>131.0</v>
      </c>
      <c r="N338" s="133">
        <v>93.0</v>
      </c>
      <c r="O338" s="135">
        <v>1.1</v>
      </c>
      <c r="P338" s="135">
        <v>0.27</v>
      </c>
      <c r="Q338" s="135">
        <v>2.57</v>
      </c>
      <c r="R338" s="136" t="str">
        <f t="shared" si="1"/>
        <v>OptionStrat</v>
      </c>
      <c r="S338" s="132" t="s">
        <v>507</v>
      </c>
      <c r="T338" s="137"/>
      <c r="U338" s="138">
        <v>0.55</v>
      </c>
    </row>
    <row r="339">
      <c r="A339" s="125" t="s">
        <v>28</v>
      </c>
      <c r="B339" s="125" t="s">
        <v>171</v>
      </c>
      <c r="C339" s="126">
        <v>430.0</v>
      </c>
      <c r="D339" s="126">
        <v>570.0</v>
      </c>
      <c r="E339" s="126">
        <v>140.0</v>
      </c>
      <c r="F339" s="127">
        <v>37.6</v>
      </c>
      <c r="G339" s="127">
        <v>102.4</v>
      </c>
      <c r="H339" s="128">
        <v>2.72</v>
      </c>
      <c r="I339" s="127">
        <v>75.94</v>
      </c>
      <c r="J339" s="128">
        <v>2.02</v>
      </c>
      <c r="K339" s="128">
        <v>0.71</v>
      </c>
      <c r="L339" s="128">
        <v>0.6</v>
      </c>
      <c r="M339" s="126">
        <v>213.0</v>
      </c>
      <c r="N339" s="126">
        <v>110.0</v>
      </c>
      <c r="O339" s="128">
        <v>1.53</v>
      </c>
      <c r="P339" s="128">
        <v>0.29</v>
      </c>
      <c r="Q339" s="128">
        <v>2.57</v>
      </c>
      <c r="R339" s="129" t="str">
        <f t="shared" si="1"/>
        <v>OptionStrat</v>
      </c>
      <c r="S339" s="125" t="s">
        <v>508</v>
      </c>
      <c r="T339" s="130"/>
      <c r="U339" s="131">
        <v>0.55</v>
      </c>
    </row>
    <row r="340">
      <c r="A340" s="132" t="s">
        <v>28</v>
      </c>
      <c r="B340" s="132" t="s">
        <v>169</v>
      </c>
      <c r="C340" s="133">
        <v>370.0</v>
      </c>
      <c r="D340" s="133">
        <v>520.0</v>
      </c>
      <c r="E340" s="133">
        <v>150.0</v>
      </c>
      <c r="F340" s="134">
        <v>49.5</v>
      </c>
      <c r="G340" s="134">
        <v>100.5</v>
      </c>
      <c r="H340" s="135">
        <v>2.03</v>
      </c>
      <c r="I340" s="134">
        <v>73.91</v>
      </c>
      <c r="J340" s="135">
        <v>1.49</v>
      </c>
      <c r="K340" s="135">
        <v>0.75</v>
      </c>
      <c r="L340" s="135">
        <v>0.61</v>
      </c>
      <c r="M340" s="133">
        <v>326.0</v>
      </c>
      <c r="N340" s="133">
        <v>281.0</v>
      </c>
      <c r="O340" s="135">
        <v>3.03</v>
      </c>
      <c r="P340" s="135">
        <v>0.43</v>
      </c>
      <c r="Q340" s="135">
        <v>2.56</v>
      </c>
      <c r="R340" s="136" t="str">
        <f t="shared" si="1"/>
        <v>OptionStrat</v>
      </c>
      <c r="S340" s="132" t="s">
        <v>509</v>
      </c>
      <c r="T340" s="137"/>
      <c r="U340" s="138">
        <v>0.55</v>
      </c>
    </row>
    <row r="341">
      <c r="A341" s="125" t="s">
        <v>28</v>
      </c>
      <c r="B341" s="125" t="s">
        <v>169</v>
      </c>
      <c r="C341" s="126">
        <v>530.0</v>
      </c>
      <c r="D341" s="126">
        <v>580.0</v>
      </c>
      <c r="E341" s="126">
        <v>50.0</v>
      </c>
      <c r="F341" s="127">
        <v>11.38</v>
      </c>
      <c r="G341" s="127">
        <v>38.62</v>
      </c>
      <c r="H341" s="128">
        <v>3.39</v>
      </c>
      <c r="I341" s="127">
        <v>26.3</v>
      </c>
      <c r="J341" s="128">
        <v>2.31</v>
      </c>
      <c r="K341" s="128">
        <v>0.6</v>
      </c>
      <c r="L341" s="128">
        <v>0.56</v>
      </c>
      <c r="M341" s="126">
        <v>171.0</v>
      </c>
      <c r="N341" s="126">
        <v>263.0</v>
      </c>
      <c r="O341" s="128">
        <v>2.12</v>
      </c>
      <c r="P341" s="128">
        <v>0.7</v>
      </c>
      <c r="Q341" s="128">
        <v>2.56</v>
      </c>
      <c r="R341" s="129" t="str">
        <f t="shared" si="1"/>
        <v>OptionStrat</v>
      </c>
      <c r="S341" s="125" t="s">
        <v>510</v>
      </c>
      <c r="T341" s="130"/>
      <c r="U341" s="131">
        <v>0.55</v>
      </c>
    </row>
    <row r="342">
      <c r="A342" s="132" t="s">
        <v>28</v>
      </c>
      <c r="B342" s="132" t="s">
        <v>169</v>
      </c>
      <c r="C342" s="133">
        <v>550.0</v>
      </c>
      <c r="D342" s="133">
        <v>630.0</v>
      </c>
      <c r="E342" s="133">
        <v>80.0</v>
      </c>
      <c r="F342" s="134">
        <v>16.8</v>
      </c>
      <c r="G342" s="134">
        <v>63.2</v>
      </c>
      <c r="H342" s="135">
        <v>3.76</v>
      </c>
      <c r="I342" s="134">
        <v>39.11</v>
      </c>
      <c r="J342" s="135">
        <v>2.33</v>
      </c>
      <c r="K342" s="135">
        <v>0.58</v>
      </c>
      <c r="L342" s="135">
        <v>0.52</v>
      </c>
      <c r="M342" s="133">
        <v>474.0</v>
      </c>
      <c r="N342" s="133">
        <v>247.0</v>
      </c>
      <c r="O342" s="135">
        <v>3.42</v>
      </c>
      <c r="P342" s="135">
        <v>1.11</v>
      </c>
      <c r="Q342" s="135">
        <v>2.56</v>
      </c>
      <c r="R342" s="136" t="str">
        <f t="shared" si="1"/>
        <v>OptionStrat</v>
      </c>
      <c r="S342" s="132" t="s">
        <v>511</v>
      </c>
      <c r="T342" s="132" t="s">
        <v>181</v>
      </c>
      <c r="U342" s="138">
        <v>0.55</v>
      </c>
    </row>
    <row r="343">
      <c r="A343" s="125" t="s">
        <v>28</v>
      </c>
      <c r="B343" s="125" t="s">
        <v>169</v>
      </c>
      <c r="C343" s="126">
        <v>570.0</v>
      </c>
      <c r="D343" s="126">
        <v>690.0</v>
      </c>
      <c r="E343" s="126">
        <v>120.0</v>
      </c>
      <c r="F343" s="127">
        <v>22.52</v>
      </c>
      <c r="G343" s="127">
        <v>97.48</v>
      </c>
      <c r="H343" s="128">
        <v>4.33</v>
      </c>
      <c r="I343" s="127">
        <v>54.24</v>
      </c>
      <c r="J343" s="128">
        <v>2.41</v>
      </c>
      <c r="K343" s="128">
        <v>0.56</v>
      </c>
      <c r="L343" s="128">
        <v>0.48</v>
      </c>
      <c r="M343" s="126">
        <v>254.0</v>
      </c>
      <c r="N343" s="126">
        <v>370.0</v>
      </c>
      <c r="O343" s="128">
        <v>3.07</v>
      </c>
      <c r="P343" s="128">
        <v>1.14</v>
      </c>
      <c r="Q343" s="128">
        <v>2.56</v>
      </c>
      <c r="R343" s="129" t="str">
        <f t="shared" si="1"/>
        <v>OptionStrat</v>
      </c>
      <c r="S343" s="125" t="s">
        <v>512</v>
      </c>
      <c r="T343" s="130"/>
      <c r="U343" s="131">
        <v>0.55</v>
      </c>
    </row>
    <row r="344">
      <c r="A344" s="132" t="s">
        <v>28</v>
      </c>
      <c r="B344" s="132" t="s">
        <v>169</v>
      </c>
      <c r="C344" s="133">
        <v>580.0</v>
      </c>
      <c r="D344" s="133">
        <v>610.0</v>
      </c>
      <c r="E344" s="133">
        <v>30.0</v>
      </c>
      <c r="F344" s="134">
        <v>6.27</v>
      </c>
      <c r="G344" s="134">
        <v>23.73</v>
      </c>
      <c r="H344" s="135">
        <v>3.78</v>
      </c>
      <c r="I344" s="134">
        <v>15.29</v>
      </c>
      <c r="J344" s="135">
        <v>2.44</v>
      </c>
      <c r="K344" s="135">
        <v>0.56</v>
      </c>
      <c r="L344" s="135">
        <v>0.53</v>
      </c>
      <c r="M344" s="133">
        <v>263.0</v>
      </c>
      <c r="N344" s="133">
        <v>340.0</v>
      </c>
      <c r="O344" s="135">
        <v>2.99</v>
      </c>
      <c r="P344" s="135">
        <v>1.14</v>
      </c>
      <c r="Q344" s="135">
        <v>2.56</v>
      </c>
      <c r="R344" s="136" t="str">
        <f t="shared" si="1"/>
        <v>OptionStrat</v>
      </c>
      <c r="S344" s="132" t="s">
        <v>513</v>
      </c>
      <c r="T344" s="137"/>
      <c r="U344" s="138">
        <v>0.55</v>
      </c>
    </row>
    <row r="345">
      <c r="A345" s="125" t="s">
        <v>28</v>
      </c>
      <c r="B345" s="125" t="s">
        <v>171</v>
      </c>
      <c r="C345" s="126">
        <v>440.0</v>
      </c>
      <c r="D345" s="126">
        <v>570.0</v>
      </c>
      <c r="E345" s="126">
        <v>130.0</v>
      </c>
      <c r="F345" s="127">
        <v>34.15</v>
      </c>
      <c r="G345" s="127">
        <v>95.85</v>
      </c>
      <c r="H345" s="128">
        <v>2.81</v>
      </c>
      <c r="I345" s="127">
        <v>71.14</v>
      </c>
      <c r="J345" s="128">
        <v>2.08</v>
      </c>
      <c r="K345" s="128">
        <v>0.7</v>
      </c>
      <c r="L345" s="128">
        <v>0.6</v>
      </c>
      <c r="M345" s="126">
        <v>144.0</v>
      </c>
      <c r="N345" s="126">
        <v>110.0</v>
      </c>
      <c r="O345" s="128">
        <v>1.26</v>
      </c>
      <c r="P345" s="128">
        <v>0.31</v>
      </c>
      <c r="Q345" s="128">
        <v>2.56</v>
      </c>
      <c r="R345" s="129" t="str">
        <f t="shared" si="1"/>
        <v>OptionStrat</v>
      </c>
      <c r="S345" s="125" t="s">
        <v>514</v>
      </c>
      <c r="T345" s="125" t="s">
        <v>181</v>
      </c>
      <c r="U345" s="131">
        <v>0.55</v>
      </c>
    </row>
    <row r="346">
      <c r="A346" s="132" t="s">
        <v>28</v>
      </c>
      <c r="B346" s="132" t="s">
        <v>169</v>
      </c>
      <c r="C346" s="133">
        <v>420.0</v>
      </c>
      <c r="D346" s="133">
        <v>470.0</v>
      </c>
      <c r="E346" s="133">
        <v>50.0</v>
      </c>
      <c r="F346" s="134">
        <v>16.28</v>
      </c>
      <c r="G346" s="134">
        <v>33.72</v>
      </c>
      <c r="H346" s="135">
        <v>2.07</v>
      </c>
      <c r="I346" s="134">
        <v>24.82</v>
      </c>
      <c r="J346" s="135">
        <v>1.52</v>
      </c>
      <c r="K346" s="135">
        <v>0.7</v>
      </c>
      <c r="L346" s="135">
        <v>0.65</v>
      </c>
      <c r="M346" s="133">
        <v>290.0</v>
      </c>
      <c r="N346" s="133">
        <v>318.0</v>
      </c>
      <c r="O346" s="135">
        <v>3.04</v>
      </c>
      <c r="P346" s="135">
        <v>0.52</v>
      </c>
      <c r="Q346" s="135">
        <v>2.55</v>
      </c>
      <c r="R346" s="136" t="str">
        <f t="shared" si="1"/>
        <v>OptionStrat</v>
      </c>
      <c r="S346" s="132" t="s">
        <v>515</v>
      </c>
      <c r="T346" s="137"/>
      <c r="U346" s="138">
        <v>0.55</v>
      </c>
    </row>
    <row r="347">
      <c r="A347" s="125" t="s">
        <v>28</v>
      </c>
      <c r="B347" s="125" t="s">
        <v>169</v>
      </c>
      <c r="C347" s="126">
        <v>660.0</v>
      </c>
      <c r="D347" s="126">
        <v>680.0</v>
      </c>
      <c r="E347" s="126">
        <v>20.0</v>
      </c>
      <c r="F347" s="127">
        <v>3.35</v>
      </c>
      <c r="G347" s="127">
        <v>16.65</v>
      </c>
      <c r="H347" s="128">
        <v>4.97</v>
      </c>
      <c r="I347" s="127">
        <v>9.56</v>
      </c>
      <c r="J347" s="128">
        <v>2.85</v>
      </c>
      <c r="K347" s="128">
        <v>0.5</v>
      </c>
      <c r="L347" s="128">
        <v>0.48</v>
      </c>
      <c r="M347" s="126">
        <v>129.0</v>
      </c>
      <c r="N347" s="126">
        <v>245.0</v>
      </c>
      <c r="O347" s="128">
        <v>1.78</v>
      </c>
      <c r="P347" s="128">
        <v>1.18</v>
      </c>
      <c r="Q347" s="128">
        <v>2.55</v>
      </c>
      <c r="R347" s="129" t="str">
        <f t="shared" si="1"/>
        <v>OptionStrat</v>
      </c>
      <c r="S347" s="125" t="s">
        <v>516</v>
      </c>
      <c r="T347" s="130"/>
      <c r="U347" s="131">
        <v>0.55</v>
      </c>
    </row>
    <row r="348">
      <c r="A348" s="132" t="s">
        <v>28</v>
      </c>
      <c r="B348" s="132" t="s">
        <v>171</v>
      </c>
      <c r="C348" s="133">
        <v>570.0</v>
      </c>
      <c r="D348" s="133">
        <v>650.0</v>
      </c>
      <c r="E348" s="133">
        <v>80.0</v>
      </c>
      <c r="F348" s="134">
        <v>15.75</v>
      </c>
      <c r="G348" s="134">
        <v>64.25</v>
      </c>
      <c r="H348" s="135">
        <v>4.08</v>
      </c>
      <c r="I348" s="134">
        <v>42.71</v>
      </c>
      <c r="J348" s="135">
        <v>2.71</v>
      </c>
      <c r="K348" s="135">
        <v>0.6</v>
      </c>
      <c r="L348" s="135">
        <v>0.54</v>
      </c>
      <c r="M348" s="133">
        <v>110.0</v>
      </c>
      <c r="N348" s="133">
        <v>220.0</v>
      </c>
      <c r="O348" s="135">
        <v>1.56</v>
      </c>
      <c r="P348" s="135">
        <v>0.3</v>
      </c>
      <c r="Q348" s="135">
        <v>2.55</v>
      </c>
      <c r="R348" s="136" t="str">
        <f t="shared" si="1"/>
        <v>OptionStrat</v>
      </c>
      <c r="S348" s="132" t="s">
        <v>517</v>
      </c>
      <c r="T348" s="137"/>
      <c r="U348" s="138">
        <v>0.55</v>
      </c>
    </row>
    <row r="349">
      <c r="A349" s="125" t="s">
        <v>28</v>
      </c>
      <c r="B349" s="125" t="s">
        <v>169</v>
      </c>
      <c r="C349" s="126">
        <v>370.0</v>
      </c>
      <c r="D349" s="126">
        <v>510.0</v>
      </c>
      <c r="E349" s="126">
        <v>140.0</v>
      </c>
      <c r="F349" s="127">
        <v>46.88</v>
      </c>
      <c r="G349" s="127">
        <v>93.12</v>
      </c>
      <c r="H349" s="128">
        <v>1.99</v>
      </c>
      <c r="I349" s="127">
        <v>68.43</v>
      </c>
      <c r="J349" s="128">
        <v>1.46</v>
      </c>
      <c r="K349" s="128">
        <v>0.75</v>
      </c>
      <c r="L349" s="128">
        <v>0.62</v>
      </c>
      <c r="M349" s="126">
        <v>326.0</v>
      </c>
      <c r="N349" s="126">
        <v>359.0</v>
      </c>
      <c r="O349" s="128">
        <v>3.42</v>
      </c>
      <c r="P349" s="128">
        <v>0.43</v>
      </c>
      <c r="Q349" s="128">
        <v>2.54</v>
      </c>
      <c r="R349" s="129" t="str">
        <f t="shared" si="1"/>
        <v>OptionStrat</v>
      </c>
      <c r="S349" s="125" t="s">
        <v>518</v>
      </c>
      <c r="T349" s="130"/>
      <c r="U349" s="131">
        <v>0.55</v>
      </c>
    </row>
    <row r="350">
      <c r="A350" s="132" t="s">
        <v>28</v>
      </c>
      <c r="B350" s="132" t="s">
        <v>169</v>
      </c>
      <c r="C350" s="133">
        <v>460.0</v>
      </c>
      <c r="D350" s="133">
        <v>610.0</v>
      </c>
      <c r="E350" s="133">
        <v>150.0</v>
      </c>
      <c r="F350" s="134">
        <v>37.22</v>
      </c>
      <c r="G350" s="134">
        <v>112.78</v>
      </c>
      <c r="H350" s="135">
        <v>3.03</v>
      </c>
      <c r="I350" s="134">
        <v>71.58</v>
      </c>
      <c r="J350" s="135">
        <v>1.92</v>
      </c>
      <c r="K350" s="135">
        <v>0.66</v>
      </c>
      <c r="L350" s="135">
        <v>0.53</v>
      </c>
      <c r="M350" s="133">
        <v>419.0</v>
      </c>
      <c r="N350" s="133">
        <v>340.0</v>
      </c>
      <c r="O350" s="135">
        <v>3.77</v>
      </c>
      <c r="P350" s="135">
        <v>0.66</v>
      </c>
      <c r="Q350" s="135">
        <v>2.54</v>
      </c>
      <c r="R350" s="136" t="str">
        <f t="shared" si="1"/>
        <v>OptionStrat</v>
      </c>
      <c r="S350" s="132" t="s">
        <v>519</v>
      </c>
      <c r="T350" s="137"/>
      <c r="U350" s="138">
        <v>0.55</v>
      </c>
    </row>
    <row r="351">
      <c r="A351" s="125" t="s">
        <v>28</v>
      </c>
      <c r="B351" s="125" t="s">
        <v>169</v>
      </c>
      <c r="C351" s="126">
        <v>470.0</v>
      </c>
      <c r="D351" s="126">
        <v>610.0</v>
      </c>
      <c r="E351" s="126">
        <v>140.0</v>
      </c>
      <c r="F351" s="127">
        <v>34.25</v>
      </c>
      <c r="G351" s="127">
        <v>105.75</v>
      </c>
      <c r="H351" s="128">
        <v>3.09</v>
      </c>
      <c r="I351" s="127">
        <v>67.22</v>
      </c>
      <c r="J351" s="128">
        <v>1.96</v>
      </c>
      <c r="K351" s="128">
        <v>0.65</v>
      </c>
      <c r="L351" s="128">
        <v>0.53</v>
      </c>
      <c r="M351" s="126">
        <v>318.0</v>
      </c>
      <c r="N351" s="126">
        <v>340.0</v>
      </c>
      <c r="O351" s="128">
        <v>3.29</v>
      </c>
      <c r="P351" s="128">
        <v>0.8</v>
      </c>
      <c r="Q351" s="128">
        <v>2.54</v>
      </c>
      <c r="R351" s="129" t="str">
        <f t="shared" si="1"/>
        <v>OptionStrat</v>
      </c>
      <c r="S351" s="125" t="s">
        <v>520</v>
      </c>
      <c r="T351" s="130"/>
      <c r="U351" s="131">
        <v>0.55</v>
      </c>
    </row>
    <row r="352">
      <c r="A352" s="132" t="s">
        <v>28</v>
      </c>
      <c r="B352" s="132" t="s">
        <v>169</v>
      </c>
      <c r="C352" s="133">
        <v>490.0</v>
      </c>
      <c r="D352" s="133">
        <v>630.0</v>
      </c>
      <c r="E352" s="133">
        <v>140.0</v>
      </c>
      <c r="F352" s="134">
        <v>32.12</v>
      </c>
      <c r="G352" s="134">
        <v>107.88</v>
      </c>
      <c r="H352" s="135">
        <v>3.36</v>
      </c>
      <c r="I352" s="134">
        <v>66.18</v>
      </c>
      <c r="J352" s="135">
        <v>2.06</v>
      </c>
      <c r="K352" s="135">
        <v>0.63</v>
      </c>
      <c r="L352" s="135">
        <v>0.52</v>
      </c>
      <c r="M352" s="133">
        <v>494.0</v>
      </c>
      <c r="N352" s="133">
        <v>247.0</v>
      </c>
      <c r="O352" s="135">
        <v>3.49</v>
      </c>
      <c r="P352" s="135">
        <v>0.7</v>
      </c>
      <c r="Q352" s="135">
        <v>2.54</v>
      </c>
      <c r="R352" s="136" t="str">
        <f t="shared" si="1"/>
        <v>OptionStrat</v>
      </c>
      <c r="S352" s="132" t="s">
        <v>521</v>
      </c>
      <c r="T352" s="137"/>
      <c r="U352" s="138">
        <v>0.55</v>
      </c>
    </row>
    <row r="353">
      <c r="A353" s="125" t="s">
        <v>28</v>
      </c>
      <c r="B353" s="125" t="s">
        <v>169</v>
      </c>
      <c r="C353" s="126">
        <v>550.0</v>
      </c>
      <c r="D353" s="126">
        <v>640.0</v>
      </c>
      <c r="E353" s="126">
        <v>90.0</v>
      </c>
      <c r="F353" s="127">
        <v>18.6</v>
      </c>
      <c r="G353" s="127">
        <v>71.4</v>
      </c>
      <c r="H353" s="128">
        <v>3.84</v>
      </c>
      <c r="I353" s="127">
        <v>43.38</v>
      </c>
      <c r="J353" s="128">
        <v>2.33</v>
      </c>
      <c r="K353" s="128">
        <v>0.58</v>
      </c>
      <c r="L353" s="128">
        <v>0.51</v>
      </c>
      <c r="M353" s="126">
        <v>474.0</v>
      </c>
      <c r="N353" s="126">
        <v>222.0</v>
      </c>
      <c r="O353" s="128">
        <v>3.24</v>
      </c>
      <c r="P353" s="128">
        <v>1.11</v>
      </c>
      <c r="Q353" s="128">
        <v>2.54</v>
      </c>
      <c r="R353" s="129" t="str">
        <f t="shared" si="1"/>
        <v>OptionStrat</v>
      </c>
      <c r="S353" s="125" t="s">
        <v>522</v>
      </c>
      <c r="T353" s="125" t="s">
        <v>181</v>
      </c>
      <c r="U353" s="131">
        <v>0.55</v>
      </c>
    </row>
    <row r="354">
      <c r="A354" s="132" t="s">
        <v>28</v>
      </c>
      <c r="B354" s="132" t="s">
        <v>169</v>
      </c>
      <c r="C354" s="133">
        <v>550.0</v>
      </c>
      <c r="D354" s="133">
        <v>670.0</v>
      </c>
      <c r="E354" s="133">
        <v>120.0</v>
      </c>
      <c r="F354" s="134">
        <v>23.82</v>
      </c>
      <c r="G354" s="134">
        <v>96.18</v>
      </c>
      <c r="H354" s="135">
        <v>4.04</v>
      </c>
      <c r="I354" s="134">
        <v>55.29</v>
      </c>
      <c r="J354" s="135">
        <v>2.32</v>
      </c>
      <c r="K354" s="135">
        <v>0.58</v>
      </c>
      <c r="L354" s="135">
        <v>0.49</v>
      </c>
      <c r="M354" s="133">
        <v>474.0</v>
      </c>
      <c r="N354" s="133">
        <v>228.0</v>
      </c>
      <c r="O354" s="135">
        <v>3.29</v>
      </c>
      <c r="P354" s="135">
        <v>1.14</v>
      </c>
      <c r="Q354" s="135">
        <v>2.54</v>
      </c>
      <c r="R354" s="136" t="str">
        <f t="shared" si="1"/>
        <v>OptionStrat</v>
      </c>
      <c r="S354" s="132" t="s">
        <v>523</v>
      </c>
      <c r="T354" s="132" t="s">
        <v>181</v>
      </c>
      <c r="U354" s="138">
        <v>0.55</v>
      </c>
    </row>
    <row r="355">
      <c r="A355" s="125" t="s">
        <v>28</v>
      </c>
      <c r="B355" s="125" t="s">
        <v>169</v>
      </c>
      <c r="C355" s="126">
        <v>550.0</v>
      </c>
      <c r="D355" s="126">
        <v>680.0</v>
      </c>
      <c r="E355" s="126">
        <v>130.0</v>
      </c>
      <c r="F355" s="127">
        <v>25.5</v>
      </c>
      <c r="G355" s="127">
        <v>104.5</v>
      </c>
      <c r="H355" s="128">
        <v>4.1</v>
      </c>
      <c r="I355" s="127">
        <v>58.97</v>
      </c>
      <c r="J355" s="128">
        <v>2.31</v>
      </c>
      <c r="K355" s="128">
        <v>0.58</v>
      </c>
      <c r="L355" s="128">
        <v>0.48</v>
      </c>
      <c r="M355" s="126">
        <v>474.0</v>
      </c>
      <c r="N355" s="126">
        <v>245.0</v>
      </c>
      <c r="O355" s="128">
        <v>3.41</v>
      </c>
      <c r="P355" s="128">
        <v>1.11</v>
      </c>
      <c r="Q355" s="128">
        <v>2.54</v>
      </c>
      <c r="R355" s="129" t="str">
        <f t="shared" si="1"/>
        <v>OptionStrat</v>
      </c>
      <c r="S355" s="125" t="s">
        <v>524</v>
      </c>
      <c r="T355" s="125" t="s">
        <v>181</v>
      </c>
      <c r="U355" s="131">
        <v>0.55</v>
      </c>
    </row>
    <row r="356">
      <c r="A356" s="132" t="s">
        <v>28</v>
      </c>
      <c r="B356" s="132" t="s">
        <v>169</v>
      </c>
      <c r="C356" s="133">
        <v>580.0</v>
      </c>
      <c r="D356" s="133">
        <v>650.0</v>
      </c>
      <c r="E356" s="133">
        <v>70.0</v>
      </c>
      <c r="F356" s="134">
        <v>13.7</v>
      </c>
      <c r="G356" s="134">
        <v>56.3</v>
      </c>
      <c r="H356" s="135">
        <v>4.11</v>
      </c>
      <c r="I356" s="134">
        <v>33.71</v>
      </c>
      <c r="J356" s="135">
        <v>2.46</v>
      </c>
      <c r="K356" s="135">
        <v>0.56</v>
      </c>
      <c r="L356" s="135">
        <v>0.5</v>
      </c>
      <c r="M356" s="133">
        <v>263.0</v>
      </c>
      <c r="N356" s="133">
        <v>284.0</v>
      </c>
      <c r="O356" s="135">
        <v>2.73</v>
      </c>
      <c r="P356" s="135">
        <v>1.18</v>
      </c>
      <c r="Q356" s="135">
        <v>2.54</v>
      </c>
      <c r="R356" s="136" t="str">
        <f t="shared" si="1"/>
        <v>OptionStrat</v>
      </c>
      <c r="S356" s="132" t="s">
        <v>525</v>
      </c>
      <c r="T356" s="137"/>
      <c r="U356" s="138">
        <v>0.55</v>
      </c>
    </row>
    <row r="357">
      <c r="A357" s="125" t="s">
        <v>28</v>
      </c>
      <c r="B357" s="125" t="s">
        <v>171</v>
      </c>
      <c r="C357" s="126">
        <v>550.0</v>
      </c>
      <c r="D357" s="126">
        <v>600.0</v>
      </c>
      <c r="E357" s="126">
        <v>50.0</v>
      </c>
      <c r="F357" s="127">
        <v>10.88</v>
      </c>
      <c r="G357" s="127">
        <v>39.12</v>
      </c>
      <c r="H357" s="128">
        <v>3.6</v>
      </c>
      <c r="I357" s="127">
        <v>28.07</v>
      </c>
      <c r="J357" s="128">
        <v>2.58</v>
      </c>
      <c r="K357" s="128">
        <v>0.61</v>
      </c>
      <c r="L357" s="128">
        <v>0.58</v>
      </c>
      <c r="M357" s="126">
        <v>78.0</v>
      </c>
      <c r="N357" s="126">
        <v>416.0</v>
      </c>
      <c r="O357" s="128">
        <v>1.8</v>
      </c>
      <c r="P357" s="128">
        <v>0.3</v>
      </c>
      <c r="Q357" s="128">
        <v>2.54</v>
      </c>
      <c r="R357" s="129" t="str">
        <f t="shared" si="1"/>
        <v>OptionStrat</v>
      </c>
      <c r="S357" s="125" t="s">
        <v>526</v>
      </c>
      <c r="T357" s="125" t="s">
        <v>181</v>
      </c>
      <c r="U357" s="131">
        <v>0.55</v>
      </c>
    </row>
    <row r="358">
      <c r="A358" s="132" t="s">
        <v>28</v>
      </c>
      <c r="B358" s="132" t="s">
        <v>171</v>
      </c>
      <c r="C358" s="133">
        <v>660.0</v>
      </c>
      <c r="D358" s="133">
        <v>700.0</v>
      </c>
      <c r="E358" s="133">
        <v>40.0</v>
      </c>
      <c r="F358" s="134">
        <v>6.6</v>
      </c>
      <c r="G358" s="134">
        <v>33.4</v>
      </c>
      <c r="H358" s="135">
        <v>5.06</v>
      </c>
      <c r="I358" s="134">
        <v>20.95</v>
      </c>
      <c r="J358" s="135">
        <v>3.17</v>
      </c>
      <c r="K358" s="135">
        <v>0.54</v>
      </c>
      <c r="L358" s="135">
        <v>0.52</v>
      </c>
      <c r="M358" s="133">
        <v>14.0</v>
      </c>
      <c r="N358" s="133">
        <v>617.0</v>
      </c>
      <c r="O358" s="135">
        <v>0.93</v>
      </c>
      <c r="P358" s="135">
        <v>0.33</v>
      </c>
      <c r="Q358" s="135">
        <v>2.54</v>
      </c>
      <c r="R358" s="136" t="str">
        <f t="shared" si="1"/>
        <v>OptionStrat</v>
      </c>
      <c r="S358" s="132" t="s">
        <v>527</v>
      </c>
      <c r="T358" s="137"/>
      <c r="U358" s="138">
        <v>0.55</v>
      </c>
    </row>
    <row r="359">
      <c r="A359" s="125" t="s">
        <v>28</v>
      </c>
      <c r="B359" s="125" t="s">
        <v>169</v>
      </c>
      <c r="C359" s="126">
        <v>570.0</v>
      </c>
      <c r="D359" s="126">
        <v>610.0</v>
      </c>
      <c r="E359" s="126">
        <v>40.0</v>
      </c>
      <c r="F359" s="127">
        <v>8.42</v>
      </c>
      <c r="G359" s="127">
        <v>31.58</v>
      </c>
      <c r="H359" s="128">
        <v>3.75</v>
      </c>
      <c r="I359" s="127">
        <v>20.33</v>
      </c>
      <c r="J359" s="128">
        <v>2.41</v>
      </c>
      <c r="K359" s="128">
        <v>0.56</v>
      </c>
      <c r="L359" s="128">
        <v>0.53</v>
      </c>
      <c r="M359" s="126">
        <v>254.0</v>
      </c>
      <c r="N359" s="126">
        <v>340.0</v>
      </c>
      <c r="O359" s="128">
        <v>2.94</v>
      </c>
      <c r="P359" s="128">
        <v>1.08</v>
      </c>
      <c r="Q359" s="128">
        <v>2.53</v>
      </c>
      <c r="R359" s="129" t="str">
        <f t="shared" si="1"/>
        <v>OptionStrat</v>
      </c>
      <c r="S359" s="125" t="s">
        <v>528</v>
      </c>
      <c r="T359" s="130"/>
      <c r="U359" s="131">
        <v>0.55</v>
      </c>
    </row>
    <row r="360">
      <c r="A360" s="132" t="s">
        <v>28</v>
      </c>
      <c r="B360" s="132" t="s">
        <v>171</v>
      </c>
      <c r="C360" s="133">
        <v>420.0</v>
      </c>
      <c r="D360" s="133">
        <v>510.0</v>
      </c>
      <c r="E360" s="133">
        <v>90.0</v>
      </c>
      <c r="F360" s="134">
        <v>26.55</v>
      </c>
      <c r="G360" s="134">
        <v>63.45</v>
      </c>
      <c r="H360" s="135">
        <v>2.39</v>
      </c>
      <c r="I360" s="134">
        <v>46.89</v>
      </c>
      <c r="J360" s="135">
        <v>1.77</v>
      </c>
      <c r="K360" s="135">
        <v>0.72</v>
      </c>
      <c r="L360" s="135">
        <v>0.64</v>
      </c>
      <c r="M360" s="133">
        <v>131.0</v>
      </c>
      <c r="N360" s="133">
        <v>45.0</v>
      </c>
      <c r="O360" s="135">
        <v>0.77</v>
      </c>
      <c r="P360" s="135">
        <v>0.27</v>
      </c>
      <c r="Q360" s="135">
        <v>2.53</v>
      </c>
      <c r="R360" s="136" t="str">
        <f t="shared" si="1"/>
        <v>OptionStrat</v>
      </c>
      <c r="S360" s="132" t="s">
        <v>529</v>
      </c>
      <c r="T360" s="137"/>
      <c r="U360" s="138">
        <v>0.55</v>
      </c>
    </row>
    <row r="361">
      <c r="A361" s="125" t="s">
        <v>28</v>
      </c>
      <c r="B361" s="125" t="s">
        <v>171</v>
      </c>
      <c r="C361" s="126">
        <v>430.0</v>
      </c>
      <c r="D361" s="126">
        <v>470.0</v>
      </c>
      <c r="E361" s="126">
        <v>40.0</v>
      </c>
      <c r="F361" s="127">
        <v>12.3</v>
      </c>
      <c r="G361" s="127">
        <v>27.7</v>
      </c>
      <c r="H361" s="128">
        <v>2.25</v>
      </c>
      <c r="I361" s="127">
        <v>20.44</v>
      </c>
      <c r="J361" s="128">
        <v>1.66</v>
      </c>
      <c r="K361" s="128">
        <v>0.71</v>
      </c>
      <c r="L361" s="128">
        <v>0.68</v>
      </c>
      <c r="M361" s="126">
        <v>213.0</v>
      </c>
      <c r="N361" s="126">
        <v>68.0</v>
      </c>
      <c r="O361" s="128">
        <v>1.2</v>
      </c>
      <c r="P361" s="128">
        <v>0.29</v>
      </c>
      <c r="Q361" s="128">
        <v>2.53</v>
      </c>
      <c r="R361" s="129" t="str">
        <f t="shared" si="1"/>
        <v>OptionStrat</v>
      </c>
      <c r="S361" s="125" t="s">
        <v>530</v>
      </c>
      <c r="T361" s="130"/>
      <c r="U361" s="131">
        <v>0.55</v>
      </c>
    </row>
    <row r="362">
      <c r="A362" s="132" t="s">
        <v>28</v>
      </c>
      <c r="B362" s="132" t="s">
        <v>171</v>
      </c>
      <c r="C362" s="133">
        <v>450.0</v>
      </c>
      <c r="D362" s="133">
        <v>560.0</v>
      </c>
      <c r="E362" s="133">
        <v>110.0</v>
      </c>
      <c r="F362" s="134">
        <v>29.73</v>
      </c>
      <c r="G362" s="134">
        <v>80.27</v>
      </c>
      <c r="H362" s="135">
        <v>2.7</v>
      </c>
      <c r="I362" s="134">
        <v>59.52</v>
      </c>
      <c r="J362" s="135">
        <v>2.0</v>
      </c>
      <c r="K362" s="135">
        <v>0.69</v>
      </c>
      <c r="L362" s="135">
        <v>0.61</v>
      </c>
      <c r="M362" s="133">
        <v>759.0</v>
      </c>
      <c r="N362" s="133">
        <v>18.0</v>
      </c>
      <c r="O362" s="135">
        <v>1.17</v>
      </c>
      <c r="P362" s="135">
        <v>0.39</v>
      </c>
      <c r="Q362" s="135">
        <v>2.53</v>
      </c>
      <c r="R362" s="136" t="str">
        <f t="shared" si="1"/>
        <v>OptionStrat</v>
      </c>
      <c r="S362" s="132" t="s">
        <v>531</v>
      </c>
      <c r="T362" s="132" t="s">
        <v>181</v>
      </c>
      <c r="U362" s="138">
        <v>0.55</v>
      </c>
    </row>
    <row r="363">
      <c r="A363" s="125" t="s">
        <v>28</v>
      </c>
      <c r="B363" s="125" t="s">
        <v>169</v>
      </c>
      <c r="C363" s="126">
        <v>540.0</v>
      </c>
      <c r="D363" s="126">
        <v>560.0</v>
      </c>
      <c r="E363" s="126">
        <v>20.0</v>
      </c>
      <c r="F363" s="127">
        <v>4.73</v>
      </c>
      <c r="G363" s="127">
        <v>15.27</v>
      </c>
      <c r="H363" s="128">
        <v>3.23</v>
      </c>
      <c r="I363" s="127">
        <v>10.81</v>
      </c>
      <c r="J363" s="128">
        <v>2.29</v>
      </c>
      <c r="K363" s="128">
        <v>0.59</v>
      </c>
      <c r="L363" s="128">
        <v>0.57</v>
      </c>
      <c r="M363" s="126">
        <v>116.0</v>
      </c>
      <c r="N363" s="126">
        <v>183.0</v>
      </c>
      <c r="O363" s="128">
        <v>1.46</v>
      </c>
      <c r="P363" s="128">
        <v>1.03</v>
      </c>
      <c r="Q363" s="128">
        <v>2.52</v>
      </c>
      <c r="R363" s="129" t="str">
        <f t="shared" si="1"/>
        <v>OptionStrat</v>
      </c>
      <c r="S363" s="125" t="s">
        <v>532</v>
      </c>
      <c r="T363" s="130"/>
      <c r="U363" s="131">
        <v>0.55</v>
      </c>
    </row>
    <row r="364">
      <c r="A364" s="132" t="s">
        <v>28</v>
      </c>
      <c r="B364" s="132" t="s">
        <v>171</v>
      </c>
      <c r="C364" s="133">
        <v>370.0</v>
      </c>
      <c r="D364" s="133">
        <v>450.0</v>
      </c>
      <c r="E364" s="133">
        <v>80.0</v>
      </c>
      <c r="F364" s="134">
        <v>27.15</v>
      </c>
      <c r="G364" s="134">
        <v>52.85</v>
      </c>
      <c r="H364" s="135">
        <v>1.95</v>
      </c>
      <c r="I364" s="134">
        <v>38.81</v>
      </c>
      <c r="J364" s="135">
        <v>1.43</v>
      </c>
      <c r="K364" s="135">
        <v>0.76</v>
      </c>
      <c r="L364" s="135">
        <v>0.69</v>
      </c>
      <c r="M364" s="133">
        <v>74.0</v>
      </c>
      <c r="N364" s="133">
        <v>759.0</v>
      </c>
      <c r="O364" s="135">
        <v>2.37</v>
      </c>
      <c r="P364" s="135">
        <v>0.38</v>
      </c>
      <c r="Q364" s="135">
        <v>2.52</v>
      </c>
      <c r="R364" s="136" t="str">
        <f t="shared" si="1"/>
        <v>OptionStrat</v>
      </c>
      <c r="S364" s="132" t="s">
        <v>533</v>
      </c>
      <c r="T364" s="137"/>
      <c r="U364" s="138">
        <v>0.55</v>
      </c>
    </row>
    <row r="365">
      <c r="A365" s="125" t="s">
        <v>28</v>
      </c>
      <c r="B365" s="125" t="s">
        <v>171</v>
      </c>
      <c r="C365" s="126">
        <v>410.0</v>
      </c>
      <c r="D365" s="126">
        <v>540.0</v>
      </c>
      <c r="E365" s="126">
        <v>130.0</v>
      </c>
      <c r="F365" s="127">
        <v>37.45</v>
      </c>
      <c r="G365" s="127">
        <v>92.55</v>
      </c>
      <c r="H365" s="128">
        <v>2.47</v>
      </c>
      <c r="I365" s="127">
        <v>68.47</v>
      </c>
      <c r="J365" s="128">
        <v>1.83</v>
      </c>
      <c r="K365" s="128">
        <v>0.73</v>
      </c>
      <c r="L365" s="128">
        <v>0.62</v>
      </c>
      <c r="M365" s="126">
        <v>54.0</v>
      </c>
      <c r="N365" s="126">
        <v>58.0</v>
      </c>
      <c r="O365" s="128">
        <v>0.56</v>
      </c>
      <c r="P365" s="128">
        <v>0.27</v>
      </c>
      <c r="Q365" s="128">
        <v>2.52</v>
      </c>
      <c r="R365" s="129" t="str">
        <f t="shared" si="1"/>
        <v>OptionStrat</v>
      </c>
      <c r="S365" s="125" t="s">
        <v>534</v>
      </c>
      <c r="T365" s="130"/>
      <c r="U365" s="131">
        <v>0.56</v>
      </c>
    </row>
    <row r="366">
      <c r="A366" s="132" t="s">
        <v>28</v>
      </c>
      <c r="B366" s="132" t="s">
        <v>171</v>
      </c>
      <c r="C366" s="133">
        <v>580.0</v>
      </c>
      <c r="D366" s="133">
        <v>600.0</v>
      </c>
      <c r="E366" s="133">
        <v>20.0</v>
      </c>
      <c r="F366" s="134">
        <v>4.15</v>
      </c>
      <c r="G366" s="134">
        <v>15.85</v>
      </c>
      <c r="H366" s="135">
        <v>3.82</v>
      </c>
      <c r="I366" s="134">
        <v>11.39</v>
      </c>
      <c r="J366" s="135">
        <v>2.75</v>
      </c>
      <c r="K366" s="135">
        <v>0.59</v>
      </c>
      <c r="L366" s="135">
        <v>0.58</v>
      </c>
      <c r="M366" s="133">
        <v>50.0</v>
      </c>
      <c r="N366" s="133">
        <v>416.0</v>
      </c>
      <c r="O366" s="135">
        <v>1.44</v>
      </c>
      <c r="P366" s="135">
        <v>0.29</v>
      </c>
      <c r="Q366" s="135">
        <v>2.52</v>
      </c>
      <c r="R366" s="136" t="str">
        <f t="shared" si="1"/>
        <v>OptionStrat</v>
      </c>
      <c r="S366" s="132" t="s">
        <v>535</v>
      </c>
      <c r="T366" s="137"/>
      <c r="U366" s="138">
        <v>0.55</v>
      </c>
    </row>
    <row r="367">
      <c r="A367" s="125" t="s">
        <v>28</v>
      </c>
      <c r="B367" s="125" t="s">
        <v>169</v>
      </c>
      <c r="C367" s="126">
        <v>610.0</v>
      </c>
      <c r="D367" s="126">
        <v>660.0</v>
      </c>
      <c r="E367" s="126">
        <v>50.0</v>
      </c>
      <c r="F367" s="127">
        <v>9.18</v>
      </c>
      <c r="G367" s="127">
        <v>40.82</v>
      </c>
      <c r="H367" s="128">
        <v>4.45</v>
      </c>
      <c r="I367" s="127">
        <v>24.13</v>
      </c>
      <c r="J367" s="128">
        <v>2.63</v>
      </c>
      <c r="K367" s="128">
        <v>0.53</v>
      </c>
      <c r="L367" s="128">
        <v>0.5</v>
      </c>
      <c r="M367" s="126">
        <v>340.0</v>
      </c>
      <c r="N367" s="126">
        <v>129.0</v>
      </c>
      <c r="O367" s="128">
        <v>2.09</v>
      </c>
      <c r="P367" s="128">
        <v>1.14</v>
      </c>
      <c r="Q367" s="128">
        <v>2.51</v>
      </c>
      <c r="R367" s="129" t="str">
        <f t="shared" si="1"/>
        <v>OptionStrat</v>
      </c>
      <c r="S367" s="125" t="s">
        <v>536</v>
      </c>
      <c r="T367" s="130"/>
      <c r="U367" s="131">
        <v>0.55</v>
      </c>
    </row>
    <row r="368">
      <c r="A368" s="132" t="s">
        <v>28</v>
      </c>
      <c r="B368" s="132" t="s">
        <v>169</v>
      </c>
      <c r="C368" s="133">
        <v>430.0</v>
      </c>
      <c r="D368" s="133">
        <v>460.0</v>
      </c>
      <c r="E368" s="133">
        <v>30.0</v>
      </c>
      <c r="F368" s="134">
        <v>9.8</v>
      </c>
      <c r="G368" s="134">
        <v>20.2</v>
      </c>
      <c r="H368" s="135">
        <v>2.06</v>
      </c>
      <c r="I368" s="134">
        <v>14.86</v>
      </c>
      <c r="J368" s="135">
        <v>1.52</v>
      </c>
      <c r="K368" s="135">
        <v>0.69</v>
      </c>
      <c r="L368" s="135">
        <v>0.66</v>
      </c>
      <c r="M368" s="133">
        <v>230.0</v>
      </c>
      <c r="N368" s="133">
        <v>419.0</v>
      </c>
      <c r="O368" s="135">
        <v>3.1</v>
      </c>
      <c r="P368" s="135">
        <v>0.45</v>
      </c>
      <c r="Q368" s="135">
        <v>2.5</v>
      </c>
      <c r="R368" s="136" t="str">
        <f t="shared" si="1"/>
        <v>OptionStrat</v>
      </c>
      <c r="S368" s="132" t="s">
        <v>537</v>
      </c>
      <c r="T368" s="137"/>
      <c r="U368" s="138">
        <v>0.55</v>
      </c>
    </row>
    <row r="369">
      <c r="A369" s="125" t="s">
        <v>28</v>
      </c>
      <c r="B369" s="125" t="s">
        <v>169</v>
      </c>
      <c r="C369" s="126">
        <v>440.0</v>
      </c>
      <c r="D369" s="126">
        <v>460.0</v>
      </c>
      <c r="E369" s="126">
        <v>20.0</v>
      </c>
      <c r="F369" s="127">
        <v>6.47</v>
      </c>
      <c r="G369" s="127">
        <v>13.53</v>
      </c>
      <c r="H369" s="128">
        <v>2.09</v>
      </c>
      <c r="I369" s="127">
        <v>9.96</v>
      </c>
      <c r="J369" s="128">
        <v>1.54</v>
      </c>
      <c r="K369" s="128">
        <v>0.68</v>
      </c>
      <c r="L369" s="128">
        <v>0.66</v>
      </c>
      <c r="M369" s="126">
        <v>208.0</v>
      </c>
      <c r="N369" s="126">
        <v>419.0</v>
      </c>
      <c r="O369" s="128">
        <v>2.95</v>
      </c>
      <c r="P369" s="128">
        <v>0.45</v>
      </c>
      <c r="Q369" s="128">
        <v>2.5</v>
      </c>
      <c r="R369" s="129" t="str">
        <f t="shared" si="1"/>
        <v>OptionStrat</v>
      </c>
      <c r="S369" s="125" t="s">
        <v>538</v>
      </c>
      <c r="T369" s="130"/>
      <c r="U369" s="131">
        <v>0.55</v>
      </c>
    </row>
    <row r="370">
      <c r="A370" s="132" t="s">
        <v>28</v>
      </c>
      <c r="B370" s="132" t="s">
        <v>169</v>
      </c>
      <c r="C370" s="133">
        <v>570.0</v>
      </c>
      <c r="D370" s="133">
        <v>650.0</v>
      </c>
      <c r="E370" s="133">
        <v>80.0</v>
      </c>
      <c r="F370" s="134">
        <v>15.85</v>
      </c>
      <c r="G370" s="134">
        <v>64.15</v>
      </c>
      <c r="H370" s="135">
        <v>4.05</v>
      </c>
      <c r="I370" s="134">
        <v>38.37</v>
      </c>
      <c r="J370" s="135">
        <v>2.42</v>
      </c>
      <c r="K370" s="135">
        <v>0.56</v>
      </c>
      <c r="L370" s="135">
        <v>0.5</v>
      </c>
      <c r="M370" s="133">
        <v>254.0</v>
      </c>
      <c r="N370" s="133">
        <v>284.0</v>
      </c>
      <c r="O370" s="135">
        <v>2.69</v>
      </c>
      <c r="P370" s="135">
        <v>1.11</v>
      </c>
      <c r="Q370" s="135">
        <v>2.5</v>
      </c>
      <c r="R370" s="136" t="str">
        <f t="shared" si="1"/>
        <v>OptionStrat</v>
      </c>
      <c r="S370" s="132" t="s">
        <v>539</v>
      </c>
      <c r="T370" s="137"/>
      <c r="U370" s="138">
        <v>0.55</v>
      </c>
    </row>
    <row r="371">
      <c r="A371" s="125" t="s">
        <v>28</v>
      </c>
      <c r="B371" s="125" t="s">
        <v>169</v>
      </c>
      <c r="C371" s="126">
        <v>580.0</v>
      </c>
      <c r="D371" s="126">
        <v>630.0</v>
      </c>
      <c r="E371" s="126">
        <v>50.0</v>
      </c>
      <c r="F371" s="127">
        <v>10.1</v>
      </c>
      <c r="G371" s="127">
        <v>39.9</v>
      </c>
      <c r="H371" s="128">
        <v>3.95</v>
      </c>
      <c r="I371" s="127">
        <v>24.78</v>
      </c>
      <c r="J371" s="128">
        <v>2.45</v>
      </c>
      <c r="K371" s="128">
        <v>0.56</v>
      </c>
      <c r="L371" s="128">
        <v>0.52</v>
      </c>
      <c r="M371" s="126">
        <v>263.0</v>
      </c>
      <c r="N371" s="126">
        <v>247.0</v>
      </c>
      <c r="O371" s="128">
        <v>2.55</v>
      </c>
      <c r="P371" s="128">
        <v>1.18</v>
      </c>
      <c r="Q371" s="128">
        <v>2.5</v>
      </c>
      <c r="R371" s="129" t="str">
        <f t="shared" si="1"/>
        <v>OptionStrat</v>
      </c>
      <c r="S371" s="125" t="s">
        <v>540</v>
      </c>
      <c r="T371" s="130"/>
      <c r="U371" s="131">
        <v>0.55</v>
      </c>
    </row>
    <row r="372">
      <c r="A372" s="132" t="s">
        <v>28</v>
      </c>
      <c r="B372" s="132" t="s">
        <v>169</v>
      </c>
      <c r="C372" s="133">
        <v>580.0</v>
      </c>
      <c r="D372" s="133">
        <v>680.0</v>
      </c>
      <c r="E372" s="133">
        <v>100.0</v>
      </c>
      <c r="F372" s="134">
        <v>18.8</v>
      </c>
      <c r="G372" s="134">
        <v>81.2</v>
      </c>
      <c r="H372" s="135">
        <v>4.32</v>
      </c>
      <c r="I372" s="134">
        <v>46.05</v>
      </c>
      <c r="J372" s="135">
        <v>2.45</v>
      </c>
      <c r="K372" s="135">
        <v>0.56</v>
      </c>
      <c r="L372" s="135">
        <v>0.48</v>
      </c>
      <c r="M372" s="133">
        <v>263.0</v>
      </c>
      <c r="N372" s="133">
        <v>245.0</v>
      </c>
      <c r="O372" s="135">
        <v>2.54</v>
      </c>
      <c r="P372" s="135">
        <v>1.18</v>
      </c>
      <c r="Q372" s="135">
        <v>2.5</v>
      </c>
      <c r="R372" s="136" t="str">
        <f t="shared" si="1"/>
        <v>OptionStrat</v>
      </c>
      <c r="S372" s="132" t="s">
        <v>541</v>
      </c>
      <c r="T372" s="137"/>
      <c r="U372" s="138">
        <v>0.55</v>
      </c>
    </row>
    <row r="373">
      <c r="A373" s="125" t="s">
        <v>28</v>
      </c>
      <c r="B373" s="125" t="s">
        <v>169</v>
      </c>
      <c r="C373" s="126">
        <v>630.0</v>
      </c>
      <c r="D373" s="126">
        <v>660.0</v>
      </c>
      <c r="E373" s="126">
        <v>30.0</v>
      </c>
      <c r="F373" s="127">
        <v>5.35</v>
      </c>
      <c r="G373" s="127">
        <v>24.65</v>
      </c>
      <c r="H373" s="128">
        <v>4.61</v>
      </c>
      <c r="I373" s="127">
        <v>14.61</v>
      </c>
      <c r="J373" s="128">
        <v>2.73</v>
      </c>
      <c r="K373" s="128">
        <v>0.52</v>
      </c>
      <c r="L373" s="128">
        <v>0.5</v>
      </c>
      <c r="M373" s="126">
        <v>247.0</v>
      </c>
      <c r="N373" s="126">
        <v>129.0</v>
      </c>
      <c r="O373" s="128">
        <v>1.79</v>
      </c>
      <c r="P373" s="128">
        <v>1.18</v>
      </c>
      <c r="Q373" s="128">
        <v>2.5</v>
      </c>
      <c r="R373" s="129" t="str">
        <f t="shared" si="1"/>
        <v>OptionStrat</v>
      </c>
      <c r="S373" s="125" t="s">
        <v>542</v>
      </c>
      <c r="T373" s="130"/>
      <c r="U373" s="131">
        <v>0.55</v>
      </c>
    </row>
    <row r="374">
      <c r="A374" s="132" t="s">
        <v>28</v>
      </c>
      <c r="B374" s="132" t="s">
        <v>171</v>
      </c>
      <c r="C374" s="133">
        <v>430.0</v>
      </c>
      <c r="D374" s="133">
        <v>460.0</v>
      </c>
      <c r="E374" s="133">
        <v>30.0</v>
      </c>
      <c r="F374" s="134">
        <v>9.4</v>
      </c>
      <c r="G374" s="134">
        <v>20.6</v>
      </c>
      <c r="H374" s="135">
        <v>2.19</v>
      </c>
      <c r="I374" s="134">
        <v>15.19</v>
      </c>
      <c r="J374" s="135">
        <v>1.62</v>
      </c>
      <c r="K374" s="135">
        <v>0.71</v>
      </c>
      <c r="L374" s="135">
        <v>0.68</v>
      </c>
      <c r="M374" s="133">
        <v>213.0</v>
      </c>
      <c r="N374" s="133">
        <v>90.0</v>
      </c>
      <c r="O374" s="135">
        <v>1.38</v>
      </c>
      <c r="P374" s="135">
        <v>0.28</v>
      </c>
      <c r="Q374" s="135">
        <v>2.5</v>
      </c>
      <c r="R374" s="136" t="str">
        <f t="shared" si="1"/>
        <v>OptionStrat</v>
      </c>
      <c r="S374" s="132" t="s">
        <v>543</v>
      </c>
      <c r="T374" s="137"/>
      <c r="U374" s="138">
        <v>0.55</v>
      </c>
    </row>
    <row r="375">
      <c r="A375" s="125" t="s">
        <v>28</v>
      </c>
      <c r="B375" s="125" t="s">
        <v>171</v>
      </c>
      <c r="C375" s="126">
        <v>500.0</v>
      </c>
      <c r="D375" s="126">
        <v>630.0</v>
      </c>
      <c r="E375" s="126">
        <v>130.0</v>
      </c>
      <c r="F375" s="127">
        <v>28.97</v>
      </c>
      <c r="G375" s="127">
        <v>101.03</v>
      </c>
      <c r="H375" s="128">
        <v>3.49</v>
      </c>
      <c r="I375" s="127">
        <v>68.89</v>
      </c>
      <c r="J375" s="128">
        <v>2.38</v>
      </c>
      <c r="K375" s="128">
        <v>0.65</v>
      </c>
      <c r="L375" s="128">
        <v>0.56</v>
      </c>
      <c r="M375" s="126">
        <v>1214.0</v>
      </c>
      <c r="N375" s="126">
        <v>12.0</v>
      </c>
      <c r="O375" s="128">
        <v>1.21</v>
      </c>
      <c r="P375" s="128">
        <v>0.31</v>
      </c>
      <c r="Q375" s="128">
        <v>2.5</v>
      </c>
      <c r="R375" s="129" t="str">
        <f t="shared" si="1"/>
        <v>OptionStrat</v>
      </c>
      <c r="S375" s="125" t="s">
        <v>544</v>
      </c>
      <c r="T375" s="130"/>
      <c r="U375" s="131">
        <v>0.55</v>
      </c>
    </row>
    <row r="376">
      <c r="A376" s="132" t="s">
        <v>28</v>
      </c>
      <c r="B376" s="132" t="s">
        <v>171</v>
      </c>
      <c r="C376" s="133">
        <v>520.0</v>
      </c>
      <c r="D376" s="133">
        <v>650.0</v>
      </c>
      <c r="E376" s="133">
        <v>130.0</v>
      </c>
      <c r="F376" s="134">
        <v>27.5</v>
      </c>
      <c r="G376" s="134">
        <v>102.5</v>
      </c>
      <c r="H376" s="135">
        <v>3.73</v>
      </c>
      <c r="I376" s="134">
        <v>67.83</v>
      </c>
      <c r="J376" s="135">
        <v>2.47</v>
      </c>
      <c r="K376" s="135">
        <v>0.64</v>
      </c>
      <c r="L376" s="135">
        <v>0.54</v>
      </c>
      <c r="M376" s="133">
        <v>82.0</v>
      </c>
      <c r="N376" s="133">
        <v>220.0</v>
      </c>
      <c r="O376" s="135">
        <v>1.34</v>
      </c>
      <c r="P376" s="135">
        <v>0.29</v>
      </c>
      <c r="Q376" s="135">
        <v>2.5</v>
      </c>
      <c r="R376" s="136" t="str">
        <f t="shared" si="1"/>
        <v>OptionStrat</v>
      </c>
      <c r="S376" s="132" t="s">
        <v>545</v>
      </c>
      <c r="T376" s="137"/>
      <c r="U376" s="138">
        <v>0.55</v>
      </c>
    </row>
    <row r="377">
      <c r="A377" s="125" t="s">
        <v>28</v>
      </c>
      <c r="B377" s="125" t="s">
        <v>169</v>
      </c>
      <c r="C377" s="126">
        <v>420.0</v>
      </c>
      <c r="D377" s="126">
        <v>460.0</v>
      </c>
      <c r="E377" s="126">
        <v>40.0</v>
      </c>
      <c r="F377" s="127">
        <v>13.3</v>
      </c>
      <c r="G377" s="127">
        <v>26.7</v>
      </c>
      <c r="H377" s="128">
        <v>2.01</v>
      </c>
      <c r="I377" s="127">
        <v>19.63</v>
      </c>
      <c r="J377" s="128">
        <v>1.48</v>
      </c>
      <c r="K377" s="128">
        <v>0.7</v>
      </c>
      <c r="L377" s="128">
        <v>0.66</v>
      </c>
      <c r="M377" s="126">
        <v>290.0</v>
      </c>
      <c r="N377" s="126">
        <v>419.0</v>
      </c>
      <c r="O377" s="128">
        <v>3.49</v>
      </c>
      <c r="P377" s="128">
        <v>0.45</v>
      </c>
      <c r="Q377" s="128">
        <v>2.49</v>
      </c>
      <c r="R377" s="129" t="str">
        <f t="shared" si="1"/>
        <v>OptionStrat</v>
      </c>
      <c r="S377" s="125" t="s">
        <v>546</v>
      </c>
      <c r="T377" s="130"/>
      <c r="U377" s="131">
        <v>0.55</v>
      </c>
    </row>
    <row r="378">
      <c r="A378" s="132" t="s">
        <v>28</v>
      </c>
      <c r="B378" s="132" t="s">
        <v>169</v>
      </c>
      <c r="C378" s="133">
        <v>490.0</v>
      </c>
      <c r="D378" s="133">
        <v>640.0</v>
      </c>
      <c r="E378" s="133">
        <v>150.0</v>
      </c>
      <c r="F378" s="134">
        <v>33.92</v>
      </c>
      <c r="G378" s="134">
        <v>116.08</v>
      </c>
      <c r="H378" s="135">
        <v>3.42</v>
      </c>
      <c r="I378" s="134">
        <v>69.86</v>
      </c>
      <c r="J378" s="135">
        <v>2.06</v>
      </c>
      <c r="K378" s="135">
        <v>0.63</v>
      </c>
      <c r="L378" s="135">
        <v>0.51</v>
      </c>
      <c r="M378" s="133">
        <v>494.0</v>
      </c>
      <c r="N378" s="133">
        <v>222.0</v>
      </c>
      <c r="O378" s="135">
        <v>3.31</v>
      </c>
      <c r="P378" s="135">
        <v>0.7</v>
      </c>
      <c r="Q378" s="135">
        <v>2.49</v>
      </c>
      <c r="R378" s="136" t="str">
        <f t="shared" si="1"/>
        <v>OptionStrat</v>
      </c>
      <c r="S378" s="132" t="s">
        <v>547</v>
      </c>
      <c r="T378" s="137"/>
      <c r="U378" s="138">
        <v>0.55</v>
      </c>
    </row>
    <row r="379">
      <c r="A379" s="125" t="s">
        <v>28</v>
      </c>
      <c r="B379" s="125" t="s">
        <v>169</v>
      </c>
      <c r="C379" s="126">
        <v>580.0</v>
      </c>
      <c r="D379" s="126">
        <v>640.0</v>
      </c>
      <c r="E379" s="126">
        <v>60.0</v>
      </c>
      <c r="F379" s="127">
        <v>11.9</v>
      </c>
      <c r="G379" s="127">
        <v>48.1</v>
      </c>
      <c r="H379" s="128">
        <v>4.04</v>
      </c>
      <c r="I379" s="127">
        <v>29.34</v>
      </c>
      <c r="J379" s="128">
        <v>2.47</v>
      </c>
      <c r="K379" s="128">
        <v>0.56</v>
      </c>
      <c r="L379" s="128">
        <v>0.51</v>
      </c>
      <c r="M379" s="126">
        <v>263.0</v>
      </c>
      <c r="N379" s="126">
        <v>222.0</v>
      </c>
      <c r="O379" s="128">
        <v>2.42</v>
      </c>
      <c r="P379" s="128">
        <v>1.18</v>
      </c>
      <c r="Q379" s="128">
        <v>2.49</v>
      </c>
      <c r="R379" s="129" t="str">
        <f t="shared" si="1"/>
        <v>OptionStrat</v>
      </c>
      <c r="S379" s="125" t="s">
        <v>548</v>
      </c>
      <c r="T379" s="130"/>
      <c r="U379" s="131">
        <v>0.55</v>
      </c>
    </row>
    <row r="380">
      <c r="A380" s="132" t="s">
        <v>28</v>
      </c>
      <c r="B380" s="132" t="s">
        <v>169</v>
      </c>
      <c r="C380" s="133">
        <v>580.0</v>
      </c>
      <c r="D380" s="133">
        <v>670.0</v>
      </c>
      <c r="E380" s="133">
        <v>90.0</v>
      </c>
      <c r="F380" s="134">
        <v>17.12</v>
      </c>
      <c r="G380" s="134">
        <v>72.88</v>
      </c>
      <c r="H380" s="135">
        <v>4.26</v>
      </c>
      <c r="I380" s="134">
        <v>42.09</v>
      </c>
      <c r="J380" s="135">
        <v>2.46</v>
      </c>
      <c r="K380" s="135">
        <v>0.56</v>
      </c>
      <c r="L380" s="135">
        <v>0.49</v>
      </c>
      <c r="M380" s="133">
        <v>263.0</v>
      </c>
      <c r="N380" s="133">
        <v>228.0</v>
      </c>
      <c r="O380" s="135">
        <v>2.45</v>
      </c>
      <c r="P380" s="135">
        <v>1.21</v>
      </c>
      <c r="Q380" s="135">
        <v>2.49</v>
      </c>
      <c r="R380" s="136" t="str">
        <f t="shared" si="1"/>
        <v>OptionStrat</v>
      </c>
      <c r="S380" s="132" t="s">
        <v>549</v>
      </c>
      <c r="T380" s="137"/>
      <c r="U380" s="138">
        <v>0.55</v>
      </c>
    </row>
    <row r="381">
      <c r="A381" s="125" t="s">
        <v>28</v>
      </c>
      <c r="B381" s="125" t="s">
        <v>169</v>
      </c>
      <c r="C381" s="126">
        <v>370.0</v>
      </c>
      <c r="D381" s="126">
        <v>490.0</v>
      </c>
      <c r="E381" s="126">
        <v>120.0</v>
      </c>
      <c r="F381" s="127">
        <v>41.38</v>
      </c>
      <c r="G381" s="127">
        <v>78.62</v>
      </c>
      <c r="H381" s="128">
        <v>1.9</v>
      </c>
      <c r="I381" s="127">
        <v>57.69</v>
      </c>
      <c r="J381" s="128">
        <v>1.39</v>
      </c>
      <c r="K381" s="128">
        <v>0.75</v>
      </c>
      <c r="L381" s="128">
        <v>0.63</v>
      </c>
      <c r="M381" s="126">
        <v>326.0</v>
      </c>
      <c r="N381" s="126">
        <v>494.0</v>
      </c>
      <c r="O381" s="128">
        <v>4.01</v>
      </c>
      <c r="P381" s="128">
        <v>0.45</v>
      </c>
      <c r="Q381" s="128">
        <v>2.48</v>
      </c>
      <c r="R381" s="129" t="str">
        <f t="shared" si="1"/>
        <v>OptionStrat</v>
      </c>
      <c r="S381" s="125" t="s">
        <v>550</v>
      </c>
      <c r="T381" s="130"/>
      <c r="U381" s="131">
        <v>0.55</v>
      </c>
    </row>
    <row r="382">
      <c r="A382" s="132" t="s">
        <v>28</v>
      </c>
      <c r="B382" s="132" t="s">
        <v>169</v>
      </c>
      <c r="C382" s="133">
        <v>510.0</v>
      </c>
      <c r="D382" s="133">
        <v>630.0</v>
      </c>
      <c r="E382" s="133">
        <v>120.0</v>
      </c>
      <c r="F382" s="134">
        <v>26.62</v>
      </c>
      <c r="G382" s="134">
        <v>93.38</v>
      </c>
      <c r="H382" s="135">
        <v>3.51</v>
      </c>
      <c r="I382" s="134">
        <v>57.48</v>
      </c>
      <c r="J382" s="135">
        <v>2.16</v>
      </c>
      <c r="K382" s="135">
        <v>0.62</v>
      </c>
      <c r="L382" s="135">
        <v>0.52</v>
      </c>
      <c r="M382" s="133">
        <v>359.0</v>
      </c>
      <c r="N382" s="133">
        <v>247.0</v>
      </c>
      <c r="O382" s="135">
        <v>2.98</v>
      </c>
      <c r="P382" s="135">
        <v>0.66</v>
      </c>
      <c r="Q382" s="135">
        <v>2.48</v>
      </c>
      <c r="R382" s="136" t="str">
        <f t="shared" si="1"/>
        <v>OptionStrat</v>
      </c>
      <c r="S382" s="132" t="s">
        <v>551</v>
      </c>
      <c r="T382" s="137"/>
      <c r="U382" s="138">
        <v>0.55</v>
      </c>
    </row>
    <row r="383">
      <c r="A383" s="125" t="s">
        <v>28</v>
      </c>
      <c r="B383" s="125" t="s">
        <v>169</v>
      </c>
      <c r="C383" s="126">
        <v>560.0</v>
      </c>
      <c r="D383" s="126">
        <v>620.0</v>
      </c>
      <c r="E383" s="126">
        <v>60.0</v>
      </c>
      <c r="F383" s="127">
        <v>12.62</v>
      </c>
      <c r="G383" s="127">
        <v>47.38</v>
      </c>
      <c r="H383" s="128">
        <v>3.75</v>
      </c>
      <c r="I383" s="127">
        <v>29.9</v>
      </c>
      <c r="J383" s="128">
        <v>2.37</v>
      </c>
      <c r="K383" s="128">
        <v>0.57</v>
      </c>
      <c r="L383" s="128">
        <v>0.53</v>
      </c>
      <c r="M383" s="126">
        <v>183.0</v>
      </c>
      <c r="N383" s="126">
        <v>426.0</v>
      </c>
      <c r="O383" s="128">
        <v>2.79</v>
      </c>
      <c r="P383" s="128">
        <v>1.08</v>
      </c>
      <c r="Q383" s="128">
        <v>2.48</v>
      </c>
      <c r="R383" s="129" t="str">
        <f t="shared" si="1"/>
        <v>OptionStrat</v>
      </c>
      <c r="S383" s="125" t="s">
        <v>552</v>
      </c>
      <c r="T383" s="130"/>
      <c r="U383" s="131">
        <v>0.55</v>
      </c>
    </row>
    <row r="384">
      <c r="A384" s="132" t="s">
        <v>28</v>
      </c>
      <c r="B384" s="132" t="s">
        <v>171</v>
      </c>
      <c r="C384" s="133">
        <v>460.0</v>
      </c>
      <c r="D384" s="133">
        <v>570.0</v>
      </c>
      <c r="E384" s="133">
        <v>110.0</v>
      </c>
      <c r="F384" s="134">
        <v>28.2</v>
      </c>
      <c r="G384" s="134">
        <v>81.8</v>
      </c>
      <c r="H384" s="135">
        <v>2.9</v>
      </c>
      <c r="I384" s="134">
        <v>60.76</v>
      </c>
      <c r="J384" s="135">
        <v>2.15</v>
      </c>
      <c r="K384" s="135">
        <v>0.68</v>
      </c>
      <c r="L384" s="135">
        <v>0.6</v>
      </c>
      <c r="M384" s="133">
        <v>90.0</v>
      </c>
      <c r="N384" s="133">
        <v>110.0</v>
      </c>
      <c r="O384" s="135">
        <v>0.99</v>
      </c>
      <c r="P384" s="135">
        <v>0.27</v>
      </c>
      <c r="Q384" s="135">
        <v>2.48</v>
      </c>
      <c r="R384" s="136" t="str">
        <f t="shared" si="1"/>
        <v>OptionStrat</v>
      </c>
      <c r="S384" s="132" t="s">
        <v>553</v>
      </c>
      <c r="T384" s="137"/>
      <c r="U384" s="138">
        <v>0.55</v>
      </c>
    </row>
    <row r="385">
      <c r="A385" s="125" t="s">
        <v>28</v>
      </c>
      <c r="B385" s="125" t="s">
        <v>171</v>
      </c>
      <c r="C385" s="126">
        <v>500.0</v>
      </c>
      <c r="D385" s="126">
        <v>620.0</v>
      </c>
      <c r="E385" s="126">
        <v>120.0</v>
      </c>
      <c r="F385" s="127">
        <v>27.1</v>
      </c>
      <c r="G385" s="127">
        <v>92.9</v>
      </c>
      <c r="H385" s="128">
        <v>3.43</v>
      </c>
      <c r="I385" s="127">
        <v>64.37</v>
      </c>
      <c r="J385" s="128">
        <v>2.38</v>
      </c>
      <c r="K385" s="128">
        <v>0.65</v>
      </c>
      <c r="L385" s="128">
        <v>0.56</v>
      </c>
      <c r="M385" s="126">
        <v>1214.0</v>
      </c>
      <c r="N385" s="126">
        <v>10.0</v>
      </c>
      <c r="O385" s="128">
        <v>1.1</v>
      </c>
      <c r="P385" s="128">
        <v>0.3</v>
      </c>
      <c r="Q385" s="128">
        <v>2.48</v>
      </c>
      <c r="R385" s="129" t="str">
        <f t="shared" si="1"/>
        <v>OptionStrat</v>
      </c>
      <c r="S385" s="125" t="s">
        <v>554</v>
      </c>
      <c r="T385" s="130"/>
      <c r="U385" s="131">
        <v>0.55</v>
      </c>
    </row>
    <row r="386">
      <c r="A386" s="132" t="s">
        <v>28</v>
      </c>
      <c r="B386" s="132" t="s">
        <v>171</v>
      </c>
      <c r="C386" s="133">
        <v>530.0</v>
      </c>
      <c r="D386" s="133">
        <v>650.0</v>
      </c>
      <c r="E386" s="133">
        <v>120.0</v>
      </c>
      <c r="F386" s="134">
        <v>24.7</v>
      </c>
      <c r="G386" s="134">
        <v>95.3</v>
      </c>
      <c r="H386" s="135">
        <v>3.86</v>
      </c>
      <c r="I386" s="134">
        <v>63.17</v>
      </c>
      <c r="J386" s="135">
        <v>2.56</v>
      </c>
      <c r="K386" s="135">
        <v>0.63</v>
      </c>
      <c r="L386" s="135">
        <v>0.54</v>
      </c>
      <c r="M386" s="133">
        <v>60.0</v>
      </c>
      <c r="N386" s="133">
        <v>220.0</v>
      </c>
      <c r="O386" s="135">
        <v>1.15</v>
      </c>
      <c r="P386" s="135">
        <v>0.34</v>
      </c>
      <c r="Q386" s="135">
        <v>2.48</v>
      </c>
      <c r="R386" s="136" t="str">
        <f t="shared" si="1"/>
        <v>OptionStrat</v>
      </c>
      <c r="S386" s="132" t="s">
        <v>555</v>
      </c>
      <c r="T386" s="137"/>
      <c r="U386" s="138">
        <v>0.55</v>
      </c>
    </row>
    <row r="387">
      <c r="A387" s="125" t="s">
        <v>28</v>
      </c>
      <c r="B387" s="125" t="s">
        <v>171</v>
      </c>
      <c r="C387" s="126">
        <v>640.0</v>
      </c>
      <c r="D387" s="126">
        <v>680.0</v>
      </c>
      <c r="E387" s="126">
        <v>40.0</v>
      </c>
      <c r="F387" s="127">
        <v>6.93</v>
      </c>
      <c r="G387" s="127">
        <v>33.07</v>
      </c>
      <c r="H387" s="128">
        <v>4.77</v>
      </c>
      <c r="I387" s="127">
        <v>21.14</v>
      </c>
      <c r="J387" s="128">
        <v>3.05</v>
      </c>
      <c r="K387" s="128">
        <v>0.55</v>
      </c>
      <c r="L387" s="128">
        <v>0.53</v>
      </c>
      <c r="M387" s="126">
        <v>112.0</v>
      </c>
      <c r="N387" s="126">
        <v>77.0</v>
      </c>
      <c r="O387" s="128">
        <v>0.93</v>
      </c>
      <c r="P387" s="128">
        <v>0.33</v>
      </c>
      <c r="Q387" s="128">
        <v>2.48</v>
      </c>
      <c r="R387" s="129" t="str">
        <f t="shared" si="1"/>
        <v>OptionStrat</v>
      </c>
      <c r="S387" s="125" t="s">
        <v>556</v>
      </c>
      <c r="T387" s="130"/>
      <c r="U387" s="131">
        <v>0.55</v>
      </c>
    </row>
    <row r="388">
      <c r="A388" s="132" t="s">
        <v>28</v>
      </c>
      <c r="B388" s="132" t="s">
        <v>169</v>
      </c>
      <c r="C388" s="133">
        <v>410.0</v>
      </c>
      <c r="D388" s="133">
        <v>480.0</v>
      </c>
      <c r="E388" s="133">
        <v>70.0</v>
      </c>
      <c r="F388" s="134">
        <v>22.97</v>
      </c>
      <c r="G388" s="134">
        <v>47.03</v>
      </c>
      <c r="H388" s="135">
        <v>2.05</v>
      </c>
      <c r="I388" s="134">
        <v>34.59</v>
      </c>
      <c r="J388" s="135">
        <v>1.51</v>
      </c>
      <c r="K388" s="135">
        <v>0.71</v>
      </c>
      <c r="L388" s="135">
        <v>0.64</v>
      </c>
      <c r="M388" s="133">
        <v>194.0</v>
      </c>
      <c r="N388" s="133">
        <v>403.0</v>
      </c>
      <c r="O388" s="135">
        <v>2.8</v>
      </c>
      <c r="P388" s="135">
        <v>0.45</v>
      </c>
      <c r="Q388" s="135">
        <v>2.47</v>
      </c>
      <c r="R388" s="136" t="str">
        <f t="shared" si="1"/>
        <v>OptionStrat</v>
      </c>
      <c r="S388" s="132" t="s">
        <v>557</v>
      </c>
      <c r="T388" s="137"/>
      <c r="U388" s="138">
        <v>0.55</v>
      </c>
    </row>
    <row r="389">
      <c r="A389" s="125" t="s">
        <v>28</v>
      </c>
      <c r="B389" s="125" t="s">
        <v>169</v>
      </c>
      <c r="C389" s="126">
        <v>510.0</v>
      </c>
      <c r="D389" s="126">
        <v>650.0</v>
      </c>
      <c r="E389" s="126">
        <v>140.0</v>
      </c>
      <c r="F389" s="127">
        <v>30.22</v>
      </c>
      <c r="G389" s="127">
        <v>109.78</v>
      </c>
      <c r="H389" s="128">
        <v>3.63</v>
      </c>
      <c r="I389" s="127">
        <v>65.06</v>
      </c>
      <c r="J389" s="128">
        <v>2.15</v>
      </c>
      <c r="K389" s="128">
        <v>0.62</v>
      </c>
      <c r="L389" s="128">
        <v>0.5</v>
      </c>
      <c r="M389" s="126">
        <v>359.0</v>
      </c>
      <c r="N389" s="126">
        <v>284.0</v>
      </c>
      <c r="O389" s="128">
        <v>3.19</v>
      </c>
      <c r="P389" s="128">
        <v>0.66</v>
      </c>
      <c r="Q389" s="128">
        <v>2.47</v>
      </c>
      <c r="R389" s="129" t="str">
        <f t="shared" si="1"/>
        <v>OptionStrat</v>
      </c>
      <c r="S389" s="125" t="s">
        <v>558</v>
      </c>
      <c r="T389" s="130"/>
      <c r="U389" s="131">
        <v>0.55</v>
      </c>
    </row>
    <row r="390">
      <c r="A390" s="132" t="s">
        <v>28</v>
      </c>
      <c r="B390" s="132" t="s">
        <v>169</v>
      </c>
      <c r="C390" s="133">
        <v>640.0</v>
      </c>
      <c r="D390" s="133">
        <v>660.0</v>
      </c>
      <c r="E390" s="133">
        <v>20.0</v>
      </c>
      <c r="F390" s="134">
        <v>3.55</v>
      </c>
      <c r="G390" s="134">
        <v>16.45</v>
      </c>
      <c r="H390" s="135">
        <v>4.63</v>
      </c>
      <c r="I390" s="134">
        <v>9.75</v>
      </c>
      <c r="J390" s="135">
        <v>2.75</v>
      </c>
      <c r="K390" s="135">
        <v>0.51</v>
      </c>
      <c r="L390" s="135">
        <v>0.5</v>
      </c>
      <c r="M390" s="133">
        <v>222.0</v>
      </c>
      <c r="N390" s="133">
        <v>129.0</v>
      </c>
      <c r="O390" s="135">
        <v>1.69</v>
      </c>
      <c r="P390" s="135">
        <v>1.18</v>
      </c>
      <c r="Q390" s="135">
        <v>2.47</v>
      </c>
      <c r="R390" s="136" t="str">
        <f t="shared" si="1"/>
        <v>OptionStrat</v>
      </c>
      <c r="S390" s="132" t="s">
        <v>559</v>
      </c>
      <c r="T390" s="137"/>
      <c r="U390" s="138">
        <v>0.55</v>
      </c>
    </row>
    <row r="391">
      <c r="A391" s="125" t="s">
        <v>28</v>
      </c>
      <c r="B391" s="125" t="s">
        <v>169</v>
      </c>
      <c r="C391" s="126">
        <v>480.0</v>
      </c>
      <c r="D391" s="126">
        <v>630.0</v>
      </c>
      <c r="E391" s="126">
        <v>150.0</v>
      </c>
      <c r="F391" s="127">
        <v>34.98</v>
      </c>
      <c r="G391" s="127">
        <v>115.02</v>
      </c>
      <c r="H391" s="128">
        <v>3.29</v>
      </c>
      <c r="I391" s="127">
        <v>70.44</v>
      </c>
      <c r="J391" s="128">
        <v>2.01</v>
      </c>
      <c r="K391" s="128">
        <v>0.64</v>
      </c>
      <c r="L391" s="128">
        <v>0.52</v>
      </c>
      <c r="M391" s="126">
        <v>403.0</v>
      </c>
      <c r="N391" s="126">
        <v>247.0</v>
      </c>
      <c r="O391" s="128">
        <v>3.16</v>
      </c>
      <c r="P391" s="128">
        <v>0.68</v>
      </c>
      <c r="Q391" s="128">
        <v>2.46</v>
      </c>
      <c r="R391" s="129" t="str">
        <f t="shared" si="1"/>
        <v>OptionStrat</v>
      </c>
      <c r="S391" s="125" t="s">
        <v>560</v>
      </c>
      <c r="T391" s="130"/>
      <c r="U391" s="131">
        <v>0.55</v>
      </c>
    </row>
    <row r="392">
      <c r="A392" s="132" t="s">
        <v>28</v>
      </c>
      <c r="B392" s="132" t="s">
        <v>169</v>
      </c>
      <c r="C392" s="133">
        <v>530.0</v>
      </c>
      <c r="D392" s="133">
        <v>620.0</v>
      </c>
      <c r="E392" s="133">
        <v>90.0</v>
      </c>
      <c r="F392" s="134">
        <v>19.6</v>
      </c>
      <c r="G392" s="134">
        <v>70.4</v>
      </c>
      <c r="H392" s="135">
        <v>3.59</v>
      </c>
      <c r="I392" s="134">
        <v>44.31</v>
      </c>
      <c r="J392" s="135">
        <v>2.26</v>
      </c>
      <c r="K392" s="135">
        <v>0.6</v>
      </c>
      <c r="L392" s="135">
        <v>0.53</v>
      </c>
      <c r="M392" s="133">
        <v>171.0</v>
      </c>
      <c r="N392" s="133">
        <v>426.0</v>
      </c>
      <c r="O392" s="135">
        <v>2.7</v>
      </c>
      <c r="P392" s="135">
        <v>0.69</v>
      </c>
      <c r="Q392" s="135">
        <v>2.46</v>
      </c>
      <c r="R392" s="136" t="str">
        <f t="shared" si="1"/>
        <v>OptionStrat</v>
      </c>
      <c r="S392" s="132" t="s">
        <v>561</v>
      </c>
      <c r="T392" s="137"/>
      <c r="U392" s="138">
        <v>0.55</v>
      </c>
    </row>
    <row r="393">
      <c r="A393" s="125" t="s">
        <v>28</v>
      </c>
      <c r="B393" s="125" t="s">
        <v>169</v>
      </c>
      <c r="C393" s="126">
        <v>540.0</v>
      </c>
      <c r="D393" s="126">
        <v>570.0</v>
      </c>
      <c r="E393" s="126">
        <v>30.0</v>
      </c>
      <c r="F393" s="127">
        <v>6.98</v>
      </c>
      <c r="G393" s="127">
        <v>23.02</v>
      </c>
      <c r="H393" s="128">
        <v>3.3</v>
      </c>
      <c r="I393" s="127">
        <v>15.98</v>
      </c>
      <c r="J393" s="128">
        <v>2.29</v>
      </c>
      <c r="K393" s="128">
        <v>0.59</v>
      </c>
      <c r="L393" s="128">
        <v>0.56</v>
      </c>
      <c r="M393" s="126">
        <v>116.0</v>
      </c>
      <c r="N393" s="126">
        <v>254.0</v>
      </c>
      <c r="O393" s="128">
        <v>1.72</v>
      </c>
      <c r="P393" s="128">
        <v>1.03</v>
      </c>
      <c r="Q393" s="128">
        <v>2.46</v>
      </c>
      <c r="R393" s="129" t="str">
        <f t="shared" si="1"/>
        <v>OptionStrat</v>
      </c>
      <c r="S393" s="125" t="s">
        <v>562</v>
      </c>
      <c r="T393" s="130"/>
      <c r="U393" s="131">
        <v>0.55</v>
      </c>
    </row>
    <row r="394">
      <c r="A394" s="132" t="s">
        <v>28</v>
      </c>
      <c r="B394" s="132" t="s">
        <v>169</v>
      </c>
      <c r="C394" s="133">
        <v>570.0</v>
      </c>
      <c r="D394" s="133">
        <v>630.0</v>
      </c>
      <c r="E394" s="133">
        <v>60.0</v>
      </c>
      <c r="F394" s="134">
        <v>12.25</v>
      </c>
      <c r="G394" s="134">
        <v>47.75</v>
      </c>
      <c r="H394" s="135">
        <v>3.9</v>
      </c>
      <c r="I394" s="134">
        <v>29.63</v>
      </c>
      <c r="J394" s="135">
        <v>2.42</v>
      </c>
      <c r="K394" s="135">
        <v>0.56</v>
      </c>
      <c r="L394" s="135">
        <v>0.52</v>
      </c>
      <c r="M394" s="133">
        <v>254.0</v>
      </c>
      <c r="N394" s="133">
        <v>247.0</v>
      </c>
      <c r="O394" s="135">
        <v>2.5</v>
      </c>
      <c r="P394" s="135">
        <v>1.11</v>
      </c>
      <c r="Q394" s="135">
        <v>2.46</v>
      </c>
      <c r="R394" s="136" t="str">
        <f t="shared" si="1"/>
        <v>OptionStrat</v>
      </c>
      <c r="S394" s="132" t="s">
        <v>563</v>
      </c>
      <c r="T394" s="137"/>
      <c r="U394" s="138">
        <v>0.55</v>
      </c>
    </row>
    <row r="395">
      <c r="A395" s="125" t="s">
        <v>28</v>
      </c>
      <c r="B395" s="125" t="s">
        <v>171</v>
      </c>
      <c r="C395" s="126">
        <v>410.0</v>
      </c>
      <c r="D395" s="126">
        <v>520.0</v>
      </c>
      <c r="E395" s="126">
        <v>110.0</v>
      </c>
      <c r="F395" s="127">
        <v>32.58</v>
      </c>
      <c r="G395" s="127">
        <v>77.42</v>
      </c>
      <c r="H395" s="128">
        <v>2.38</v>
      </c>
      <c r="I395" s="127">
        <v>57.21</v>
      </c>
      <c r="J395" s="128">
        <v>1.76</v>
      </c>
      <c r="K395" s="128">
        <v>0.73</v>
      </c>
      <c r="L395" s="128">
        <v>0.64</v>
      </c>
      <c r="M395" s="126">
        <v>54.0</v>
      </c>
      <c r="N395" s="126">
        <v>82.0</v>
      </c>
      <c r="O395" s="128">
        <v>0.67</v>
      </c>
      <c r="P395" s="128">
        <v>0.27</v>
      </c>
      <c r="Q395" s="128">
        <v>2.46</v>
      </c>
      <c r="R395" s="129" t="str">
        <f t="shared" si="1"/>
        <v>OptionStrat</v>
      </c>
      <c r="S395" s="125" t="s">
        <v>564</v>
      </c>
      <c r="T395" s="130"/>
      <c r="U395" s="131">
        <v>0.56</v>
      </c>
    </row>
    <row r="396">
      <c r="A396" s="132" t="s">
        <v>28</v>
      </c>
      <c r="B396" s="132" t="s">
        <v>171</v>
      </c>
      <c r="C396" s="133">
        <v>410.0</v>
      </c>
      <c r="D396" s="133">
        <v>530.0</v>
      </c>
      <c r="E396" s="133">
        <v>120.0</v>
      </c>
      <c r="F396" s="134">
        <v>35.38</v>
      </c>
      <c r="G396" s="134">
        <v>84.62</v>
      </c>
      <c r="H396" s="135">
        <v>2.39</v>
      </c>
      <c r="I396" s="134">
        <v>62.55</v>
      </c>
      <c r="J396" s="135">
        <v>1.77</v>
      </c>
      <c r="K396" s="135">
        <v>0.73</v>
      </c>
      <c r="L396" s="135">
        <v>0.63</v>
      </c>
      <c r="M396" s="133">
        <v>54.0</v>
      </c>
      <c r="N396" s="133">
        <v>60.0</v>
      </c>
      <c r="O396" s="135">
        <v>0.57</v>
      </c>
      <c r="P396" s="135">
        <v>0.31</v>
      </c>
      <c r="Q396" s="135">
        <v>2.46</v>
      </c>
      <c r="R396" s="136" t="str">
        <f t="shared" si="1"/>
        <v>OptionStrat</v>
      </c>
      <c r="S396" s="132" t="s">
        <v>565</v>
      </c>
      <c r="T396" s="137"/>
      <c r="U396" s="138">
        <v>0.56</v>
      </c>
    </row>
    <row r="397">
      <c r="A397" s="125" t="s">
        <v>28</v>
      </c>
      <c r="B397" s="125" t="s">
        <v>169</v>
      </c>
      <c r="C397" s="126">
        <v>570.0</v>
      </c>
      <c r="D397" s="126">
        <v>670.0</v>
      </c>
      <c r="E397" s="126">
        <v>100.0</v>
      </c>
      <c r="F397" s="127">
        <v>19.27</v>
      </c>
      <c r="G397" s="127">
        <v>80.73</v>
      </c>
      <c r="H397" s="128">
        <v>4.19</v>
      </c>
      <c r="I397" s="127">
        <v>46.56</v>
      </c>
      <c r="J397" s="128">
        <v>2.42</v>
      </c>
      <c r="K397" s="128">
        <v>0.56</v>
      </c>
      <c r="L397" s="128">
        <v>0.49</v>
      </c>
      <c r="M397" s="126">
        <v>254.0</v>
      </c>
      <c r="N397" s="126">
        <v>228.0</v>
      </c>
      <c r="O397" s="128">
        <v>2.41</v>
      </c>
      <c r="P397" s="128">
        <v>1.14</v>
      </c>
      <c r="Q397" s="128">
        <v>2.45</v>
      </c>
      <c r="R397" s="129" t="str">
        <f t="shared" si="1"/>
        <v>OptionStrat</v>
      </c>
      <c r="S397" s="125" t="s">
        <v>566</v>
      </c>
      <c r="T397" s="130"/>
      <c r="U397" s="131">
        <v>0.55</v>
      </c>
    </row>
    <row r="398">
      <c r="A398" s="132" t="s">
        <v>28</v>
      </c>
      <c r="B398" s="132" t="s">
        <v>169</v>
      </c>
      <c r="C398" s="133">
        <v>570.0</v>
      </c>
      <c r="D398" s="133">
        <v>680.0</v>
      </c>
      <c r="E398" s="133">
        <v>110.0</v>
      </c>
      <c r="F398" s="134">
        <v>20.95</v>
      </c>
      <c r="G398" s="134">
        <v>89.05</v>
      </c>
      <c r="H398" s="135">
        <v>4.25</v>
      </c>
      <c r="I398" s="134">
        <v>50.43</v>
      </c>
      <c r="J398" s="135">
        <v>2.41</v>
      </c>
      <c r="K398" s="135">
        <v>0.56</v>
      </c>
      <c r="L398" s="135">
        <v>0.48</v>
      </c>
      <c r="M398" s="133">
        <v>254.0</v>
      </c>
      <c r="N398" s="133">
        <v>245.0</v>
      </c>
      <c r="O398" s="135">
        <v>2.49</v>
      </c>
      <c r="P398" s="135">
        <v>1.11</v>
      </c>
      <c r="Q398" s="135">
        <v>2.45</v>
      </c>
      <c r="R398" s="136" t="str">
        <f t="shared" si="1"/>
        <v>OptionStrat</v>
      </c>
      <c r="S398" s="132" t="s">
        <v>567</v>
      </c>
      <c r="T398" s="137"/>
      <c r="U398" s="138">
        <v>0.55</v>
      </c>
    </row>
    <row r="399">
      <c r="A399" s="125" t="s">
        <v>28</v>
      </c>
      <c r="B399" s="125" t="s">
        <v>171</v>
      </c>
      <c r="C399" s="126">
        <v>400.0</v>
      </c>
      <c r="D399" s="126">
        <v>470.0</v>
      </c>
      <c r="E399" s="126">
        <v>70.0</v>
      </c>
      <c r="F399" s="127">
        <v>23.0</v>
      </c>
      <c r="G399" s="127">
        <v>47.0</v>
      </c>
      <c r="H399" s="128">
        <v>2.04</v>
      </c>
      <c r="I399" s="127">
        <v>34.57</v>
      </c>
      <c r="J399" s="128">
        <v>1.5</v>
      </c>
      <c r="K399" s="128">
        <v>0.74</v>
      </c>
      <c r="L399" s="128">
        <v>0.68</v>
      </c>
      <c r="M399" s="126">
        <v>369.0</v>
      </c>
      <c r="N399" s="126">
        <v>68.0</v>
      </c>
      <c r="O399" s="128">
        <v>1.58</v>
      </c>
      <c r="P399" s="128">
        <v>0.32</v>
      </c>
      <c r="Q399" s="128">
        <v>2.45</v>
      </c>
      <c r="R399" s="129" t="str">
        <f t="shared" si="1"/>
        <v>OptionStrat</v>
      </c>
      <c r="S399" s="125" t="s">
        <v>568</v>
      </c>
      <c r="T399" s="130"/>
      <c r="U399" s="131">
        <v>0.55</v>
      </c>
    </row>
    <row r="400">
      <c r="A400" s="132" t="s">
        <v>28</v>
      </c>
      <c r="B400" s="132" t="s">
        <v>169</v>
      </c>
      <c r="C400" s="133">
        <v>530.0</v>
      </c>
      <c r="D400" s="133">
        <v>610.0</v>
      </c>
      <c r="E400" s="133">
        <v>80.0</v>
      </c>
      <c r="F400" s="134">
        <v>17.65</v>
      </c>
      <c r="G400" s="134">
        <v>62.35</v>
      </c>
      <c r="H400" s="135">
        <v>3.53</v>
      </c>
      <c r="I400" s="134">
        <v>40.0</v>
      </c>
      <c r="J400" s="135">
        <v>2.27</v>
      </c>
      <c r="K400" s="135">
        <v>0.6</v>
      </c>
      <c r="L400" s="135">
        <v>0.53</v>
      </c>
      <c r="M400" s="133">
        <v>171.0</v>
      </c>
      <c r="N400" s="133">
        <v>340.0</v>
      </c>
      <c r="O400" s="135">
        <v>2.41</v>
      </c>
      <c r="P400" s="135">
        <v>0.69</v>
      </c>
      <c r="Q400" s="135">
        <v>2.44</v>
      </c>
      <c r="R400" s="136" t="str">
        <f t="shared" si="1"/>
        <v>OptionStrat</v>
      </c>
      <c r="S400" s="132" t="s">
        <v>569</v>
      </c>
      <c r="T400" s="137"/>
      <c r="U400" s="138">
        <v>0.55</v>
      </c>
    </row>
    <row r="401">
      <c r="A401" s="125" t="s">
        <v>28</v>
      </c>
      <c r="B401" s="125" t="s">
        <v>169</v>
      </c>
      <c r="C401" s="126">
        <v>560.0</v>
      </c>
      <c r="D401" s="126">
        <v>690.0</v>
      </c>
      <c r="E401" s="126">
        <v>130.0</v>
      </c>
      <c r="F401" s="127">
        <v>24.77</v>
      </c>
      <c r="G401" s="127">
        <v>105.23</v>
      </c>
      <c r="H401" s="128">
        <v>4.25</v>
      </c>
      <c r="I401" s="127">
        <v>58.45</v>
      </c>
      <c r="J401" s="128">
        <v>2.36</v>
      </c>
      <c r="K401" s="128">
        <v>0.57</v>
      </c>
      <c r="L401" s="128">
        <v>0.48</v>
      </c>
      <c r="M401" s="126">
        <v>183.0</v>
      </c>
      <c r="N401" s="126">
        <v>370.0</v>
      </c>
      <c r="O401" s="128">
        <v>2.6</v>
      </c>
      <c r="P401" s="128">
        <v>1.14</v>
      </c>
      <c r="Q401" s="128">
        <v>2.44</v>
      </c>
      <c r="R401" s="129" t="str">
        <f t="shared" si="1"/>
        <v>OptionStrat</v>
      </c>
      <c r="S401" s="125" t="s">
        <v>570</v>
      </c>
      <c r="T401" s="130"/>
      <c r="U401" s="131">
        <v>0.55</v>
      </c>
    </row>
    <row r="402">
      <c r="A402" s="132" t="s">
        <v>28</v>
      </c>
      <c r="B402" s="132" t="s">
        <v>169</v>
      </c>
      <c r="C402" s="133">
        <v>570.0</v>
      </c>
      <c r="D402" s="133">
        <v>640.0</v>
      </c>
      <c r="E402" s="133">
        <v>70.0</v>
      </c>
      <c r="F402" s="134">
        <v>14.05</v>
      </c>
      <c r="G402" s="134">
        <v>55.95</v>
      </c>
      <c r="H402" s="135">
        <v>3.98</v>
      </c>
      <c r="I402" s="134">
        <v>34.09</v>
      </c>
      <c r="J402" s="135">
        <v>2.43</v>
      </c>
      <c r="K402" s="135">
        <v>0.56</v>
      </c>
      <c r="L402" s="135">
        <v>0.51</v>
      </c>
      <c r="M402" s="133">
        <v>254.0</v>
      </c>
      <c r="N402" s="133">
        <v>222.0</v>
      </c>
      <c r="O402" s="135">
        <v>2.37</v>
      </c>
      <c r="P402" s="135">
        <v>1.11</v>
      </c>
      <c r="Q402" s="135">
        <v>2.44</v>
      </c>
      <c r="R402" s="136" t="str">
        <f t="shared" si="1"/>
        <v>OptionStrat</v>
      </c>
      <c r="S402" s="132" t="s">
        <v>571</v>
      </c>
      <c r="T402" s="137"/>
      <c r="U402" s="138">
        <v>0.55</v>
      </c>
    </row>
    <row r="403">
      <c r="A403" s="125" t="s">
        <v>28</v>
      </c>
      <c r="B403" s="125" t="s">
        <v>171</v>
      </c>
      <c r="C403" s="126">
        <v>350.0</v>
      </c>
      <c r="D403" s="126">
        <v>450.0</v>
      </c>
      <c r="E403" s="126">
        <v>100.0</v>
      </c>
      <c r="F403" s="127">
        <v>35.15</v>
      </c>
      <c r="G403" s="127">
        <v>64.85</v>
      </c>
      <c r="H403" s="128">
        <v>1.84</v>
      </c>
      <c r="I403" s="127">
        <v>47.53</v>
      </c>
      <c r="J403" s="128">
        <v>1.35</v>
      </c>
      <c r="K403" s="128">
        <v>0.78</v>
      </c>
      <c r="L403" s="128">
        <v>0.69</v>
      </c>
      <c r="M403" s="126">
        <v>96.0</v>
      </c>
      <c r="N403" s="126">
        <v>759.0</v>
      </c>
      <c r="O403" s="128">
        <v>2.7</v>
      </c>
      <c r="P403" s="128">
        <v>0.37</v>
      </c>
      <c r="Q403" s="128">
        <v>2.44</v>
      </c>
      <c r="R403" s="129" t="str">
        <f t="shared" si="1"/>
        <v>OptionStrat</v>
      </c>
      <c r="S403" s="125" t="s">
        <v>572</v>
      </c>
      <c r="T403" s="130"/>
      <c r="U403" s="131">
        <v>0.56</v>
      </c>
    </row>
    <row r="404">
      <c r="A404" s="132" t="s">
        <v>28</v>
      </c>
      <c r="B404" s="132" t="s">
        <v>171</v>
      </c>
      <c r="C404" s="133">
        <v>470.0</v>
      </c>
      <c r="D404" s="133">
        <v>570.0</v>
      </c>
      <c r="E404" s="133">
        <v>100.0</v>
      </c>
      <c r="F404" s="134">
        <v>25.3</v>
      </c>
      <c r="G404" s="134">
        <v>74.7</v>
      </c>
      <c r="H404" s="135">
        <v>2.95</v>
      </c>
      <c r="I404" s="134">
        <v>55.51</v>
      </c>
      <c r="J404" s="135">
        <v>2.19</v>
      </c>
      <c r="K404" s="135">
        <v>0.68</v>
      </c>
      <c r="L404" s="135">
        <v>0.6</v>
      </c>
      <c r="M404" s="133">
        <v>68.0</v>
      </c>
      <c r="N404" s="133">
        <v>110.0</v>
      </c>
      <c r="O404" s="135">
        <v>0.86</v>
      </c>
      <c r="P404" s="135">
        <v>0.28</v>
      </c>
      <c r="Q404" s="135">
        <v>2.44</v>
      </c>
      <c r="R404" s="136" t="str">
        <f t="shared" si="1"/>
        <v>OptionStrat</v>
      </c>
      <c r="S404" s="132" t="s">
        <v>573</v>
      </c>
      <c r="T404" s="137"/>
      <c r="U404" s="138">
        <v>0.55</v>
      </c>
    </row>
    <row r="405">
      <c r="A405" s="125" t="s">
        <v>28</v>
      </c>
      <c r="B405" s="125" t="s">
        <v>171</v>
      </c>
      <c r="C405" s="126">
        <v>510.0</v>
      </c>
      <c r="D405" s="126">
        <v>570.0</v>
      </c>
      <c r="E405" s="126">
        <v>60.0</v>
      </c>
      <c r="F405" s="127">
        <v>14.3</v>
      </c>
      <c r="G405" s="127">
        <v>45.7</v>
      </c>
      <c r="H405" s="128">
        <v>3.2</v>
      </c>
      <c r="I405" s="127">
        <v>34.02</v>
      </c>
      <c r="J405" s="128">
        <v>2.38</v>
      </c>
      <c r="K405" s="128">
        <v>0.64</v>
      </c>
      <c r="L405" s="128">
        <v>0.6</v>
      </c>
      <c r="M405" s="126">
        <v>45.0</v>
      </c>
      <c r="N405" s="126">
        <v>110.0</v>
      </c>
      <c r="O405" s="128">
        <v>0.7</v>
      </c>
      <c r="P405" s="128">
        <v>0.27</v>
      </c>
      <c r="Q405" s="128">
        <v>2.44</v>
      </c>
      <c r="R405" s="129" t="str">
        <f t="shared" si="1"/>
        <v>OptionStrat</v>
      </c>
      <c r="S405" s="125" t="s">
        <v>574</v>
      </c>
      <c r="T405" s="130"/>
      <c r="U405" s="131">
        <v>0.55</v>
      </c>
    </row>
    <row r="406">
      <c r="A406" s="132" t="s">
        <v>28</v>
      </c>
      <c r="B406" s="132" t="s">
        <v>169</v>
      </c>
      <c r="C406" s="133">
        <v>410.0</v>
      </c>
      <c r="D406" s="133">
        <v>450.0</v>
      </c>
      <c r="E406" s="133">
        <v>40.0</v>
      </c>
      <c r="F406" s="134">
        <v>13.75</v>
      </c>
      <c r="G406" s="134">
        <v>26.25</v>
      </c>
      <c r="H406" s="135">
        <v>1.91</v>
      </c>
      <c r="I406" s="134">
        <v>19.26</v>
      </c>
      <c r="J406" s="135">
        <v>1.4</v>
      </c>
      <c r="K406" s="135">
        <v>0.71</v>
      </c>
      <c r="L406" s="135">
        <v>0.67</v>
      </c>
      <c r="M406" s="133">
        <v>194.0</v>
      </c>
      <c r="N406" s="133">
        <v>943.0</v>
      </c>
      <c r="O406" s="135">
        <v>4.28</v>
      </c>
      <c r="P406" s="135">
        <v>0.44</v>
      </c>
      <c r="Q406" s="135">
        <v>2.43</v>
      </c>
      <c r="R406" s="136" t="str">
        <f t="shared" si="1"/>
        <v>OptionStrat</v>
      </c>
      <c r="S406" s="132" t="s">
        <v>575</v>
      </c>
      <c r="T406" s="137"/>
      <c r="U406" s="138">
        <v>0.55</v>
      </c>
    </row>
    <row r="407">
      <c r="A407" s="125" t="s">
        <v>28</v>
      </c>
      <c r="B407" s="125" t="s">
        <v>169</v>
      </c>
      <c r="C407" s="126">
        <v>510.0</v>
      </c>
      <c r="D407" s="126">
        <v>640.0</v>
      </c>
      <c r="E407" s="126">
        <v>130.0</v>
      </c>
      <c r="F407" s="127">
        <v>28.42</v>
      </c>
      <c r="G407" s="127">
        <v>101.58</v>
      </c>
      <c r="H407" s="128">
        <v>3.57</v>
      </c>
      <c r="I407" s="127">
        <v>61.36</v>
      </c>
      <c r="J407" s="128">
        <v>2.16</v>
      </c>
      <c r="K407" s="128">
        <v>0.62</v>
      </c>
      <c r="L407" s="128">
        <v>0.51</v>
      </c>
      <c r="M407" s="126">
        <v>359.0</v>
      </c>
      <c r="N407" s="126">
        <v>222.0</v>
      </c>
      <c r="O407" s="128">
        <v>2.82</v>
      </c>
      <c r="P407" s="128">
        <v>0.66</v>
      </c>
      <c r="Q407" s="128">
        <v>2.43</v>
      </c>
      <c r="R407" s="129" t="str">
        <f t="shared" si="1"/>
        <v>OptionStrat</v>
      </c>
      <c r="S407" s="125" t="s">
        <v>576</v>
      </c>
      <c r="T407" s="130"/>
      <c r="U407" s="131">
        <v>0.55</v>
      </c>
    </row>
    <row r="408">
      <c r="A408" s="132" t="s">
        <v>28</v>
      </c>
      <c r="B408" s="132" t="s">
        <v>169</v>
      </c>
      <c r="C408" s="133">
        <v>520.0</v>
      </c>
      <c r="D408" s="133">
        <v>630.0</v>
      </c>
      <c r="E408" s="133">
        <v>110.0</v>
      </c>
      <c r="F408" s="134">
        <v>24.0</v>
      </c>
      <c r="G408" s="134">
        <v>86.0</v>
      </c>
      <c r="H408" s="135">
        <v>3.58</v>
      </c>
      <c r="I408" s="134">
        <v>53.03</v>
      </c>
      <c r="J408" s="135">
        <v>2.21</v>
      </c>
      <c r="K408" s="135">
        <v>0.61</v>
      </c>
      <c r="L408" s="135">
        <v>0.52</v>
      </c>
      <c r="M408" s="133">
        <v>281.0</v>
      </c>
      <c r="N408" s="133">
        <v>247.0</v>
      </c>
      <c r="O408" s="135">
        <v>2.63</v>
      </c>
      <c r="P408" s="135">
        <v>0.67</v>
      </c>
      <c r="Q408" s="135">
        <v>2.43</v>
      </c>
      <c r="R408" s="136" t="str">
        <f t="shared" si="1"/>
        <v>OptionStrat</v>
      </c>
      <c r="S408" s="132" t="s">
        <v>577</v>
      </c>
      <c r="T408" s="137"/>
      <c r="U408" s="138">
        <v>0.55</v>
      </c>
    </row>
    <row r="409">
      <c r="A409" s="125" t="s">
        <v>28</v>
      </c>
      <c r="B409" s="125" t="s">
        <v>169</v>
      </c>
      <c r="C409" s="126">
        <v>540.0</v>
      </c>
      <c r="D409" s="126">
        <v>580.0</v>
      </c>
      <c r="E409" s="126">
        <v>40.0</v>
      </c>
      <c r="F409" s="127">
        <v>9.13</v>
      </c>
      <c r="G409" s="127">
        <v>30.87</v>
      </c>
      <c r="H409" s="128">
        <v>3.38</v>
      </c>
      <c r="I409" s="127">
        <v>21.02</v>
      </c>
      <c r="J409" s="128">
        <v>2.3</v>
      </c>
      <c r="K409" s="128">
        <v>0.59</v>
      </c>
      <c r="L409" s="128">
        <v>0.56</v>
      </c>
      <c r="M409" s="126">
        <v>116.0</v>
      </c>
      <c r="N409" s="126">
        <v>263.0</v>
      </c>
      <c r="O409" s="128">
        <v>1.75</v>
      </c>
      <c r="P409" s="128">
        <v>1.08</v>
      </c>
      <c r="Q409" s="128">
        <v>2.43</v>
      </c>
      <c r="R409" s="129" t="str">
        <f t="shared" si="1"/>
        <v>OptionStrat</v>
      </c>
      <c r="S409" s="125" t="s">
        <v>578</v>
      </c>
      <c r="T409" s="130"/>
      <c r="U409" s="131">
        <v>0.55</v>
      </c>
    </row>
    <row r="410">
      <c r="A410" s="132" t="s">
        <v>28</v>
      </c>
      <c r="B410" s="132" t="s">
        <v>171</v>
      </c>
      <c r="C410" s="133">
        <v>380.0</v>
      </c>
      <c r="D410" s="133">
        <v>520.0</v>
      </c>
      <c r="E410" s="133">
        <v>140.0</v>
      </c>
      <c r="F410" s="134">
        <v>43.47</v>
      </c>
      <c r="G410" s="134">
        <v>96.53</v>
      </c>
      <c r="H410" s="135">
        <v>2.22</v>
      </c>
      <c r="I410" s="134">
        <v>71.19</v>
      </c>
      <c r="J410" s="135">
        <v>1.64</v>
      </c>
      <c r="K410" s="135">
        <v>0.75</v>
      </c>
      <c r="L410" s="135">
        <v>0.64</v>
      </c>
      <c r="M410" s="133">
        <v>97.0</v>
      </c>
      <c r="N410" s="133">
        <v>82.0</v>
      </c>
      <c r="O410" s="135">
        <v>0.89</v>
      </c>
      <c r="P410" s="135">
        <v>0.27</v>
      </c>
      <c r="Q410" s="135">
        <v>2.43</v>
      </c>
      <c r="R410" s="136" t="str">
        <f t="shared" si="1"/>
        <v>OptionStrat</v>
      </c>
      <c r="S410" s="132" t="s">
        <v>579</v>
      </c>
      <c r="T410" s="137"/>
      <c r="U410" s="138">
        <v>0.55</v>
      </c>
    </row>
    <row r="411">
      <c r="A411" s="125" t="s">
        <v>28</v>
      </c>
      <c r="B411" s="125" t="s">
        <v>171</v>
      </c>
      <c r="C411" s="126">
        <v>380.0</v>
      </c>
      <c r="D411" s="126">
        <v>530.0</v>
      </c>
      <c r="E411" s="126">
        <v>150.0</v>
      </c>
      <c r="F411" s="127">
        <v>46.27</v>
      </c>
      <c r="G411" s="127">
        <v>103.73</v>
      </c>
      <c r="H411" s="128">
        <v>2.24</v>
      </c>
      <c r="I411" s="127">
        <v>76.52</v>
      </c>
      <c r="J411" s="128">
        <v>1.65</v>
      </c>
      <c r="K411" s="128">
        <v>0.75</v>
      </c>
      <c r="L411" s="128">
        <v>0.63</v>
      </c>
      <c r="M411" s="126">
        <v>97.0</v>
      </c>
      <c r="N411" s="126">
        <v>60.0</v>
      </c>
      <c r="O411" s="128">
        <v>0.76</v>
      </c>
      <c r="P411" s="128">
        <v>0.31</v>
      </c>
      <c r="Q411" s="128">
        <v>2.43</v>
      </c>
      <c r="R411" s="129" t="str">
        <f t="shared" si="1"/>
        <v>OptionStrat</v>
      </c>
      <c r="S411" s="125" t="s">
        <v>580</v>
      </c>
      <c r="T411" s="130"/>
      <c r="U411" s="131">
        <v>0.55</v>
      </c>
    </row>
    <row r="412">
      <c r="A412" s="132" t="s">
        <v>28</v>
      </c>
      <c r="B412" s="132" t="s">
        <v>171</v>
      </c>
      <c r="C412" s="133">
        <v>480.0</v>
      </c>
      <c r="D412" s="133">
        <v>580.0</v>
      </c>
      <c r="E412" s="133">
        <v>100.0</v>
      </c>
      <c r="F412" s="134">
        <v>24.55</v>
      </c>
      <c r="G412" s="134">
        <v>75.45</v>
      </c>
      <c r="H412" s="135">
        <v>3.07</v>
      </c>
      <c r="I412" s="134">
        <v>55.77</v>
      </c>
      <c r="J412" s="135">
        <v>2.27</v>
      </c>
      <c r="K412" s="135">
        <v>0.67</v>
      </c>
      <c r="L412" s="135">
        <v>0.59</v>
      </c>
      <c r="M412" s="133">
        <v>139.0</v>
      </c>
      <c r="N412" s="133">
        <v>50.0</v>
      </c>
      <c r="O412" s="135">
        <v>0.83</v>
      </c>
      <c r="P412" s="135">
        <v>0.27</v>
      </c>
      <c r="Q412" s="135">
        <v>2.43</v>
      </c>
      <c r="R412" s="136" t="str">
        <f t="shared" si="1"/>
        <v>OptionStrat</v>
      </c>
      <c r="S412" s="132" t="s">
        <v>581</v>
      </c>
      <c r="T412" s="137"/>
      <c r="U412" s="138">
        <v>0.55</v>
      </c>
    </row>
    <row r="413">
      <c r="A413" s="125" t="s">
        <v>28</v>
      </c>
      <c r="B413" s="125" t="s">
        <v>171</v>
      </c>
      <c r="C413" s="126">
        <v>630.0</v>
      </c>
      <c r="D413" s="126">
        <v>700.0</v>
      </c>
      <c r="E413" s="126">
        <v>70.0</v>
      </c>
      <c r="F413" s="127">
        <v>12.03</v>
      </c>
      <c r="G413" s="127">
        <v>57.97</v>
      </c>
      <c r="H413" s="128">
        <v>4.82</v>
      </c>
      <c r="I413" s="127">
        <v>36.27</v>
      </c>
      <c r="J413" s="128">
        <v>3.01</v>
      </c>
      <c r="K413" s="128">
        <v>0.56</v>
      </c>
      <c r="L413" s="128">
        <v>0.52</v>
      </c>
      <c r="M413" s="126">
        <v>12.0</v>
      </c>
      <c r="N413" s="126">
        <v>617.0</v>
      </c>
      <c r="O413" s="128">
        <v>0.86</v>
      </c>
      <c r="P413" s="128">
        <v>0.33</v>
      </c>
      <c r="Q413" s="128">
        <v>2.43</v>
      </c>
      <c r="R413" s="129" t="str">
        <f t="shared" si="1"/>
        <v>OptionStrat</v>
      </c>
      <c r="S413" s="125" t="s">
        <v>582</v>
      </c>
      <c r="T413" s="130"/>
      <c r="U413" s="131">
        <v>0.55</v>
      </c>
    </row>
    <row r="414">
      <c r="A414" s="132" t="s">
        <v>28</v>
      </c>
      <c r="B414" s="132" t="s">
        <v>169</v>
      </c>
      <c r="C414" s="133">
        <v>520.0</v>
      </c>
      <c r="D414" s="133">
        <v>650.0</v>
      </c>
      <c r="E414" s="133">
        <v>130.0</v>
      </c>
      <c r="F414" s="134">
        <v>27.6</v>
      </c>
      <c r="G414" s="134">
        <v>102.4</v>
      </c>
      <c r="H414" s="135">
        <v>3.71</v>
      </c>
      <c r="I414" s="134">
        <v>60.8</v>
      </c>
      <c r="J414" s="135">
        <v>2.2</v>
      </c>
      <c r="K414" s="135">
        <v>0.61</v>
      </c>
      <c r="L414" s="135">
        <v>0.5</v>
      </c>
      <c r="M414" s="133">
        <v>281.0</v>
      </c>
      <c r="N414" s="133">
        <v>284.0</v>
      </c>
      <c r="O414" s="135">
        <v>2.82</v>
      </c>
      <c r="P414" s="135">
        <v>0.67</v>
      </c>
      <c r="Q414" s="135">
        <v>2.42</v>
      </c>
      <c r="R414" s="136" t="str">
        <f t="shared" si="1"/>
        <v>OptionStrat</v>
      </c>
      <c r="S414" s="132" t="s">
        <v>583</v>
      </c>
      <c r="T414" s="137"/>
      <c r="U414" s="138">
        <v>0.55</v>
      </c>
    </row>
    <row r="415">
      <c r="A415" s="125" t="s">
        <v>28</v>
      </c>
      <c r="B415" s="125" t="s">
        <v>169</v>
      </c>
      <c r="C415" s="126">
        <v>560.0</v>
      </c>
      <c r="D415" s="126">
        <v>580.0</v>
      </c>
      <c r="E415" s="126">
        <v>20.0</v>
      </c>
      <c r="F415" s="127">
        <v>4.4</v>
      </c>
      <c r="G415" s="127">
        <v>15.6</v>
      </c>
      <c r="H415" s="128">
        <v>3.55</v>
      </c>
      <c r="I415" s="127">
        <v>10.64</v>
      </c>
      <c r="J415" s="128">
        <v>2.42</v>
      </c>
      <c r="K415" s="128">
        <v>0.57</v>
      </c>
      <c r="L415" s="128">
        <v>0.56</v>
      </c>
      <c r="M415" s="126">
        <v>183.0</v>
      </c>
      <c r="N415" s="126">
        <v>263.0</v>
      </c>
      <c r="O415" s="128">
        <v>2.19</v>
      </c>
      <c r="P415" s="128">
        <v>1.11</v>
      </c>
      <c r="Q415" s="128">
        <v>2.42</v>
      </c>
      <c r="R415" s="129" t="str">
        <f t="shared" si="1"/>
        <v>OptionStrat</v>
      </c>
      <c r="S415" s="125" t="s">
        <v>584</v>
      </c>
      <c r="T415" s="130"/>
      <c r="U415" s="131">
        <v>0.55</v>
      </c>
    </row>
    <row r="416">
      <c r="A416" s="132" t="s">
        <v>28</v>
      </c>
      <c r="B416" s="132" t="s">
        <v>169</v>
      </c>
      <c r="C416" s="133">
        <v>560.0</v>
      </c>
      <c r="D416" s="133">
        <v>610.0</v>
      </c>
      <c r="E416" s="133">
        <v>50.0</v>
      </c>
      <c r="F416" s="134">
        <v>10.67</v>
      </c>
      <c r="G416" s="134">
        <v>39.33</v>
      </c>
      <c r="H416" s="135">
        <v>3.69</v>
      </c>
      <c r="I416" s="134">
        <v>25.3</v>
      </c>
      <c r="J416" s="135">
        <v>2.37</v>
      </c>
      <c r="K416" s="135">
        <v>0.57</v>
      </c>
      <c r="L416" s="135">
        <v>0.53</v>
      </c>
      <c r="M416" s="133">
        <v>183.0</v>
      </c>
      <c r="N416" s="133">
        <v>340.0</v>
      </c>
      <c r="O416" s="135">
        <v>2.49</v>
      </c>
      <c r="P416" s="135">
        <v>1.08</v>
      </c>
      <c r="Q416" s="135">
        <v>2.42</v>
      </c>
      <c r="R416" s="136" t="str">
        <f t="shared" si="1"/>
        <v>OptionStrat</v>
      </c>
      <c r="S416" s="132" t="s">
        <v>585</v>
      </c>
      <c r="T416" s="137"/>
      <c r="U416" s="138">
        <v>0.55</v>
      </c>
    </row>
    <row r="417">
      <c r="A417" s="125" t="s">
        <v>28</v>
      </c>
      <c r="B417" s="125" t="s">
        <v>171</v>
      </c>
      <c r="C417" s="126">
        <v>400.0</v>
      </c>
      <c r="D417" s="126">
        <v>460.0</v>
      </c>
      <c r="E417" s="126">
        <v>60.0</v>
      </c>
      <c r="F417" s="127">
        <v>20.1</v>
      </c>
      <c r="G417" s="127">
        <v>39.9</v>
      </c>
      <c r="H417" s="128">
        <v>1.99</v>
      </c>
      <c r="I417" s="127">
        <v>29.32</v>
      </c>
      <c r="J417" s="128">
        <v>1.46</v>
      </c>
      <c r="K417" s="128">
        <v>0.74</v>
      </c>
      <c r="L417" s="128">
        <v>0.68</v>
      </c>
      <c r="M417" s="126">
        <v>369.0</v>
      </c>
      <c r="N417" s="126">
        <v>90.0</v>
      </c>
      <c r="O417" s="128">
        <v>1.82</v>
      </c>
      <c r="P417" s="128">
        <v>0.32</v>
      </c>
      <c r="Q417" s="128">
        <v>2.42</v>
      </c>
      <c r="R417" s="129" t="str">
        <f t="shared" si="1"/>
        <v>OptionStrat</v>
      </c>
      <c r="S417" s="125" t="s">
        <v>586</v>
      </c>
      <c r="T417" s="130"/>
      <c r="U417" s="131">
        <v>0.55</v>
      </c>
    </row>
    <row r="418">
      <c r="A418" s="132" t="s">
        <v>28</v>
      </c>
      <c r="B418" s="132" t="s">
        <v>171</v>
      </c>
      <c r="C418" s="133">
        <v>570.0</v>
      </c>
      <c r="D418" s="133">
        <v>590.0</v>
      </c>
      <c r="E418" s="133">
        <v>20.0</v>
      </c>
      <c r="F418" s="134">
        <v>3.65</v>
      </c>
      <c r="G418" s="134">
        <v>16.35</v>
      </c>
      <c r="H418" s="135">
        <v>4.48</v>
      </c>
      <c r="I418" s="134">
        <v>12.01</v>
      </c>
      <c r="J418" s="135">
        <v>3.29</v>
      </c>
      <c r="K418" s="135">
        <v>0.6</v>
      </c>
      <c r="L418" s="135">
        <v>0.59</v>
      </c>
      <c r="M418" s="133">
        <v>110.0</v>
      </c>
      <c r="N418" s="133">
        <v>15.0</v>
      </c>
      <c r="O418" s="135">
        <v>0.41</v>
      </c>
      <c r="P418" s="135">
        <v>0.36</v>
      </c>
      <c r="Q418" s="135">
        <v>2.42</v>
      </c>
      <c r="R418" s="136" t="str">
        <f t="shared" si="1"/>
        <v>OptionStrat</v>
      </c>
      <c r="S418" s="132" t="s">
        <v>587</v>
      </c>
      <c r="T418" s="137"/>
      <c r="U418" s="138">
        <v>0.55</v>
      </c>
    </row>
    <row r="419">
      <c r="A419" s="125" t="s">
        <v>28</v>
      </c>
      <c r="B419" s="125" t="s">
        <v>171</v>
      </c>
      <c r="C419" s="126">
        <v>550.0</v>
      </c>
      <c r="D419" s="126">
        <v>650.0</v>
      </c>
      <c r="E419" s="126">
        <v>100.0</v>
      </c>
      <c r="F419" s="127">
        <v>20.33</v>
      </c>
      <c r="G419" s="127">
        <v>79.67</v>
      </c>
      <c r="H419" s="128">
        <v>3.92</v>
      </c>
      <c r="I419" s="127">
        <v>52.86</v>
      </c>
      <c r="J419" s="128">
        <v>2.6</v>
      </c>
      <c r="K419" s="128">
        <v>0.61</v>
      </c>
      <c r="L419" s="128">
        <v>0.54</v>
      </c>
      <c r="M419" s="126">
        <v>78.0</v>
      </c>
      <c r="N419" s="126">
        <v>220.0</v>
      </c>
      <c r="O419" s="128">
        <v>1.31</v>
      </c>
      <c r="P419" s="128">
        <v>0.31</v>
      </c>
      <c r="Q419" s="128">
        <v>2.41</v>
      </c>
      <c r="R419" s="129" t="str">
        <f t="shared" si="1"/>
        <v>OptionStrat</v>
      </c>
      <c r="S419" s="125" t="s">
        <v>588</v>
      </c>
      <c r="T419" s="125" t="s">
        <v>181</v>
      </c>
      <c r="U419" s="131">
        <v>0.55</v>
      </c>
    </row>
    <row r="420">
      <c r="A420" s="132" t="s">
        <v>28</v>
      </c>
      <c r="B420" s="132" t="s">
        <v>169</v>
      </c>
      <c r="C420" s="133">
        <v>400.0</v>
      </c>
      <c r="D420" s="133">
        <v>440.0</v>
      </c>
      <c r="E420" s="133">
        <v>40.0</v>
      </c>
      <c r="F420" s="134">
        <v>14.13</v>
      </c>
      <c r="G420" s="134">
        <v>25.87</v>
      </c>
      <c r="H420" s="135">
        <v>1.83</v>
      </c>
      <c r="I420" s="134">
        <v>18.96</v>
      </c>
      <c r="J420" s="135">
        <v>1.34</v>
      </c>
      <c r="K420" s="135">
        <v>0.72</v>
      </c>
      <c r="L420" s="135">
        <v>0.68</v>
      </c>
      <c r="M420" s="133">
        <v>1326.0</v>
      </c>
      <c r="N420" s="133">
        <v>208.0</v>
      </c>
      <c r="O420" s="135">
        <v>5.25</v>
      </c>
      <c r="P420" s="135">
        <v>0.44</v>
      </c>
      <c r="Q420" s="135">
        <v>2.4</v>
      </c>
      <c r="R420" s="136" t="str">
        <f t="shared" si="1"/>
        <v>OptionStrat</v>
      </c>
      <c r="S420" s="132" t="s">
        <v>589</v>
      </c>
      <c r="T420" s="137"/>
      <c r="U420" s="138">
        <v>0.55</v>
      </c>
    </row>
    <row r="421">
      <c r="A421" s="125" t="s">
        <v>28</v>
      </c>
      <c r="B421" s="125" t="s">
        <v>169</v>
      </c>
      <c r="C421" s="126">
        <v>450.0</v>
      </c>
      <c r="D421" s="126">
        <v>590.0</v>
      </c>
      <c r="E421" s="126">
        <v>140.0</v>
      </c>
      <c r="F421" s="127">
        <v>36.27</v>
      </c>
      <c r="G421" s="127">
        <v>103.73</v>
      </c>
      <c r="H421" s="128">
        <v>2.86</v>
      </c>
      <c r="I421" s="127">
        <v>68.48</v>
      </c>
      <c r="J421" s="128">
        <v>1.89</v>
      </c>
      <c r="K421" s="128">
        <v>0.67</v>
      </c>
      <c r="L421" s="128">
        <v>0.55</v>
      </c>
      <c r="M421" s="126">
        <v>943.0</v>
      </c>
      <c r="N421" s="126">
        <v>72.0</v>
      </c>
      <c r="O421" s="128">
        <v>2.61</v>
      </c>
      <c r="P421" s="128">
        <v>0.66</v>
      </c>
      <c r="Q421" s="128">
        <v>2.4</v>
      </c>
      <c r="R421" s="129" t="str">
        <f t="shared" si="1"/>
        <v>OptionStrat</v>
      </c>
      <c r="S421" s="125" t="s">
        <v>590</v>
      </c>
      <c r="T421" s="125" t="s">
        <v>181</v>
      </c>
      <c r="U421" s="131">
        <v>0.55</v>
      </c>
    </row>
    <row r="422">
      <c r="A422" s="132" t="s">
        <v>28</v>
      </c>
      <c r="B422" s="132" t="s">
        <v>169</v>
      </c>
      <c r="C422" s="133">
        <v>490.0</v>
      </c>
      <c r="D422" s="133">
        <v>590.0</v>
      </c>
      <c r="E422" s="133">
        <v>100.0</v>
      </c>
      <c r="F422" s="134">
        <v>24.2</v>
      </c>
      <c r="G422" s="134">
        <v>75.8</v>
      </c>
      <c r="H422" s="135">
        <v>3.13</v>
      </c>
      <c r="I422" s="134">
        <v>50.32</v>
      </c>
      <c r="J422" s="135">
        <v>2.08</v>
      </c>
      <c r="K422" s="135">
        <v>0.63</v>
      </c>
      <c r="L422" s="135">
        <v>0.55</v>
      </c>
      <c r="M422" s="133">
        <v>494.0</v>
      </c>
      <c r="N422" s="133">
        <v>72.0</v>
      </c>
      <c r="O422" s="135">
        <v>1.89</v>
      </c>
      <c r="P422" s="135">
        <v>0.69</v>
      </c>
      <c r="Q422" s="135">
        <v>2.4</v>
      </c>
      <c r="R422" s="136" t="str">
        <f t="shared" si="1"/>
        <v>OptionStrat</v>
      </c>
      <c r="S422" s="132" t="s">
        <v>591</v>
      </c>
      <c r="T422" s="137"/>
      <c r="U422" s="138">
        <v>0.55</v>
      </c>
    </row>
    <row r="423">
      <c r="A423" s="125" t="s">
        <v>28</v>
      </c>
      <c r="B423" s="125" t="s">
        <v>171</v>
      </c>
      <c r="C423" s="126">
        <v>420.0</v>
      </c>
      <c r="D423" s="126">
        <v>570.0</v>
      </c>
      <c r="E423" s="126">
        <v>150.0</v>
      </c>
      <c r="F423" s="127">
        <v>40.85</v>
      </c>
      <c r="G423" s="127">
        <v>109.15</v>
      </c>
      <c r="H423" s="128">
        <v>2.67</v>
      </c>
      <c r="I423" s="127">
        <v>80.91</v>
      </c>
      <c r="J423" s="128">
        <v>1.98</v>
      </c>
      <c r="K423" s="128">
        <v>0.72</v>
      </c>
      <c r="L423" s="128">
        <v>0.6</v>
      </c>
      <c r="M423" s="126">
        <v>131.0</v>
      </c>
      <c r="N423" s="126">
        <v>110.0</v>
      </c>
      <c r="O423" s="128">
        <v>1.2</v>
      </c>
      <c r="P423" s="128">
        <v>0.28</v>
      </c>
      <c r="Q423" s="128">
        <v>2.4</v>
      </c>
      <c r="R423" s="129" t="str">
        <f t="shared" si="1"/>
        <v>OptionStrat</v>
      </c>
      <c r="S423" s="125" t="s">
        <v>592</v>
      </c>
      <c r="T423" s="130"/>
      <c r="U423" s="131">
        <v>0.55</v>
      </c>
    </row>
    <row r="424">
      <c r="A424" s="132" t="s">
        <v>28</v>
      </c>
      <c r="B424" s="132" t="s">
        <v>171</v>
      </c>
      <c r="C424" s="133">
        <v>570.0</v>
      </c>
      <c r="D424" s="133">
        <v>640.0</v>
      </c>
      <c r="E424" s="133">
        <v>70.0</v>
      </c>
      <c r="F424" s="134">
        <v>13.92</v>
      </c>
      <c r="G424" s="134">
        <v>56.08</v>
      </c>
      <c r="H424" s="135">
        <v>4.03</v>
      </c>
      <c r="I424" s="134">
        <v>37.85</v>
      </c>
      <c r="J424" s="135">
        <v>2.72</v>
      </c>
      <c r="K424" s="135">
        <v>0.6</v>
      </c>
      <c r="L424" s="135">
        <v>0.55</v>
      </c>
      <c r="M424" s="133">
        <v>110.0</v>
      </c>
      <c r="N424" s="133">
        <v>112.0</v>
      </c>
      <c r="O424" s="135">
        <v>1.11</v>
      </c>
      <c r="P424" s="135">
        <v>0.3</v>
      </c>
      <c r="Q424" s="135">
        <v>2.4</v>
      </c>
      <c r="R424" s="136" t="str">
        <f t="shared" si="1"/>
        <v>OptionStrat</v>
      </c>
      <c r="S424" s="132" t="s">
        <v>593</v>
      </c>
      <c r="T424" s="137"/>
      <c r="U424" s="138">
        <v>0.55</v>
      </c>
    </row>
    <row r="425">
      <c r="A425" s="125" t="s">
        <v>28</v>
      </c>
      <c r="B425" s="125" t="s">
        <v>169</v>
      </c>
      <c r="C425" s="126">
        <v>540.0</v>
      </c>
      <c r="D425" s="126">
        <v>620.0</v>
      </c>
      <c r="E425" s="126">
        <v>80.0</v>
      </c>
      <c r="F425" s="127">
        <v>17.35</v>
      </c>
      <c r="G425" s="127">
        <v>62.65</v>
      </c>
      <c r="H425" s="128">
        <v>3.61</v>
      </c>
      <c r="I425" s="127">
        <v>39.44</v>
      </c>
      <c r="J425" s="128">
        <v>2.27</v>
      </c>
      <c r="K425" s="128">
        <v>0.59</v>
      </c>
      <c r="L425" s="128">
        <v>0.53</v>
      </c>
      <c r="M425" s="126">
        <v>116.0</v>
      </c>
      <c r="N425" s="126">
        <v>426.0</v>
      </c>
      <c r="O425" s="128">
        <v>2.22</v>
      </c>
      <c r="P425" s="128">
        <v>1.05</v>
      </c>
      <c r="Q425" s="128">
        <v>2.39</v>
      </c>
      <c r="R425" s="129" t="str">
        <f t="shared" si="1"/>
        <v>OptionStrat</v>
      </c>
      <c r="S425" s="125" t="s">
        <v>594</v>
      </c>
      <c r="T425" s="130"/>
      <c r="U425" s="131">
        <v>0.55</v>
      </c>
    </row>
    <row r="426">
      <c r="A426" s="132" t="s">
        <v>28</v>
      </c>
      <c r="B426" s="132" t="s">
        <v>169</v>
      </c>
      <c r="C426" s="133">
        <v>550.0</v>
      </c>
      <c r="D426" s="133">
        <v>660.0</v>
      </c>
      <c r="E426" s="133">
        <v>110.0</v>
      </c>
      <c r="F426" s="134">
        <v>22.15</v>
      </c>
      <c r="G426" s="134">
        <v>87.85</v>
      </c>
      <c r="H426" s="135">
        <v>3.97</v>
      </c>
      <c r="I426" s="134">
        <v>51.42</v>
      </c>
      <c r="J426" s="135">
        <v>2.32</v>
      </c>
      <c r="K426" s="135">
        <v>0.58</v>
      </c>
      <c r="L426" s="135">
        <v>0.5</v>
      </c>
      <c r="M426" s="133">
        <v>474.0</v>
      </c>
      <c r="N426" s="133">
        <v>129.0</v>
      </c>
      <c r="O426" s="135">
        <v>2.47</v>
      </c>
      <c r="P426" s="135">
        <v>1.11</v>
      </c>
      <c r="Q426" s="135">
        <v>2.39</v>
      </c>
      <c r="R426" s="136" t="str">
        <f t="shared" si="1"/>
        <v>OptionStrat</v>
      </c>
      <c r="S426" s="132" t="s">
        <v>595</v>
      </c>
      <c r="T426" s="132" t="s">
        <v>181</v>
      </c>
      <c r="U426" s="138">
        <v>0.55</v>
      </c>
    </row>
    <row r="427">
      <c r="A427" s="125" t="s">
        <v>28</v>
      </c>
      <c r="B427" s="125" t="s">
        <v>169</v>
      </c>
      <c r="C427" s="126">
        <v>560.0</v>
      </c>
      <c r="D427" s="126">
        <v>650.0</v>
      </c>
      <c r="E427" s="126">
        <v>90.0</v>
      </c>
      <c r="F427" s="127">
        <v>18.1</v>
      </c>
      <c r="G427" s="127">
        <v>71.9</v>
      </c>
      <c r="H427" s="128">
        <v>3.97</v>
      </c>
      <c r="I427" s="127">
        <v>42.94</v>
      </c>
      <c r="J427" s="128">
        <v>2.37</v>
      </c>
      <c r="K427" s="128">
        <v>0.57</v>
      </c>
      <c r="L427" s="128">
        <v>0.5</v>
      </c>
      <c r="M427" s="126">
        <v>183.0</v>
      </c>
      <c r="N427" s="126">
        <v>284.0</v>
      </c>
      <c r="O427" s="128">
        <v>2.28</v>
      </c>
      <c r="P427" s="128">
        <v>1.11</v>
      </c>
      <c r="Q427" s="128">
        <v>2.39</v>
      </c>
      <c r="R427" s="129" t="str">
        <f t="shared" si="1"/>
        <v>OptionStrat</v>
      </c>
      <c r="S427" s="125" t="s">
        <v>596</v>
      </c>
      <c r="T427" s="130"/>
      <c r="U427" s="131">
        <v>0.55</v>
      </c>
    </row>
    <row r="428">
      <c r="A428" s="132" t="s">
        <v>28</v>
      </c>
      <c r="B428" s="132" t="s">
        <v>171</v>
      </c>
      <c r="C428" s="133">
        <v>600.0</v>
      </c>
      <c r="D428" s="133">
        <v>670.0</v>
      </c>
      <c r="E428" s="133">
        <v>70.0</v>
      </c>
      <c r="F428" s="134">
        <v>13.03</v>
      </c>
      <c r="G428" s="134">
        <v>56.97</v>
      </c>
      <c r="H428" s="135">
        <v>4.37</v>
      </c>
      <c r="I428" s="134">
        <v>36.79</v>
      </c>
      <c r="J428" s="135">
        <v>2.82</v>
      </c>
      <c r="K428" s="135">
        <v>0.58</v>
      </c>
      <c r="L428" s="135">
        <v>0.53</v>
      </c>
      <c r="M428" s="133">
        <v>416.0</v>
      </c>
      <c r="N428" s="133">
        <v>24.0</v>
      </c>
      <c r="O428" s="135">
        <v>1.0</v>
      </c>
      <c r="P428" s="135">
        <v>0.31</v>
      </c>
      <c r="Q428" s="135">
        <v>2.39</v>
      </c>
      <c r="R428" s="136" t="str">
        <f t="shared" si="1"/>
        <v>OptionStrat</v>
      </c>
      <c r="S428" s="132" t="s">
        <v>597</v>
      </c>
      <c r="T428" s="132" t="s">
        <v>181</v>
      </c>
      <c r="U428" s="138">
        <v>0.55</v>
      </c>
    </row>
    <row r="429">
      <c r="A429" s="125" t="s">
        <v>28</v>
      </c>
      <c r="B429" s="125" t="s">
        <v>169</v>
      </c>
      <c r="C429" s="126">
        <v>390.0</v>
      </c>
      <c r="D429" s="126">
        <v>520.0</v>
      </c>
      <c r="E429" s="126">
        <v>130.0</v>
      </c>
      <c r="F429" s="127">
        <v>41.48</v>
      </c>
      <c r="G429" s="127">
        <v>88.52</v>
      </c>
      <c r="H429" s="128">
        <v>2.13</v>
      </c>
      <c r="I429" s="127">
        <v>65.21</v>
      </c>
      <c r="J429" s="128">
        <v>1.57</v>
      </c>
      <c r="K429" s="128">
        <v>0.73</v>
      </c>
      <c r="L429" s="128">
        <v>0.61</v>
      </c>
      <c r="M429" s="126">
        <v>92.0</v>
      </c>
      <c r="N429" s="126">
        <v>281.0</v>
      </c>
      <c r="O429" s="128">
        <v>1.61</v>
      </c>
      <c r="P429" s="128">
        <v>0.44</v>
      </c>
      <c r="Q429" s="128">
        <v>2.38</v>
      </c>
      <c r="R429" s="129" t="str">
        <f t="shared" si="1"/>
        <v>OptionStrat</v>
      </c>
      <c r="S429" s="125" t="s">
        <v>598</v>
      </c>
      <c r="T429" s="130"/>
      <c r="U429" s="131">
        <v>0.55</v>
      </c>
    </row>
    <row r="430">
      <c r="A430" s="132" t="s">
        <v>28</v>
      </c>
      <c r="B430" s="132" t="s">
        <v>169</v>
      </c>
      <c r="C430" s="133">
        <v>410.0</v>
      </c>
      <c r="D430" s="133">
        <v>470.0</v>
      </c>
      <c r="E430" s="133">
        <v>60.0</v>
      </c>
      <c r="F430" s="134">
        <v>19.88</v>
      </c>
      <c r="G430" s="134">
        <v>40.12</v>
      </c>
      <c r="H430" s="135">
        <v>2.02</v>
      </c>
      <c r="I430" s="134">
        <v>29.5</v>
      </c>
      <c r="J430" s="135">
        <v>1.48</v>
      </c>
      <c r="K430" s="135">
        <v>0.71</v>
      </c>
      <c r="L430" s="135">
        <v>0.65</v>
      </c>
      <c r="M430" s="133">
        <v>194.0</v>
      </c>
      <c r="N430" s="133">
        <v>318.0</v>
      </c>
      <c r="O430" s="135">
        <v>2.48</v>
      </c>
      <c r="P430" s="135">
        <v>0.51</v>
      </c>
      <c r="Q430" s="135">
        <v>2.38</v>
      </c>
      <c r="R430" s="136" t="str">
        <f t="shared" si="1"/>
        <v>OptionStrat</v>
      </c>
      <c r="S430" s="132" t="s">
        <v>599</v>
      </c>
      <c r="T430" s="137"/>
      <c r="U430" s="138">
        <v>0.55</v>
      </c>
    </row>
    <row r="431">
      <c r="A431" s="125" t="s">
        <v>28</v>
      </c>
      <c r="B431" s="125" t="s">
        <v>169</v>
      </c>
      <c r="C431" s="126">
        <v>520.0</v>
      </c>
      <c r="D431" s="126">
        <v>640.0</v>
      </c>
      <c r="E431" s="126">
        <v>120.0</v>
      </c>
      <c r="F431" s="127">
        <v>25.8</v>
      </c>
      <c r="G431" s="127">
        <v>94.2</v>
      </c>
      <c r="H431" s="128">
        <v>3.65</v>
      </c>
      <c r="I431" s="127">
        <v>57.01</v>
      </c>
      <c r="J431" s="128">
        <v>2.21</v>
      </c>
      <c r="K431" s="128">
        <v>0.61</v>
      </c>
      <c r="L431" s="128">
        <v>0.51</v>
      </c>
      <c r="M431" s="126">
        <v>281.0</v>
      </c>
      <c r="N431" s="126">
        <v>222.0</v>
      </c>
      <c r="O431" s="128">
        <v>2.5</v>
      </c>
      <c r="P431" s="128">
        <v>0.67</v>
      </c>
      <c r="Q431" s="128">
        <v>2.38</v>
      </c>
      <c r="R431" s="129" t="str">
        <f t="shared" si="1"/>
        <v>OptionStrat</v>
      </c>
      <c r="S431" s="125" t="s">
        <v>600</v>
      </c>
      <c r="T431" s="130"/>
      <c r="U431" s="131">
        <v>0.55</v>
      </c>
    </row>
    <row r="432">
      <c r="A432" s="132" t="s">
        <v>28</v>
      </c>
      <c r="B432" s="132" t="s">
        <v>171</v>
      </c>
      <c r="C432" s="133">
        <v>390.0</v>
      </c>
      <c r="D432" s="133">
        <v>540.0</v>
      </c>
      <c r="E432" s="133">
        <v>150.0</v>
      </c>
      <c r="F432" s="134">
        <v>44.5</v>
      </c>
      <c r="G432" s="134">
        <v>105.5</v>
      </c>
      <c r="H432" s="135">
        <v>2.37</v>
      </c>
      <c r="I432" s="134">
        <v>77.96</v>
      </c>
      <c r="J432" s="135">
        <v>1.75</v>
      </c>
      <c r="K432" s="135">
        <v>0.75</v>
      </c>
      <c r="L432" s="135">
        <v>0.62</v>
      </c>
      <c r="M432" s="133">
        <v>48.0</v>
      </c>
      <c r="N432" s="133">
        <v>58.0</v>
      </c>
      <c r="O432" s="135">
        <v>0.53</v>
      </c>
      <c r="P432" s="135">
        <v>0.27</v>
      </c>
      <c r="Q432" s="135">
        <v>2.38</v>
      </c>
      <c r="R432" s="136" t="str">
        <f t="shared" si="1"/>
        <v>OptionStrat</v>
      </c>
      <c r="S432" s="132" t="s">
        <v>601</v>
      </c>
      <c r="T432" s="137"/>
      <c r="U432" s="138">
        <v>0.55</v>
      </c>
    </row>
    <row r="433">
      <c r="A433" s="125" t="s">
        <v>28</v>
      </c>
      <c r="B433" s="125" t="s">
        <v>171</v>
      </c>
      <c r="C433" s="126">
        <v>540.0</v>
      </c>
      <c r="D433" s="126">
        <v>650.0</v>
      </c>
      <c r="E433" s="126">
        <v>110.0</v>
      </c>
      <c r="F433" s="127">
        <v>22.63</v>
      </c>
      <c r="G433" s="127">
        <v>87.37</v>
      </c>
      <c r="H433" s="128">
        <v>3.86</v>
      </c>
      <c r="I433" s="127">
        <v>57.92</v>
      </c>
      <c r="J433" s="128">
        <v>2.56</v>
      </c>
      <c r="K433" s="128">
        <v>0.62</v>
      </c>
      <c r="L433" s="128">
        <v>0.54</v>
      </c>
      <c r="M433" s="126">
        <v>58.0</v>
      </c>
      <c r="N433" s="126">
        <v>220.0</v>
      </c>
      <c r="O433" s="128">
        <v>1.13</v>
      </c>
      <c r="P433" s="128">
        <v>0.3</v>
      </c>
      <c r="Q433" s="128">
        <v>2.38</v>
      </c>
      <c r="R433" s="129" t="str">
        <f t="shared" si="1"/>
        <v>OptionStrat</v>
      </c>
      <c r="S433" s="125" t="s">
        <v>602</v>
      </c>
      <c r="T433" s="130"/>
      <c r="U433" s="131">
        <v>0.55</v>
      </c>
    </row>
    <row r="434">
      <c r="A434" s="132" t="s">
        <v>28</v>
      </c>
      <c r="B434" s="132" t="s">
        <v>171</v>
      </c>
      <c r="C434" s="133">
        <v>580.0</v>
      </c>
      <c r="D434" s="133">
        <v>650.0</v>
      </c>
      <c r="E434" s="133">
        <v>70.0</v>
      </c>
      <c r="F434" s="134">
        <v>13.6</v>
      </c>
      <c r="G434" s="134">
        <v>56.4</v>
      </c>
      <c r="H434" s="135">
        <v>4.15</v>
      </c>
      <c r="I434" s="134">
        <v>37.52</v>
      </c>
      <c r="J434" s="135">
        <v>2.76</v>
      </c>
      <c r="K434" s="135">
        <v>0.59</v>
      </c>
      <c r="L434" s="135">
        <v>0.54</v>
      </c>
      <c r="M434" s="133">
        <v>50.0</v>
      </c>
      <c r="N434" s="133">
        <v>220.0</v>
      </c>
      <c r="O434" s="135">
        <v>1.05</v>
      </c>
      <c r="P434" s="135">
        <v>0.3</v>
      </c>
      <c r="Q434" s="135">
        <v>2.38</v>
      </c>
      <c r="R434" s="136" t="str">
        <f t="shared" si="1"/>
        <v>OptionStrat</v>
      </c>
      <c r="S434" s="132" t="s">
        <v>603</v>
      </c>
      <c r="T434" s="137"/>
      <c r="U434" s="138">
        <v>0.55</v>
      </c>
    </row>
    <row r="435">
      <c r="A435" s="125" t="s">
        <v>28</v>
      </c>
      <c r="B435" s="125" t="s">
        <v>171</v>
      </c>
      <c r="C435" s="126">
        <v>640.0</v>
      </c>
      <c r="D435" s="126">
        <v>690.0</v>
      </c>
      <c r="E435" s="126">
        <v>50.0</v>
      </c>
      <c r="F435" s="127">
        <v>8.53</v>
      </c>
      <c r="G435" s="127">
        <v>41.47</v>
      </c>
      <c r="H435" s="128">
        <v>4.86</v>
      </c>
      <c r="I435" s="127">
        <v>26.14</v>
      </c>
      <c r="J435" s="128">
        <v>3.06</v>
      </c>
      <c r="K435" s="128">
        <v>0.55</v>
      </c>
      <c r="L435" s="128">
        <v>0.52</v>
      </c>
      <c r="M435" s="126">
        <v>112.0</v>
      </c>
      <c r="N435" s="126">
        <v>49.0</v>
      </c>
      <c r="O435" s="128">
        <v>0.74</v>
      </c>
      <c r="P435" s="128">
        <v>0.32</v>
      </c>
      <c r="Q435" s="128">
        <v>2.38</v>
      </c>
      <c r="R435" s="129" t="str">
        <f t="shared" si="1"/>
        <v>OptionStrat</v>
      </c>
      <c r="S435" s="125" t="s">
        <v>604</v>
      </c>
      <c r="T435" s="130"/>
      <c r="U435" s="131">
        <v>0.55</v>
      </c>
    </row>
    <row r="436">
      <c r="A436" s="132" t="s">
        <v>28</v>
      </c>
      <c r="B436" s="132" t="s">
        <v>169</v>
      </c>
      <c r="C436" s="133">
        <v>380.0</v>
      </c>
      <c r="D436" s="133">
        <v>520.0</v>
      </c>
      <c r="E436" s="133">
        <v>140.0</v>
      </c>
      <c r="F436" s="134">
        <v>45.27</v>
      </c>
      <c r="G436" s="134">
        <v>94.73</v>
      </c>
      <c r="H436" s="135">
        <v>2.09</v>
      </c>
      <c r="I436" s="134">
        <v>69.73</v>
      </c>
      <c r="J436" s="135">
        <v>1.54</v>
      </c>
      <c r="K436" s="135">
        <v>0.74</v>
      </c>
      <c r="L436" s="135">
        <v>0.61</v>
      </c>
      <c r="M436" s="133">
        <v>106.0</v>
      </c>
      <c r="N436" s="133">
        <v>281.0</v>
      </c>
      <c r="O436" s="135">
        <v>1.73</v>
      </c>
      <c r="P436" s="135">
        <v>0.45</v>
      </c>
      <c r="Q436" s="135">
        <v>2.37</v>
      </c>
      <c r="R436" s="136" t="str">
        <f t="shared" si="1"/>
        <v>OptionStrat</v>
      </c>
      <c r="S436" s="132" t="s">
        <v>605</v>
      </c>
      <c r="T436" s="137"/>
      <c r="U436" s="138">
        <v>0.55</v>
      </c>
    </row>
    <row r="437">
      <c r="A437" s="125" t="s">
        <v>28</v>
      </c>
      <c r="B437" s="125" t="s">
        <v>169</v>
      </c>
      <c r="C437" s="126">
        <v>390.0</v>
      </c>
      <c r="D437" s="126">
        <v>540.0</v>
      </c>
      <c r="E437" s="126">
        <v>150.0</v>
      </c>
      <c r="F437" s="127">
        <v>46.25</v>
      </c>
      <c r="G437" s="127">
        <v>103.75</v>
      </c>
      <c r="H437" s="128">
        <v>2.24</v>
      </c>
      <c r="I437" s="127">
        <v>75.7</v>
      </c>
      <c r="J437" s="128">
        <v>1.64</v>
      </c>
      <c r="K437" s="128">
        <v>0.73</v>
      </c>
      <c r="L437" s="128">
        <v>0.59</v>
      </c>
      <c r="M437" s="126">
        <v>92.0</v>
      </c>
      <c r="N437" s="126">
        <v>116.0</v>
      </c>
      <c r="O437" s="128">
        <v>1.03</v>
      </c>
      <c r="P437" s="128">
        <v>0.59</v>
      </c>
      <c r="Q437" s="128">
        <v>2.37</v>
      </c>
      <c r="R437" s="129" t="str">
        <f t="shared" si="1"/>
        <v>OptionStrat</v>
      </c>
      <c r="S437" s="125" t="s">
        <v>606</v>
      </c>
      <c r="T437" s="130"/>
      <c r="U437" s="131">
        <v>0.55</v>
      </c>
    </row>
    <row r="438">
      <c r="A438" s="132" t="s">
        <v>28</v>
      </c>
      <c r="B438" s="132" t="s">
        <v>171</v>
      </c>
      <c r="C438" s="133">
        <v>430.0</v>
      </c>
      <c r="D438" s="133">
        <v>580.0</v>
      </c>
      <c r="E438" s="133">
        <v>150.0</v>
      </c>
      <c r="F438" s="134">
        <v>39.75</v>
      </c>
      <c r="G438" s="134">
        <v>110.25</v>
      </c>
      <c r="H438" s="135">
        <v>2.77</v>
      </c>
      <c r="I438" s="134">
        <v>81.28</v>
      </c>
      <c r="J438" s="135">
        <v>2.04</v>
      </c>
      <c r="K438" s="135">
        <v>0.71</v>
      </c>
      <c r="L438" s="135">
        <v>0.59</v>
      </c>
      <c r="M438" s="133">
        <v>213.0</v>
      </c>
      <c r="N438" s="133">
        <v>50.0</v>
      </c>
      <c r="O438" s="135">
        <v>1.03</v>
      </c>
      <c r="P438" s="135">
        <v>0.29</v>
      </c>
      <c r="Q438" s="135">
        <v>2.37</v>
      </c>
      <c r="R438" s="136" t="str">
        <f t="shared" si="1"/>
        <v>OptionStrat</v>
      </c>
      <c r="S438" s="132" t="s">
        <v>607</v>
      </c>
      <c r="T438" s="137"/>
      <c r="U438" s="138">
        <v>0.55</v>
      </c>
    </row>
    <row r="439">
      <c r="A439" s="125" t="s">
        <v>28</v>
      </c>
      <c r="B439" s="125" t="s">
        <v>171</v>
      </c>
      <c r="C439" s="126">
        <v>490.0</v>
      </c>
      <c r="D439" s="126">
        <v>640.0</v>
      </c>
      <c r="E439" s="126">
        <v>150.0</v>
      </c>
      <c r="F439" s="127">
        <v>33.57</v>
      </c>
      <c r="G439" s="127">
        <v>116.43</v>
      </c>
      <c r="H439" s="128">
        <v>3.47</v>
      </c>
      <c r="I439" s="127">
        <v>78.04</v>
      </c>
      <c r="J439" s="128">
        <v>2.32</v>
      </c>
      <c r="K439" s="128">
        <v>0.66</v>
      </c>
      <c r="L439" s="128">
        <v>0.55</v>
      </c>
      <c r="M439" s="126">
        <v>93.0</v>
      </c>
      <c r="N439" s="126">
        <v>112.0</v>
      </c>
      <c r="O439" s="128">
        <v>1.02</v>
      </c>
      <c r="P439" s="128">
        <v>0.3</v>
      </c>
      <c r="Q439" s="128">
        <v>2.37</v>
      </c>
      <c r="R439" s="129" t="str">
        <f t="shared" si="1"/>
        <v>OptionStrat</v>
      </c>
      <c r="S439" s="125" t="s">
        <v>608</v>
      </c>
      <c r="T439" s="125" t="s">
        <v>181</v>
      </c>
      <c r="U439" s="131">
        <v>0.55</v>
      </c>
    </row>
    <row r="440">
      <c r="A440" s="132" t="s">
        <v>28</v>
      </c>
      <c r="B440" s="132" t="s">
        <v>171</v>
      </c>
      <c r="C440" s="133">
        <v>590.0</v>
      </c>
      <c r="D440" s="133">
        <v>700.0</v>
      </c>
      <c r="E440" s="133">
        <v>110.0</v>
      </c>
      <c r="F440" s="134">
        <v>20.42</v>
      </c>
      <c r="G440" s="134">
        <v>89.58</v>
      </c>
      <c r="H440" s="135">
        <v>4.39</v>
      </c>
      <c r="I440" s="134">
        <v>55.72</v>
      </c>
      <c r="J440" s="135">
        <v>2.73</v>
      </c>
      <c r="K440" s="135">
        <v>0.59</v>
      </c>
      <c r="L440" s="135">
        <v>0.52</v>
      </c>
      <c r="M440" s="133">
        <v>15.0</v>
      </c>
      <c r="N440" s="133">
        <v>617.0</v>
      </c>
      <c r="O440" s="135">
        <v>0.96</v>
      </c>
      <c r="P440" s="135">
        <v>0.41</v>
      </c>
      <c r="Q440" s="135">
        <v>2.37</v>
      </c>
      <c r="R440" s="136" t="str">
        <f t="shared" si="1"/>
        <v>OptionStrat</v>
      </c>
      <c r="S440" s="132" t="s">
        <v>609</v>
      </c>
      <c r="T440" s="137"/>
      <c r="U440" s="138">
        <v>0.55</v>
      </c>
    </row>
    <row r="441">
      <c r="A441" s="125" t="s">
        <v>28</v>
      </c>
      <c r="B441" s="125" t="s">
        <v>171</v>
      </c>
      <c r="C441" s="126">
        <v>620.0</v>
      </c>
      <c r="D441" s="126">
        <v>700.0</v>
      </c>
      <c r="E441" s="126">
        <v>80.0</v>
      </c>
      <c r="F441" s="127">
        <v>13.9</v>
      </c>
      <c r="G441" s="127">
        <v>66.1</v>
      </c>
      <c r="H441" s="128">
        <v>4.76</v>
      </c>
      <c r="I441" s="127">
        <v>41.32</v>
      </c>
      <c r="J441" s="128">
        <v>2.97</v>
      </c>
      <c r="K441" s="128">
        <v>0.56</v>
      </c>
      <c r="L441" s="128">
        <v>0.52</v>
      </c>
      <c r="M441" s="126">
        <v>10.0</v>
      </c>
      <c r="N441" s="126">
        <v>617.0</v>
      </c>
      <c r="O441" s="128">
        <v>0.79</v>
      </c>
      <c r="P441" s="128">
        <v>0.32</v>
      </c>
      <c r="Q441" s="128">
        <v>2.37</v>
      </c>
      <c r="R441" s="129" t="str">
        <f t="shared" si="1"/>
        <v>OptionStrat</v>
      </c>
      <c r="S441" s="125" t="s">
        <v>610</v>
      </c>
      <c r="T441" s="130"/>
      <c r="U441" s="131">
        <v>0.55</v>
      </c>
    </row>
    <row r="442">
      <c r="A442" s="132" t="s">
        <v>28</v>
      </c>
      <c r="B442" s="132" t="s">
        <v>169</v>
      </c>
      <c r="C442" s="133">
        <v>390.0</v>
      </c>
      <c r="D442" s="133">
        <v>510.0</v>
      </c>
      <c r="E442" s="133">
        <v>120.0</v>
      </c>
      <c r="F442" s="134">
        <v>38.85</v>
      </c>
      <c r="G442" s="134">
        <v>81.15</v>
      </c>
      <c r="H442" s="135">
        <v>2.09</v>
      </c>
      <c r="I442" s="134">
        <v>59.73</v>
      </c>
      <c r="J442" s="135">
        <v>1.54</v>
      </c>
      <c r="K442" s="135">
        <v>0.73</v>
      </c>
      <c r="L442" s="135">
        <v>0.62</v>
      </c>
      <c r="M442" s="133">
        <v>92.0</v>
      </c>
      <c r="N442" s="133">
        <v>359.0</v>
      </c>
      <c r="O442" s="135">
        <v>1.82</v>
      </c>
      <c r="P442" s="135">
        <v>0.43</v>
      </c>
      <c r="Q442" s="135">
        <v>2.36</v>
      </c>
      <c r="R442" s="136" t="str">
        <f t="shared" si="1"/>
        <v>OptionStrat</v>
      </c>
      <c r="S442" s="132" t="s">
        <v>611</v>
      </c>
      <c r="T442" s="137"/>
      <c r="U442" s="138">
        <v>0.55</v>
      </c>
    </row>
    <row r="443">
      <c r="A443" s="125" t="s">
        <v>28</v>
      </c>
      <c r="B443" s="125" t="s">
        <v>169</v>
      </c>
      <c r="C443" s="126">
        <v>440.0</v>
      </c>
      <c r="D443" s="126">
        <v>570.0</v>
      </c>
      <c r="E443" s="126">
        <v>130.0</v>
      </c>
      <c r="F443" s="127">
        <v>35.28</v>
      </c>
      <c r="G443" s="127">
        <v>94.72</v>
      </c>
      <c r="H443" s="128">
        <v>2.68</v>
      </c>
      <c r="I443" s="127">
        <v>65.1</v>
      </c>
      <c r="J443" s="128">
        <v>1.85</v>
      </c>
      <c r="K443" s="128">
        <v>0.68</v>
      </c>
      <c r="L443" s="128">
        <v>0.56</v>
      </c>
      <c r="M443" s="126">
        <v>208.0</v>
      </c>
      <c r="N443" s="126">
        <v>254.0</v>
      </c>
      <c r="O443" s="128">
        <v>2.3</v>
      </c>
      <c r="P443" s="128">
        <v>0.62</v>
      </c>
      <c r="Q443" s="128">
        <v>2.36</v>
      </c>
      <c r="R443" s="129" t="str">
        <f t="shared" si="1"/>
        <v>OptionStrat</v>
      </c>
      <c r="S443" s="125" t="s">
        <v>612</v>
      </c>
      <c r="T443" s="130"/>
      <c r="U443" s="131">
        <v>0.55</v>
      </c>
    </row>
    <row r="444">
      <c r="A444" s="132" t="s">
        <v>28</v>
      </c>
      <c r="B444" s="132" t="s">
        <v>169</v>
      </c>
      <c r="C444" s="133">
        <v>540.0</v>
      </c>
      <c r="D444" s="133">
        <v>610.0</v>
      </c>
      <c r="E444" s="133">
        <v>70.0</v>
      </c>
      <c r="F444" s="134">
        <v>15.4</v>
      </c>
      <c r="G444" s="134">
        <v>54.6</v>
      </c>
      <c r="H444" s="135">
        <v>3.55</v>
      </c>
      <c r="I444" s="134">
        <v>35.04</v>
      </c>
      <c r="J444" s="135">
        <v>2.28</v>
      </c>
      <c r="K444" s="135">
        <v>0.59</v>
      </c>
      <c r="L444" s="135">
        <v>0.53</v>
      </c>
      <c r="M444" s="133">
        <v>116.0</v>
      </c>
      <c r="N444" s="133">
        <v>340.0</v>
      </c>
      <c r="O444" s="135">
        <v>1.99</v>
      </c>
      <c r="P444" s="135">
        <v>1.05</v>
      </c>
      <c r="Q444" s="135">
        <v>2.36</v>
      </c>
      <c r="R444" s="136" t="str">
        <f t="shared" si="1"/>
        <v>OptionStrat</v>
      </c>
      <c r="S444" s="132" t="s">
        <v>613</v>
      </c>
      <c r="T444" s="137"/>
      <c r="U444" s="138">
        <v>0.55</v>
      </c>
    </row>
    <row r="445">
      <c r="A445" s="125" t="s">
        <v>28</v>
      </c>
      <c r="B445" s="125" t="s">
        <v>171</v>
      </c>
      <c r="C445" s="126">
        <v>420.0</v>
      </c>
      <c r="D445" s="126">
        <v>470.0</v>
      </c>
      <c r="E445" s="126">
        <v>50.0</v>
      </c>
      <c r="F445" s="127">
        <v>15.55</v>
      </c>
      <c r="G445" s="127">
        <v>34.45</v>
      </c>
      <c r="H445" s="128">
        <v>2.22</v>
      </c>
      <c r="I445" s="127">
        <v>25.4</v>
      </c>
      <c r="J445" s="128">
        <v>1.63</v>
      </c>
      <c r="K445" s="128">
        <v>0.72</v>
      </c>
      <c r="L445" s="128">
        <v>0.68</v>
      </c>
      <c r="M445" s="126">
        <v>131.0</v>
      </c>
      <c r="N445" s="126">
        <v>68.0</v>
      </c>
      <c r="O445" s="128">
        <v>0.94</v>
      </c>
      <c r="P445" s="128">
        <v>0.28</v>
      </c>
      <c r="Q445" s="128">
        <v>2.36</v>
      </c>
      <c r="R445" s="129" t="str">
        <f t="shared" si="1"/>
        <v>OptionStrat</v>
      </c>
      <c r="S445" s="125" t="s">
        <v>614</v>
      </c>
      <c r="T445" s="130"/>
      <c r="U445" s="131">
        <v>0.55</v>
      </c>
    </row>
    <row r="446">
      <c r="A446" s="132" t="s">
        <v>28</v>
      </c>
      <c r="B446" s="132" t="s">
        <v>171</v>
      </c>
      <c r="C446" s="133">
        <v>540.0</v>
      </c>
      <c r="D446" s="133">
        <v>570.0</v>
      </c>
      <c r="E446" s="133">
        <v>30.0</v>
      </c>
      <c r="F446" s="134">
        <v>6.88</v>
      </c>
      <c r="G446" s="134">
        <v>23.12</v>
      </c>
      <c r="H446" s="135">
        <v>3.36</v>
      </c>
      <c r="I446" s="134">
        <v>17.23</v>
      </c>
      <c r="J446" s="135">
        <v>2.5</v>
      </c>
      <c r="K446" s="135">
        <v>0.62</v>
      </c>
      <c r="L446" s="135">
        <v>0.6</v>
      </c>
      <c r="M446" s="133">
        <v>58.0</v>
      </c>
      <c r="N446" s="133">
        <v>110.0</v>
      </c>
      <c r="O446" s="135">
        <v>0.8</v>
      </c>
      <c r="P446" s="135">
        <v>0.28</v>
      </c>
      <c r="Q446" s="135">
        <v>2.36</v>
      </c>
      <c r="R446" s="136" t="str">
        <f t="shared" si="1"/>
        <v>OptionStrat</v>
      </c>
      <c r="S446" s="132" t="s">
        <v>615</v>
      </c>
      <c r="T446" s="137"/>
      <c r="U446" s="138">
        <v>0.55</v>
      </c>
    </row>
    <row r="447">
      <c r="A447" s="125" t="s">
        <v>28</v>
      </c>
      <c r="B447" s="125" t="s">
        <v>171</v>
      </c>
      <c r="C447" s="126">
        <v>560.0</v>
      </c>
      <c r="D447" s="126">
        <v>700.0</v>
      </c>
      <c r="E447" s="126">
        <v>140.0</v>
      </c>
      <c r="F447" s="127">
        <v>26.3</v>
      </c>
      <c r="G447" s="127">
        <v>113.7</v>
      </c>
      <c r="H447" s="128">
        <v>4.32</v>
      </c>
      <c r="I447" s="127">
        <v>70.66</v>
      </c>
      <c r="J447" s="128">
        <v>2.69</v>
      </c>
      <c r="K447" s="128">
        <v>0.61</v>
      </c>
      <c r="L447" s="128">
        <v>0.52</v>
      </c>
      <c r="M447" s="126">
        <v>18.0</v>
      </c>
      <c r="N447" s="126">
        <v>617.0</v>
      </c>
      <c r="O447" s="128">
        <v>1.05</v>
      </c>
      <c r="P447" s="128">
        <v>0.3</v>
      </c>
      <c r="Q447" s="128">
        <v>2.36</v>
      </c>
      <c r="R447" s="129" t="str">
        <f t="shared" si="1"/>
        <v>OptionStrat</v>
      </c>
      <c r="S447" s="125" t="s">
        <v>616</v>
      </c>
      <c r="T447" s="130"/>
      <c r="U447" s="131">
        <v>0.55</v>
      </c>
    </row>
    <row r="448">
      <c r="A448" s="132" t="s">
        <v>28</v>
      </c>
      <c r="B448" s="132" t="s">
        <v>169</v>
      </c>
      <c r="C448" s="133">
        <v>380.0</v>
      </c>
      <c r="D448" s="133">
        <v>510.0</v>
      </c>
      <c r="E448" s="133">
        <v>130.0</v>
      </c>
      <c r="F448" s="134">
        <v>42.65</v>
      </c>
      <c r="G448" s="134">
        <v>87.35</v>
      </c>
      <c r="H448" s="135">
        <v>2.05</v>
      </c>
      <c r="I448" s="134">
        <v>64.25</v>
      </c>
      <c r="J448" s="135">
        <v>1.51</v>
      </c>
      <c r="K448" s="135">
        <v>0.74</v>
      </c>
      <c r="L448" s="135">
        <v>0.62</v>
      </c>
      <c r="M448" s="133">
        <v>106.0</v>
      </c>
      <c r="N448" s="133">
        <v>359.0</v>
      </c>
      <c r="O448" s="135">
        <v>1.95</v>
      </c>
      <c r="P448" s="135">
        <v>0.44</v>
      </c>
      <c r="Q448" s="135">
        <v>2.35</v>
      </c>
      <c r="R448" s="136" t="str">
        <f t="shared" si="1"/>
        <v>OptionStrat</v>
      </c>
      <c r="S448" s="132" t="s">
        <v>617</v>
      </c>
      <c r="T448" s="137"/>
      <c r="U448" s="138">
        <v>0.55</v>
      </c>
    </row>
    <row r="449">
      <c r="A449" s="125" t="s">
        <v>28</v>
      </c>
      <c r="B449" s="125" t="s">
        <v>169</v>
      </c>
      <c r="C449" s="126">
        <v>560.0</v>
      </c>
      <c r="D449" s="126">
        <v>630.0</v>
      </c>
      <c r="E449" s="126">
        <v>70.0</v>
      </c>
      <c r="F449" s="127">
        <v>14.5</v>
      </c>
      <c r="G449" s="127">
        <v>55.5</v>
      </c>
      <c r="H449" s="128">
        <v>3.83</v>
      </c>
      <c r="I449" s="127">
        <v>34.39</v>
      </c>
      <c r="J449" s="128">
        <v>2.37</v>
      </c>
      <c r="K449" s="128">
        <v>0.57</v>
      </c>
      <c r="L449" s="128">
        <v>0.52</v>
      </c>
      <c r="M449" s="126">
        <v>183.0</v>
      </c>
      <c r="N449" s="126">
        <v>247.0</v>
      </c>
      <c r="O449" s="128">
        <v>2.13</v>
      </c>
      <c r="P449" s="128">
        <v>1.11</v>
      </c>
      <c r="Q449" s="128">
        <v>2.35</v>
      </c>
      <c r="R449" s="129" t="str">
        <f t="shared" si="1"/>
        <v>OptionStrat</v>
      </c>
      <c r="S449" s="125" t="s">
        <v>618</v>
      </c>
      <c r="T449" s="130"/>
      <c r="U449" s="131">
        <v>0.55</v>
      </c>
    </row>
    <row r="450">
      <c r="A450" s="132" t="s">
        <v>28</v>
      </c>
      <c r="B450" s="132" t="s">
        <v>169</v>
      </c>
      <c r="C450" s="133">
        <v>580.0</v>
      </c>
      <c r="D450" s="133">
        <v>660.0</v>
      </c>
      <c r="E450" s="133">
        <v>80.0</v>
      </c>
      <c r="F450" s="134">
        <v>15.45</v>
      </c>
      <c r="G450" s="134">
        <v>64.55</v>
      </c>
      <c r="H450" s="135">
        <v>4.18</v>
      </c>
      <c r="I450" s="134">
        <v>37.95</v>
      </c>
      <c r="J450" s="135">
        <v>2.46</v>
      </c>
      <c r="K450" s="135">
        <v>0.56</v>
      </c>
      <c r="L450" s="135">
        <v>0.5</v>
      </c>
      <c r="M450" s="133">
        <v>263.0</v>
      </c>
      <c r="N450" s="133">
        <v>129.0</v>
      </c>
      <c r="O450" s="135">
        <v>1.84</v>
      </c>
      <c r="P450" s="135">
        <v>1.18</v>
      </c>
      <c r="Q450" s="135">
        <v>2.35</v>
      </c>
      <c r="R450" s="136" t="str">
        <f t="shared" si="1"/>
        <v>OptionStrat</v>
      </c>
      <c r="S450" s="132" t="s">
        <v>619</v>
      </c>
      <c r="T450" s="137"/>
      <c r="U450" s="138">
        <v>0.55</v>
      </c>
    </row>
    <row r="451">
      <c r="A451" s="125" t="s">
        <v>28</v>
      </c>
      <c r="B451" s="125" t="s">
        <v>171</v>
      </c>
      <c r="C451" s="126">
        <v>360.0</v>
      </c>
      <c r="D451" s="126">
        <v>480.0</v>
      </c>
      <c r="E451" s="126">
        <v>120.0</v>
      </c>
      <c r="F451" s="127">
        <v>40.63</v>
      </c>
      <c r="G451" s="127">
        <v>79.37</v>
      </c>
      <c r="H451" s="128">
        <v>1.95</v>
      </c>
      <c r="I451" s="127">
        <v>58.29</v>
      </c>
      <c r="J451" s="128">
        <v>1.43</v>
      </c>
      <c r="K451" s="128">
        <v>0.77</v>
      </c>
      <c r="L451" s="128">
        <v>0.67</v>
      </c>
      <c r="M451" s="126">
        <v>212.0</v>
      </c>
      <c r="N451" s="126">
        <v>139.0</v>
      </c>
      <c r="O451" s="128">
        <v>1.72</v>
      </c>
      <c r="P451" s="128">
        <v>0.26</v>
      </c>
      <c r="Q451" s="128">
        <v>2.35</v>
      </c>
      <c r="R451" s="129" t="str">
        <f t="shared" si="1"/>
        <v>OptionStrat</v>
      </c>
      <c r="S451" s="125" t="s">
        <v>620</v>
      </c>
      <c r="T451" s="130"/>
      <c r="U451" s="131">
        <v>0.55</v>
      </c>
    </row>
    <row r="452">
      <c r="A452" s="132" t="s">
        <v>28</v>
      </c>
      <c r="B452" s="132" t="s">
        <v>171</v>
      </c>
      <c r="C452" s="133">
        <v>440.0</v>
      </c>
      <c r="D452" s="133">
        <v>580.0</v>
      </c>
      <c r="E452" s="133">
        <v>140.0</v>
      </c>
      <c r="F452" s="134">
        <v>36.3</v>
      </c>
      <c r="G452" s="134">
        <v>103.7</v>
      </c>
      <c r="H452" s="135">
        <v>2.86</v>
      </c>
      <c r="I452" s="134">
        <v>76.51</v>
      </c>
      <c r="J452" s="135">
        <v>2.11</v>
      </c>
      <c r="K452" s="135">
        <v>0.7</v>
      </c>
      <c r="L452" s="135">
        <v>0.59</v>
      </c>
      <c r="M452" s="133">
        <v>144.0</v>
      </c>
      <c r="N452" s="133">
        <v>50.0</v>
      </c>
      <c r="O452" s="135">
        <v>0.85</v>
      </c>
      <c r="P452" s="135">
        <v>0.31</v>
      </c>
      <c r="Q452" s="135">
        <v>2.35</v>
      </c>
      <c r="R452" s="136" t="str">
        <f t="shared" si="1"/>
        <v>OptionStrat</v>
      </c>
      <c r="S452" s="132" t="s">
        <v>621</v>
      </c>
      <c r="T452" s="132" t="s">
        <v>181</v>
      </c>
      <c r="U452" s="138">
        <v>0.55</v>
      </c>
    </row>
    <row r="453">
      <c r="A453" s="125" t="s">
        <v>28</v>
      </c>
      <c r="B453" s="125" t="s">
        <v>171</v>
      </c>
      <c r="C453" s="126">
        <v>490.0</v>
      </c>
      <c r="D453" s="126">
        <v>580.0</v>
      </c>
      <c r="E453" s="126">
        <v>90.0</v>
      </c>
      <c r="F453" s="127">
        <v>21.8</v>
      </c>
      <c r="G453" s="127">
        <v>68.2</v>
      </c>
      <c r="H453" s="128">
        <v>3.13</v>
      </c>
      <c r="I453" s="127">
        <v>50.43</v>
      </c>
      <c r="J453" s="128">
        <v>2.31</v>
      </c>
      <c r="K453" s="128">
        <v>0.66</v>
      </c>
      <c r="L453" s="128">
        <v>0.59</v>
      </c>
      <c r="M453" s="126">
        <v>93.0</v>
      </c>
      <c r="N453" s="126">
        <v>50.0</v>
      </c>
      <c r="O453" s="128">
        <v>0.68</v>
      </c>
      <c r="P453" s="128">
        <v>0.27</v>
      </c>
      <c r="Q453" s="128">
        <v>2.35</v>
      </c>
      <c r="R453" s="129" t="str">
        <f t="shared" si="1"/>
        <v>OptionStrat</v>
      </c>
      <c r="S453" s="125" t="s">
        <v>622</v>
      </c>
      <c r="T453" s="125" t="s">
        <v>181</v>
      </c>
      <c r="U453" s="131">
        <v>0.55</v>
      </c>
    </row>
    <row r="454">
      <c r="A454" s="132" t="s">
        <v>28</v>
      </c>
      <c r="B454" s="132" t="s">
        <v>171</v>
      </c>
      <c r="C454" s="133">
        <v>510.0</v>
      </c>
      <c r="D454" s="133">
        <v>650.0</v>
      </c>
      <c r="E454" s="133">
        <v>140.0</v>
      </c>
      <c r="F454" s="134">
        <v>30.05</v>
      </c>
      <c r="G454" s="134">
        <v>109.95</v>
      </c>
      <c r="H454" s="135">
        <v>3.66</v>
      </c>
      <c r="I454" s="134">
        <v>72.68</v>
      </c>
      <c r="J454" s="135">
        <v>2.42</v>
      </c>
      <c r="K454" s="135">
        <v>0.64</v>
      </c>
      <c r="L454" s="135">
        <v>0.54</v>
      </c>
      <c r="M454" s="133">
        <v>45.0</v>
      </c>
      <c r="N454" s="133">
        <v>220.0</v>
      </c>
      <c r="O454" s="135">
        <v>0.99</v>
      </c>
      <c r="P454" s="135">
        <v>0.29</v>
      </c>
      <c r="Q454" s="135">
        <v>2.35</v>
      </c>
      <c r="R454" s="136" t="str">
        <f t="shared" si="1"/>
        <v>OptionStrat</v>
      </c>
      <c r="S454" s="132" t="s">
        <v>623</v>
      </c>
      <c r="T454" s="137"/>
      <c r="U454" s="138">
        <v>0.55</v>
      </c>
    </row>
    <row r="455">
      <c r="A455" s="125" t="s">
        <v>28</v>
      </c>
      <c r="B455" s="125" t="s">
        <v>171</v>
      </c>
      <c r="C455" s="126">
        <v>520.0</v>
      </c>
      <c r="D455" s="126">
        <v>640.0</v>
      </c>
      <c r="E455" s="126">
        <v>120.0</v>
      </c>
      <c r="F455" s="127">
        <v>25.67</v>
      </c>
      <c r="G455" s="127">
        <v>94.33</v>
      </c>
      <c r="H455" s="128">
        <v>3.67</v>
      </c>
      <c r="I455" s="127">
        <v>63.4</v>
      </c>
      <c r="J455" s="128">
        <v>2.47</v>
      </c>
      <c r="K455" s="128">
        <v>0.64</v>
      </c>
      <c r="L455" s="128">
        <v>0.55</v>
      </c>
      <c r="M455" s="126">
        <v>82.0</v>
      </c>
      <c r="N455" s="126">
        <v>112.0</v>
      </c>
      <c r="O455" s="128">
        <v>0.96</v>
      </c>
      <c r="P455" s="128">
        <v>0.3</v>
      </c>
      <c r="Q455" s="128">
        <v>2.35</v>
      </c>
      <c r="R455" s="129" t="str">
        <f t="shared" si="1"/>
        <v>OptionStrat</v>
      </c>
      <c r="S455" s="125" t="s">
        <v>624</v>
      </c>
      <c r="T455" s="130"/>
      <c r="U455" s="131">
        <v>0.55</v>
      </c>
    </row>
    <row r="456">
      <c r="A456" s="132" t="s">
        <v>28</v>
      </c>
      <c r="B456" s="132" t="s">
        <v>171</v>
      </c>
      <c r="C456" s="133">
        <v>530.0</v>
      </c>
      <c r="D456" s="133">
        <v>580.0</v>
      </c>
      <c r="E456" s="133">
        <v>50.0</v>
      </c>
      <c r="F456" s="134">
        <v>11.1</v>
      </c>
      <c r="G456" s="134">
        <v>38.9</v>
      </c>
      <c r="H456" s="135">
        <v>3.5</v>
      </c>
      <c r="I456" s="134">
        <v>28.84</v>
      </c>
      <c r="J456" s="135">
        <v>2.6</v>
      </c>
      <c r="K456" s="135">
        <v>0.63</v>
      </c>
      <c r="L456" s="135">
        <v>0.59</v>
      </c>
      <c r="M456" s="133">
        <v>60.0</v>
      </c>
      <c r="N456" s="133">
        <v>50.0</v>
      </c>
      <c r="O456" s="135">
        <v>0.55</v>
      </c>
      <c r="P456" s="135">
        <v>0.31</v>
      </c>
      <c r="Q456" s="135">
        <v>2.35</v>
      </c>
      <c r="R456" s="136" t="str">
        <f t="shared" si="1"/>
        <v>OptionStrat</v>
      </c>
      <c r="S456" s="132" t="s">
        <v>625</v>
      </c>
      <c r="T456" s="137"/>
      <c r="U456" s="138">
        <v>0.55</v>
      </c>
    </row>
    <row r="457">
      <c r="A457" s="125" t="s">
        <v>28</v>
      </c>
      <c r="B457" s="125" t="s">
        <v>169</v>
      </c>
      <c r="C457" s="126">
        <v>370.0</v>
      </c>
      <c r="D457" s="126">
        <v>480.0</v>
      </c>
      <c r="E457" s="126">
        <v>110.0</v>
      </c>
      <c r="F457" s="127">
        <v>38.52</v>
      </c>
      <c r="G457" s="127">
        <v>71.48</v>
      </c>
      <c r="H457" s="128">
        <v>1.86</v>
      </c>
      <c r="I457" s="127">
        <v>52.39</v>
      </c>
      <c r="J457" s="128">
        <v>1.36</v>
      </c>
      <c r="K457" s="128">
        <v>0.75</v>
      </c>
      <c r="L457" s="128">
        <v>0.64</v>
      </c>
      <c r="M457" s="126">
        <v>326.0</v>
      </c>
      <c r="N457" s="126">
        <v>403.0</v>
      </c>
      <c r="O457" s="128">
        <v>3.62</v>
      </c>
      <c r="P457" s="128">
        <v>0.44</v>
      </c>
      <c r="Q457" s="128">
        <v>2.34</v>
      </c>
      <c r="R457" s="129" t="str">
        <f t="shared" si="1"/>
        <v>OptionStrat</v>
      </c>
      <c r="S457" s="125" t="s">
        <v>626</v>
      </c>
      <c r="T457" s="130"/>
      <c r="U457" s="131">
        <v>0.55</v>
      </c>
    </row>
    <row r="458">
      <c r="A458" s="132" t="s">
        <v>28</v>
      </c>
      <c r="B458" s="132" t="s">
        <v>169</v>
      </c>
      <c r="C458" s="133">
        <v>390.0</v>
      </c>
      <c r="D458" s="133">
        <v>530.0</v>
      </c>
      <c r="E458" s="133">
        <v>140.0</v>
      </c>
      <c r="F458" s="134">
        <v>44.0</v>
      </c>
      <c r="G458" s="134">
        <v>96.0</v>
      </c>
      <c r="H458" s="135">
        <v>2.18</v>
      </c>
      <c r="I458" s="134">
        <v>70.76</v>
      </c>
      <c r="J458" s="135">
        <v>1.61</v>
      </c>
      <c r="K458" s="135">
        <v>0.73</v>
      </c>
      <c r="L458" s="135">
        <v>0.6</v>
      </c>
      <c r="M458" s="133">
        <v>92.0</v>
      </c>
      <c r="N458" s="133">
        <v>171.0</v>
      </c>
      <c r="O458" s="135">
        <v>1.25</v>
      </c>
      <c r="P458" s="135">
        <v>0.45</v>
      </c>
      <c r="Q458" s="135">
        <v>2.34</v>
      </c>
      <c r="R458" s="136" t="str">
        <f t="shared" si="1"/>
        <v>OptionStrat</v>
      </c>
      <c r="S458" s="132" t="s">
        <v>627</v>
      </c>
      <c r="T458" s="137"/>
      <c r="U458" s="138">
        <v>0.55</v>
      </c>
    </row>
    <row r="459">
      <c r="A459" s="125" t="s">
        <v>28</v>
      </c>
      <c r="B459" s="125" t="s">
        <v>169</v>
      </c>
      <c r="C459" s="126">
        <v>420.0</v>
      </c>
      <c r="D459" s="126">
        <v>570.0</v>
      </c>
      <c r="E459" s="126">
        <v>150.0</v>
      </c>
      <c r="F459" s="127">
        <v>42.1</v>
      </c>
      <c r="G459" s="127">
        <v>107.9</v>
      </c>
      <c r="H459" s="128">
        <v>2.56</v>
      </c>
      <c r="I459" s="127">
        <v>73.97</v>
      </c>
      <c r="J459" s="128">
        <v>1.76</v>
      </c>
      <c r="K459" s="128">
        <v>0.7</v>
      </c>
      <c r="L459" s="128">
        <v>0.56</v>
      </c>
      <c r="M459" s="126">
        <v>290.0</v>
      </c>
      <c r="N459" s="126">
        <v>254.0</v>
      </c>
      <c r="O459" s="128">
        <v>2.71</v>
      </c>
      <c r="P459" s="128">
        <v>0.62</v>
      </c>
      <c r="Q459" s="128">
        <v>2.34</v>
      </c>
      <c r="R459" s="129" t="str">
        <f t="shared" si="1"/>
        <v>OptionStrat</v>
      </c>
      <c r="S459" s="125" t="s">
        <v>628</v>
      </c>
      <c r="T459" s="130"/>
      <c r="U459" s="131">
        <v>0.55</v>
      </c>
    </row>
    <row r="460">
      <c r="A460" s="132" t="s">
        <v>28</v>
      </c>
      <c r="B460" s="132" t="s">
        <v>169</v>
      </c>
      <c r="C460" s="133">
        <v>430.0</v>
      </c>
      <c r="D460" s="133">
        <v>570.0</v>
      </c>
      <c r="E460" s="133">
        <v>140.0</v>
      </c>
      <c r="F460" s="134">
        <v>38.6</v>
      </c>
      <c r="G460" s="134">
        <v>101.4</v>
      </c>
      <c r="H460" s="135">
        <v>2.63</v>
      </c>
      <c r="I460" s="134">
        <v>69.61</v>
      </c>
      <c r="J460" s="135">
        <v>1.8</v>
      </c>
      <c r="K460" s="135">
        <v>0.69</v>
      </c>
      <c r="L460" s="135">
        <v>0.56</v>
      </c>
      <c r="M460" s="133">
        <v>230.0</v>
      </c>
      <c r="N460" s="133">
        <v>254.0</v>
      </c>
      <c r="O460" s="135">
        <v>2.42</v>
      </c>
      <c r="P460" s="135">
        <v>0.62</v>
      </c>
      <c r="Q460" s="135">
        <v>2.34</v>
      </c>
      <c r="R460" s="136" t="str">
        <f t="shared" si="1"/>
        <v>OptionStrat</v>
      </c>
      <c r="S460" s="132" t="s">
        <v>629</v>
      </c>
      <c r="T460" s="137"/>
      <c r="U460" s="138">
        <v>0.55</v>
      </c>
    </row>
    <row r="461">
      <c r="A461" s="125" t="s">
        <v>28</v>
      </c>
      <c r="B461" s="125" t="s">
        <v>169</v>
      </c>
      <c r="C461" s="126">
        <v>440.0</v>
      </c>
      <c r="D461" s="126">
        <v>560.0</v>
      </c>
      <c r="E461" s="126">
        <v>120.0</v>
      </c>
      <c r="F461" s="127">
        <v>33.03</v>
      </c>
      <c r="G461" s="127">
        <v>86.97</v>
      </c>
      <c r="H461" s="128">
        <v>2.63</v>
      </c>
      <c r="I461" s="127">
        <v>61.04</v>
      </c>
      <c r="J461" s="128">
        <v>1.85</v>
      </c>
      <c r="K461" s="128">
        <v>0.68</v>
      </c>
      <c r="L461" s="128">
        <v>0.57</v>
      </c>
      <c r="M461" s="126">
        <v>208.0</v>
      </c>
      <c r="N461" s="126">
        <v>183.0</v>
      </c>
      <c r="O461" s="128">
        <v>1.95</v>
      </c>
      <c r="P461" s="128">
        <v>0.62</v>
      </c>
      <c r="Q461" s="128">
        <v>2.34</v>
      </c>
      <c r="R461" s="129" t="str">
        <f t="shared" si="1"/>
        <v>OptionStrat</v>
      </c>
      <c r="S461" s="125" t="s">
        <v>630</v>
      </c>
      <c r="T461" s="130"/>
      <c r="U461" s="131">
        <v>0.55</v>
      </c>
    </row>
    <row r="462">
      <c r="A462" s="132" t="s">
        <v>28</v>
      </c>
      <c r="B462" s="132" t="s">
        <v>169</v>
      </c>
      <c r="C462" s="133">
        <v>440.0</v>
      </c>
      <c r="D462" s="133">
        <v>580.0</v>
      </c>
      <c r="E462" s="133">
        <v>140.0</v>
      </c>
      <c r="F462" s="134">
        <v>37.42</v>
      </c>
      <c r="G462" s="134">
        <v>102.58</v>
      </c>
      <c r="H462" s="135">
        <v>2.74</v>
      </c>
      <c r="I462" s="134">
        <v>69.06</v>
      </c>
      <c r="J462" s="135">
        <v>1.85</v>
      </c>
      <c r="K462" s="135">
        <v>0.68</v>
      </c>
      <c r="L462" s="135">
        <v>0.56</v>
      </c>
      <c r="M462" s="133">
        <v>208.0</v>
      </c>
      <c r="N462" s="133">
        <v>263.0</v>
      </c>
      <c r="O462" s="135">
        <v>2.34</v>
      </c>
      <c r="P462" s="135">
        <v>0.63</v>
      </c>
      <c r="Q462" s="135">
        <v>2.34</v>
      </c>
      <c r="R462" s="136" t="str">
        <f t="shared" si="1"/>
        <v>OptionStrat</v>
      </c>
      <c r="S462" s="132" t="s">
        <v>631</v>
      </c>
      <c r="T462" s="137"/>
      <c r="U462" s="138">
        <v>0.55</v>
      </c>
    </row>
    <row r="463">
      <c r="A463" s="125" t="s">
        <v>28</v>
      </c>
      <c r="B463" s="125" t="s">
        <v>169</v>
      </c>
      <c r="C463" s="126">
        <v>510.0</v>
      </c>
      <c r="D463" s="126">
        <v>590.0</v>
      </c>
      <c r="E463" s="126">
        <v>80.0</v>
      </c>
      <c r="F463" s="127">
        <v>18.7</v>
      </c>
      <c r="G463" s="127">
        <v>61.3</v>
      </c>
      <c r="H463" s="128">
        <v>3.28</v>
      </c>
      <c r="I463" s="127">
        <v>40.8</v>
      </c>
      <c r="J463" s="128">
        <v>2.18</v>
      </c>
      <c r="K463" s="128">
        <v>0.62</v>
      </c>
      <c r="L463" s="128">
        <v>0.55</v>
      </c>
      <c r="M463" s="126">
        <v>359.0</v>
      </c>
      <c r="N463" s="126">
        <v>72.0</v>
      </c>
      <c r="O463" s="128">
        <v>1.61</v>
      </c>
      <c r="P463" s="128">
        <v>0.65</v>
      </c>
      <c r="Q463" s="128">
        <v>2.34</v>
      </c>
      <c r="R463" s="129" t="str">
        <f t="shared" si="1"/>
        <v>OptionStrat</v>
      </c>
      <c r="S463" s="125" t="s">
        <v>632</v>
      </c>
      <c r="T463" s="130"/>
      <c r="U463" s="131">
        <v>0.55</v>
      </c>
    </row>
    <row r="464">
      <c r="A464" s="132" t="s">
        <v>28</v>
      </c>
      <c r="B464" s="132" t="s">
        <v>169</v>
      </c>
      <c r="C464" s="133">
        <v>560.0</v>
      </c>
      <c r="D464" s="133">
        <v>670.0</v>
      </c>
      <c r="E464" s="133">
        <v>110.0</v>
      </c>
      <c r="F464" s="134">
        <v>21.52</v>
      </c>
      <c r="G464" s="134">
        <v>88.48</v>
      </c>
      <c r="H464" s="135">
        <v>4.11</v>
      </c>
      <c r="I464" s="134">
        <v>50.95</v>
      </c>
      <c r="J464" s="135">
        <v>2.37</v>
      </c>
      <c r="K464" s="135">
        <v>0.57</v>
      </c>
      <c r="L464" s="135">
        <v>0.49</v>
      </c>
      <c r="M464" s="133">
        <v>183.0</v>
      </c>
      <c r="N464" s="133">
        <v>228.0</v>
      </c>
      <c r="O464" s="135">
        <v>2.04</v>
      </c>
      <c r="P464" s="135">
        <v>1.14</v>
      </c>
      <c r="Q464" s="135">
        <v>2.34</v>
      </c>
      <c r="R464" s="136" t="str">
        <f t="shared" si="1"/>
        <v>OptionStrat</v>
      </c>
      <c r="S464" s="132" t="s">
        <v>633</v>
      </c>
      <c r="T464" s="137"/>
      <c r="U464" s="138">
        <v>0.55</v>
      </c>
    </row>
    <row r="465">
      <c r="A465" s="125" t="s">
        <v>28</v>
      </c>
      <c r="B465" s="125" t="s">
        <v>169</v>
      </c>
      <c r="C465" s="126">
        <v>560.0</v>
      </c>
      <c r="D465" s="126">
        <v>680.0</v>
      </c>
      <c r="E465" s="126">
        <v>120.0</v>
      </c>
      <c r="F465" s="127">
        <v>23.2</v>
      </c>
      <c r="G465" s="127">
        <v>96.8</v>
      </c>
      <c r="H465" s="128">
        <v>4.17</v>
      </c>
      <c r="I465" s="127">
        <v>54.72</v>
      </c>
      <c r="J465" s="128">
        <v>2.36</v>
      </c>
      <c r="K465" s="128">
        <v>0.57</v>
      </c>
      <c r="L465" s="128">
        <v>0.48</v>
      </c>
      <c r="M465" s="126">
        <v>183.0</v>
      </c>
      <c r="N465" s="126">
        <v>245.0</v>
      </c>
      <c r="O465" s="128">
        <v>2.12</v>
      </c>
      <c r="P465" s="128">
        <v>1.11</v>
      </c>
      <c r="Q465" s="128">
        <v>2.34</v>
      </c>
      <c r="R465" s="129" t="str">
        <f t="shared" si="1"/>
        <v>OptionStrat</v>
      </c>
      <c r="S465" s="125" t="s">
        <v>634</v>
      </c>
      <c r="T465" s="130"/>
      <c r="U465" s="131">
        <v>0.55</v>
      </c>
    </row>
    <row r="466">
      <c r="A466" s="132" t="s">
        <v>28</v>
      </c>
      <c r="B466" s="132" t="s">
        <v>169</v>
      </c>
      <c r="C466" s="133">
        <v>590.0</v>
      </c>
      <c r="D466" s="133">
        <v>620.0</v>
      </c>
      <c r="E466" s="133">
        <v>30.0</v>
      </c>
      <c r="F466" s="134">
        <v>6.05</v>
      </c>
      <c r="G466" s="134">
        <v>23.95</v>
      </c>
      <c r="H466" s="135">
        <v>3.96</v>
      </c>
      <c r="I466" s="134">
        <v>15.17</v>
      </c>
      <c r="J466" s="135">
        <v>2.51</v>
      </c>
      <c r="K466" s="135">
        <v>0.55</v>
      </c>
      <c r="L466" s="135">
        <v>0.53</v>
      </c>
      <c r="M466" s="133">
        <v>72.0</v>
      </c>
      <c r="N466" s="133">
        <v>426.0</v>
      </c>
      <c r="O466" s="135">
        <v>1.75</v>
      </c>
      <c r="P466" s="135">
        <v>1.11</v>
      </c>
      <c r="Q466" s="135">
        <v>2.34</v>
      </c>
      <c r="R466" s="136" t="str">
        <f t="shared" si="1"/>
        <v>OptionStrat</v>
      </c>
      <c r="S466" s="132" t="s">
        <v>635</v>
      </c>
      <c r="T466" s="137"/>
      <c r="U466" s="138">
        <v>0.55</v>
      </c>
    </row>
    <row r="467">
      <c r="A467" s="125" t="s">
        <v>28</v>
      </c>
      <c r="B467" s="125" t="s">
        <v>171</v>
      </c>
      <c r="C467" s="126">
        <v>420.0</v>
      </c>
      <c r="D467" s="126">
        <v>460.0</v>
      </c>
      <c r="E467" s="126">
        <v>40.0</v>
      </c>
      <c r="F467" s="127">
        <v>12.65</v>
      </c>
      <c r="G467" s="127">
        <v>27.35</v>
      </c>
      <c r="H467" s="128">
        <v>2.16</v>
      </c>
      <c r="I467" s="127">
        <v>20.15</v>
      </c>
      <c r="J467" s="128">
        <v>1.59</v>
      </c>
      <c r="K467" s="128">
        <v>0.72</v>
      </c>
      <c r="L467" s="128">
        <v>0.68</v>
      </c>
      <c r="M467" s="126">
        <v>131.0</v>
      </c>
      <c r="N467" s="126">
        <v>90.0</v>
      </c>
      <c r="O467" s="128">
        <v>1.09</v>
      </c>
      <c r="P467" s="128">
        <v>0.27</v>
      </c>
      <c r="Q467" s="128">
        <v>2.34</v>
      </c>
      <c r="R467" s="129" t="str">
        <f t="shared" si="1"/>
        <v>OptionStrat</v>
      </c>
      <c r="S467" s="125" t="s">
        <v>636</v>
      </c>
      <c r="T467" s="130"/>
      <c r="U467" s="131">
        <v>0.55</v>
      </c>
    </row>
    <row r="468">
      <c r="A468" s="132" t="s">
        <v>28</v>
      </c>
      <c r="B468" s="132" t="s">
        <v>171</v>
      </c>
      <c r="C468" s="133">
        <v>520.0</v>
      </c>
      <c r="D468" s="133">
        <v>580.0</v>
      </c>
      <c r="E468" s="133">
        <v>60.0</v>
      </c>
      <c r="F468" s="134">
        <v>13.9</v>
      </c>
      <c r="G468" s="134">
        <v>46.1</v>
      </c>
      <c r="H468" s="135">
        <v>3.32</v>
      </c>
      <c r="I468" s="134">
        <v>34.13</v>
      </c>
      <c r="J468" s="135">
        <v>2.46</v>
      </c>
      <c r="K468" s="135">
        <v>0.64</v>
      </c>
      <c r="L468" s="135">
        <v>0.59</v>
      </c>
      <c r="M468" s="133">
        <v>82.0</v>
      </c>
      <c r="N468" s="133">
        <v>50.0</v>
      </c>
      <c r="O468" s="135">
        <v>0.64</v>
      </c>
      <c r="P468" s="135">
        <v>0.27</v>
      </c>
      <c r="Q468" s="135">
        <v>2.34</v>
      </c>
      <c r="R468" s="136" t="str">
        <f t="shared" si="1"/>
        <v>OptionStrat</v>
      </c>
      <c r="S468" s="132" t="s">
        <v>637</v>
      </c>
      <c r="T468" s="137"/>
      <c r="U468" s="138">
        <v>0.55</v>
      </c>
    </row>
    <row r="469">
      <c r="A469" s="125" t="s">
        <v>28</v>
      </c>
      <c r="B469" s="125" t="s">
        <v>171</v>
      </c>
      <c r="C469" s="126">
        <v>530.0</v>
      </c>
      <c r="D469" s="126">
        <v>640.0</v>
      </c>
      <c r="E469" s="126">
        <v>110.0</v>
      </c>
      <c r="F469" s="127">
        <v>22.88</v>
      </c>
      <c r="G469" s="127">
        <v>87.12</v>
      </c>
      <c r="H469" s="128">
        <v>3.81</v>
      </c>
      <c r="I469" s="127">
        <v>58.67</v>
      </c>
      <c r="J469" s="128">
        <v>2.56</v>
      </c>
      <c r="K469" s="128">
        <v>0.63</v>
      </c>
      <c r="L469" s="128">
        <v>0.55</v>
      </c>
      <c r="M469" s="126">
        <v>60.0</v>
      </c>
      <c r="N469" s="126">
        <v>112.0</v>
      </c>
      <c r="O469" s="128">
        <v>0.82</v>
      </c>
      <c r="P469" s="128">
        <v>0.34</v>
      </c>
      <c r="Q469" s="128">
        <v>2.34</v>
      </c>
      <c r="R469" s="129" t="str">
        <f t="shared" si="1"/>
        <v>OptionStrat</v>
      </c>
      <c r="S469" s="125" t="s">
        <v>638</v>
      </c>
      <c r="T469" s="130"/>
      <c r="U469" s="131">
        <v>0.55</v>
      </c>
    </row>
    <row r="470">
      <c r="A470" s="132" t="s">
        <v>28</v>
      </c>
      <c r="B470" s="132" t="s">
        <v>169</v>
      </c>
      <c r="C470" s="133">
        <v>380.0</v>
      </c>
      <c r="D470" s="133">
        <v>530.0</v>
      </c>
      <c r="E470" s="133">
        <v>150.0</v>
      </c>
      <c r="F470" s="134">
        <v>47.8</v>
      </c>
      <c r="G470" s="134">
        <v>102.2</v>
      </c>
      <c r="H470" s="135">
        <v>2.14</v>
      </c>
      <c r="I470" s="134">
        <v>75.28</v>
      </c>
      <c r="J470" s="135">
        <v>1.57</v>
      </c>
      <c r="K470" s="135">
        <v>0.74</v>
      </c>
      <c r="L470" s="135">
        <v>0.6</v>
      </c>
      <c r="M470" s="133">
        <v>106.0</v>
      </c>
      <c r="N470" s="133">
        <v>171.0</v>
      </c>
      <c r="O470" s="135">
        <v>1.35</v>
      </c>
      <c r="P470" s="135">
        <v>0.47</v>
      </c>
      <c r="Q470" s="135">
        <v>2.33</v>
      </c>
      <c r="R470" s="136" t="str">
        <f t="shared" si="1"/>
        <v>OptionStrat</v>
      </c>
      <c r="S470" s="132" t="s">
        <v>639</v>
      </c>
      <c r="T470" s="137"/>
      <c r="U470" s="138">
        <v>0.55</v>
      </c>
    </row>
    <row r="471">
      <c r="A471" s="125" t="s">
        <v>28</v>
      </c>
      <c r="B471" s="125" t="s">
        <v>169</v>
      </c>
      <c r="C471" s="126">
        <v>400.0</v>
      </c>
      <c r="D471" s="126">
        <v>430.0</v>
      </c>
      <c r="E471" s="126">
        <v>30.0</v>
      </c>
      <c r="F471" s="127">
        <v>10.8</v>
      </c>
      <c r="G471" s="127">
        <v>19.2</v>
      </c>
      <c r="H471" s="128">
        <v>1.78</v>
      </c>
      <c r="I471" s="127">
        <v>14.05</v>
      </c>
      <c r="J471" s="128">
        <v>1.3</v>
      </c>
      <c r="K471" s="128">
        <v>0.72</v>
      </c>
      <c r="L471" s="128">
        <v>0.69</v>
      </c>
      <c r="M471" s="126">
        <v>1326.0</v>
      </c>
      <c r="N471" s="126">
        <v>230.0</v>
      </c>
      <c r="O471" s="128">
        <v>5.52</v>
      </c>
      <c r="P471" s="128">
        <v>0.44</v>
      </c>
      <c r="Q471" s="128">
        <v>2.33</v>
      </c>
      <c r="R471" s="129" t="str">
        <f t="shared" si="1"/>
        <v>OptionStrat</v>
      </c>
      <c r="S471" s="125" t="s">
        <v>640</v>
      </c>
      <c r="T471" s="130"/>
      <c r="U471" s="131">
        <v>0.55</v>
      </c>
    </row>
    <row r="472">
      <c r="A472" s="132" t="s">
        <v>28</v>
      </c>
      <c r="B472" s="132" t="s">
        <v>169</v>
      </c>
      <c r="C472" s="133">
        <v>520.0</v>
      </c>
      <c r="D472" s="133">
        <v>670.0</v>
      </c>
      <c r="E472" s="133">
        <v>150.0</v>
      </c>
      <c r="F472" s="134">
        <v>31.02</v>
      </c>
      <c r="G472" s="134">
        <v>118.98</v>
      </c>
      <c r="H472" s="135">
        <v>3.84</v>
      </c>
      <c r="I472" s="134">
        <v>68.06</v>
      </c>
      <c r="J472" s="135">
        <v>2.19</v>
      </c>
      <c r="K472" s="135">
        <v>0.61</v>
      </c>
      <c r="L472" s="135">
        <v>0.49</v>
      </c>
      <c r="M472" s="133">
        <v>281.0</v>
      </c>
      <c r="N472" s="133">
        <v>228.0</v>
      </c>
      <c r="O472" s="135">
        <v>2.53</v>
      </c>
      <c r="P472" s="135">
        <v>0.68</v>
      </c>
      <c r="Q472" s="135">
        <v>2.33</v>
      </c>
      <c r="R472" s="136" t="str">
        <f t="shared" si="1"/>
        <v>OptionStrat</v>
      </c>
      <c r="S472" s="132" t="s">
        <v>641</v>
      </c>
      <c r="T472" s="137"/>
      <c r="U472" s="138">
        <v>0.55</v>
      </c>
    </row>
    <row r="473">
      <c r="A473" s="125" t="s">
        <v>28</v>
      </c>
      <c r="B473" s="125" t="s">
        <v>169</v>
      </c>
      <c r="C473" s="126">
        <v>560.0</v>
      </c>
      <c r="D473" s="126">
        <v>640.0</v>
      </c>
      <c r="E473" s="126">
        <v>80.0</v>
      </c>
      <c r="F473" s="127">
        <v>16.3</v>
      </c>
      <c r="G473" s="127">
        <v>63.7</v>
      </c>
      <c r="H473" s="128">
        <v>3.91</v>
      </c>
      <c r="I473" s="127">
        <v>38.76</v>
      </c>
      <c r="J473" s="128">
        <v>2.38</v>
      </c>
      <c r="K473" s="128">
        <v>0.57</v>
      </c>
      <c r="L473" s="128">
        <v>0.51</v>
      </c>
      <c r="M473" s="126">
        <v>183.0</v>
      </c>
      <c r="N473" s="126">
        <v>222.0</v>
      </c>
      <c r="O473" s="128">
        <v>2.02</v>
      </c>
      <c r="P473" s="128">
        <v>1.11</v>
      </c>
      <c r="Q473" s="128">
        <v>2.33</v>
      </c>
      <c r="R473" s="129" t="str">
        <f t="shared" si="1"/>
        <v>OptionStrat</v>
      </c>
      <c r="S473" s="125" t="s">
        <v>642</v>
      </c>
      <c r="T473" s="130"/>
      <c r="U473" s="131">
        <v>0.55</v>
      </c>
    </row>
    <row r="474">
      <c r="A474" s="132" t="s">
        <v>28</v>
      </c>
      <c r="B474" s="132" t="s">
        <v>171</v>
      </c>
      <c r="C474" s="133">
        <v>360.0</v>
      </c>
      <c r="D474" s="133">
        <v>490.0</v>
      </c>
      <c r="E474" s="133">
        <v>130.0</v>
      </c>
      <c r="F474" s="134">
        <v>43.38</v>
      </c>
      <c r="G474" s="134">
        <v>86.62</v>
      </c>
      <c r="H474" s="135">
        <v>2.0</v>
      </c>
      <c r="I474" s="134">
        <v>63.67</v>
      </c>
      <c r="J474" s="135">
        <v>1.47</v>
      </c>
      <c r="K474" s="135">
        <v>0.77</v>
      </c>
      <c r="L474" s="135">
        <v>0.66</v>
      </c>
      <c r="M474" s="133">
        <v>212.0</v>
      </c>
      <c r="N474" s="133">
        <v>93.0</v>
      </c>
      <c r="O474" s="135">
        <v>1.4</v>
      </c>
      <c r="P474" s="135">
        <v>0.26</v>
      </c>
      <c r="Q474" s="135">
        <v>2.33</v>
      </c>
      <c r="R474" s="136" t="str">
        <f t="shared" si="1"/>
        <v>OptionStrat</v>
      </c>
      <c r="S474" s="132" t="s">
        <v>643</v>
      </c>
      <c r="T474" s="137"/>
      <c r="U474" s="138">
        <v>0.55</v>
      </c>
    </row>
    <row r="475">
      <c r="A475" s="125" t="s">
        <v>28</v>
      </c>
      <c r="B475" s="125" t="s">
        <v>171</v>
      </c>
      <c r="C475" s="126">
        <v>390.0</v>
      </c>
      <c r="D475" s="126">
        <v>520.0</v>
      </c>
      <c r="E475" s="126">
        <v>130.0</v>
      </c>
      <c r="F475" s="127">
        <v>39.63</v>
      </c>
      <c r="G475" s="127">
        <v>90.37</v>
      </c>
      <c r="H475" s="128">
        <v>2.28</v>
      </c>
      <c r="I475" s="127">
        <v>66.7</v>
      </c>
      <c r="J475" s="128">
        <v>1.68</v>
      </c>
      <c r="K475" s="128">
        <v>0.75</v>
      </c>
      <c r="L475" s="128">
        <v>0.64</v>
      </c>
      <c r="M475" s="126">
        <v>48.0</v>
      </c>
      <c r="N475" s="126">
        <v>82.0</v>
      </c>
      <c r="O475" s="128">
        <v>0.63</v>
      </c>
      <c r="P475" s="128">
        <v>0.27</v>
      </c>
      <c r="Q475" s="128">
        <v>2.33</v>
      </c>
      <c r="R475" s="129" t="str">
        <f t="shared" si="1"/>
        <v>OptionStrat</v>
      </c>
      <c r="S475" s="125" t="s">
        <v>644</v>
      </c>
      <c r="T475" s="130"/>
      <c r="U475" s="131">
        <v>0.55</v>
      </c>
    </row>
    <row r="476">
      <c r="A476" s="132" t="s">
        <v>28</v>
      </c>
      <c r="B476" s="132" t="s">
        <v>171</v>
      </c>
      <c r="C476" s="133">
        <v>390.0</v>
      </c>
      <c r="D476" s="133">
        <v>530.0</v>
      </c>
      <c r="E476" s="133">
        <v>140.0</v>
      </c>
      <c r="F476" s="134">
        <v>42.42</v>
      </c>
      <c r="G476" s="134">
        <v>97.58</v>
      </c>
      <c r="H476" s="135">
        <v>2.3</v>
      </c>
      <c r="I476" s="134">
        <v>72.04</v>
      </c>
      <c r="J476" s="135">
        <v>1.7</v>
      </c>
      <c r="K476" s="135">
        <v>0.75</v>
      </c>
      <c r="L476" s="135">
        <v>0.63</v>
      </c>
      <c r="M476" s="133">
        <v>48.0</v>
      </c>
      <c r="N476" s="133">
        <v>60.0</v>
      </c>
      <c r="O476" s="135">
        <v>0.54</v>
      </c>
      <c r="P476" s="135">
        <v>0.31</v>
      </c>
      <c r="Q476" s="135">
        <v>2.33</v>
      </c>
      <c r="R476" s="136" t="str">
        <f t="shared" si="1"/>
        <v>OptionStrat</v>
      </c>
      <c r="S476" s="132" t="s">
        <v>645</v>
      </c>
      <c r="T476" s="137"/>
      <c r="U476" s="138">
        <v>0.55</v>
      </c>
    </row>
    <row r="477">
      <c r="A477" s="125" t="s">
        <v>28</v>
      </c>
      <c r="B477" s="125" t="s">
        <v>171</v>
      </c>
      <c r="C477" s="126">
        <v>400.0</v>
      </c>
      <c r="D477" s="126">
        <v>430.0</v>
      </c>
      <c r="E477" s="126">
        <v>30.0</v>
      </c>
      <c r="F477" s="127">
        <v>10.7</v>
      </c>
      <c r="G477" s="127">
        <v>19.3</v>
      </c>
      <c r="H477" s="128">
        <v>1.8</v>
      </c>
      <c r="I477" s="127">
        <v>14.13</v>
      </c>
      <c r="J477" s="128">
        <v>1.32</v>
      </c>
      <c r="K477" s="128">
        <v>0.74</v>
      </c>
      <c r="L477" s="128">
        <v>0.71</v>
      </c>
      <c r="M477" s="126">
        <v>369.0</v>
      </c>
      <c r="N477" s="126">
        <v>213.0</v>
      </c>
      <c r="O477" s="128">
        <v>2.8</v>
      </c>
      <c r="P477" s="128">
        <v>0.33</v>
      </c>
      <c r="Q477" s="128">
        <v>2.33</v>
      </c>
      <c r="R477" s="129" t="str">
        <f t="shared" si="1"/>
        <v>OptionStrat</v>
      </c>
      <c r="S477" s="125" t="s">
        <v>646</v>
      </c>
      <c r="T477" s="130"/>
      <c r="U477" s="131">
        <v>0.55</v>
      </c>
    </row>
    <row r="478">
      <c r="A478" s="132" t="s">
        <v>28</v>
      </c>
      <c r="B478" s="132" t="s">
        <v>171</v>
      </c>
      <c r="C478" s="133">
        <v>610.0</v>
      </c>
      <c r="D478" s="133">
        <v>650.0</v>
      </c>
      <c r="E478" s="133">
        <v>40.0</v>
      </c>
      <c r="F478" s="134">
        <v>7.43</v>
      </c>
      <c r="G478" s="134">
        <v>32.57</v>
      </c>
      <c r="H478" s="135">
        <v>4.38</v>
      </c>
      <c r="I478" s="134">
        <v>21.73</v>
      </c>
      <c r="J478" s="135">
        <v>2.92</v>
      </c>
      <c r="K478" s="135">
        <v>0.57</v>
      </c>
      <c r="L478" s="135">
        <v>0.54</v>
      </c>
      <c r="M478" s="133">
        <v>26.0</v>
      </c>
      <c r="N478" s="133">
        <v>220.0</v>
      </c>
      <c r="O478" s="135">
        <v>0.76</v>
      </c>
      <c r="P478" s="135">
        <v>0.32</v>
      </c>
      <c r="Q478" s="135">
        <v>2.33</v>
      </c>
      <c r="R478" s="136" t="str">
        <f t="shared" si="1"/>
        <v>OptionStrat</v>
      </c>
      <c r="S478" s="132" t="s">
        <v>647</v>
      </c>
      <c r="T478" s="137"/>
      <c r="U478" s="138">
        <v>0.55</v>
      </c>
    </row>
    <row r="479">
      <c r="A479" s="125" t="s">
        <v>28</v>
      </c>
      <c r="B479" s="125" t="s">
        <v>169</v>
      </c>
      <c r="C479" s="126">
        <v>400.0</v>
      </c>
      <c r="D479" s="126">
        <v>420.0</v>
      </c>
      <c r="E479" s="126">
        <v>20.0</v>
      </c>
      <c r="F479" s="127">
        <v>7.3</v>
      </c>
      <c r="G479" s="127">
        <v>12.7</v>
      </c>
      <c r="H479" s="128">
        <v>1.74</v>
      </c>
      <c r="I479" s="127">
        <v>9.29</v>
      </c>
      <c r="J479" s="128">
        <v>1.27</v>
      </c>
      <c r="K479" s="128">
        <v>0.72</v>
      </c>
      <c r="L479" s="128">
        <v>0.7</v>
      </c>
      <c r="M479" s="126">
        <v>1326.0</v>
      </c>
      <c r="N479" s="126">
        <v>290.0</v>
      </c>
      <c r="O479" s="128">
        <v>6.2</v>
      </c>
      <c r="P479" s="128">
        <v>0.44</v>
      </c>
      <c r="Q479" s="128">
        <v>2.32</v>
      </c>
      <c r="R479" s="129" t="str">
        <f t="shared" si="1"/>
        <v>OptionStrat</v>
      </c>
      <c r="S479" s="125" t="s">
        <v>648</v>
      </c>
      <c r="T479" s="130"/>
      <c r="U479" s="131">
        <v>0.55</v>
      </c>
    </row>
    <row r="480">
      <c r="A480" s="132" t="s">
        <v>28</v>
      </c>
      <c r="B480" s="132" t="s">
        <v>169</v>
      </c>
      <c r="C480" s="133">
        <v>410.0</v>
      </c>
      <c r="D480" s="133">
        <v>460.0</v>
      </c>
      <c r="E480" s="133">
        <v>50.0</v>
      </c>
      <c r="F480" s="134">
        <v>16.9</v>
      </c>
      <c r="G480" s="134">
        <v>33.1</v>
      </c>
      <c r="H480" s="135">
        <v>1.96</v>
      </c>
      <c r="I480" s="134">
        <v>24.31</v>
      </c>
      <c r="J480" s="135">
        <v>1.44</v>
      </c>
      <c r="K480" s="135">
        <v>0.71</v>
      </c>
      <c r="L480" s="135">
        <v>0.66</v>
      </c>
      <c r="M480" s="133">
        <v>194.0</v>
      </c>
      <c r="N480" s="133">
        <v>419.0</v>
      </c>
      <c r="O480" s="135">
        <v>2.85</v>
      </c>
      <c r="P480" s="135">
        <v>0.44</v>
      </c>
      <c r="Q480" s="135">
        <v>2.32</v>
      </c>
      <c r="R480" s="136" t="str">
        <f t="shared" si="1"/>
        <v>OptionStrat</v>
      </c>
      <c r="S480" s="132" t="s">
        <v>649</v>
      </c>
      <c r="T480" s="137"/>
      <c r="U480" s="138">
        <v>0.55</v>
      </c>
    </row>
    <row r="481">
      <c r="A481" s="125" t="s">
        <v>28</v>
      </c>
      <c r="B481" s="125" t="s">
        <v>169</v>
      </c>
      <c r="C481" s="126">
        <v>430.0</v>
      </c>
      <c r="D481" s="126">
        <v>560.0</v>
      </c>
      <c r="E481" s="126">
        <v>130.0</v>
      </c>
      <c r="F481" s="127">
        <v>36.35</v>
      </c>
      <c r="G481" s="127">
        <v>93.65</v>
      </c>
      <c r="H481" s="128">
        <v>2.58</v>
      </c>
      <c r="I481" s="127">
        <v>65.66</v>
      </c>
      <c r="J481" s="128">
        <v>1.81</v>
      </c>
      <c r="K481" s="128">
        <v>0.69</v>
      </c>
      <c r="L481" s="128">
        <v>0.57</v>
      </c>
      <c r="M481" s="126">
        <v>230.0</v>
      </c>
      <c r="N481" s="126">
        <v>183.0</v>
      </c>
      <c r="O481" s="128">
        <v>2.05</v>
      </c>
      <c r="P481" s="128">
        <v>0.62</v>
      </c>
      <c r="Q481" s="128">
        <v>2.32</v>
      </c>
      <c r="R481" s="129" t="str">
        <f t="shared" si="1"/>
        <v>OptionStrat</v>
      </c>
      <c r="S481" s="125" t="s">
        <v>650</v>
      </c>
      <c r="T481" s="130"/>
      <c r="U481" s="131">
        <v>0.55</v>
      </c>
    </row>
    <row r="482">
      <c r="A482" s="132" t="s">
        <v>28</v>
      </c>
      <c r="B482" s="132" t="s">
        <v>169</v>
      </c>
      <c r="C482" s="133">
        <v>430.0</v>
      </c>
      <c r="D482" s="133">
        <v>580.0</v>
      </c>
      <c r="E482" s="133">
        <v>150.0</v>
      </c>
      <c r="F482" s="134">
        <v>40.75</v>
      </c>
      <c r="G482" s="134">
        <v>109.25</v>
      </c>
      <c r="H482" s="135">
        <v>2.68</v>
      </c>
      <c r="I482" s="134">
        <v>73.46</v>
      </c>
      <c r="J482" s="135">
        <v>1.8</v>
      </c>
      <c r="K482" s="135">
        <v>0.69</v>
      </c>
      <c r="L482" s="135">
        <v>0.56</v>
      </c>
      <c r="M482" s="133">
        <v>230.0</v>
      </c>
      <c r="N482" s="133">
        <v>263.0</v>
      </c>
      <c r="O482" s="135">
        <v>2.46</v>
      </c>
      <c r="P482" s="135">
        <v>0.65</v>
      </c>
      <c r="Q482" s="135">
        <v>2.32</v>
      </c>
      <c r="R482" s="136" t="str">
        <f t="shared" si="1"/>
        <v>OptionStrat</v>
      </c>
      <c r="S482" s="132" t="s">
        <v>651</v>
      </c>
      <c r="T482" s="137"/>
      <c r="U482" s="138">
        <v>0.55</v>
      </c>
    </row>
    <row r="483">
      <c r="A483" s="125" t="s">
        <v>28</v>
      </c>
      <c r="B483" s="125" t="s">
        <v>169</v>
      </c>
      <c r="C483" s="126">
        <v>480.0</v>
      </c>
      <c r="D483" s="126">
        <v>590.0</v>
      </c>
      <c r="E483" s="126">
        <v>110.0</v>
      </c>
      <c r="F483" s="127">
        <v>27.05</v>
      </c>
      <c r="G483" s="127">
        <v>82.95</v>
      </c>
      <c r="H483" s="128">
        <v>3.07</v>
      </c>
      <c r="I483" s="127">
        <v>55.0</v>
      </c>
      <c r="J483" s="128">
        <v>2.03</v>
      </c>
      <c r="K483" s="128">
        <v>0.64</v>
      </c>
      <c r="L483" s="128">
        <v>0.55</v>
      </c>
      <c r="M483" s="126">
        <v>403.0</v>
      </c>
      <c r="N483" s="126">
        <v>72.0</v>
      </c>
      <c r="O483" s="128">
        <v>1.7</v>
      </c>
      <c r="P483" s="128">
        <v>0.67</v>
      </c>
      <c r="Q483" s="128">
        <v>2.32</v>
      </c>
      <c r="R483" s="129" t="str">
        <f t="shared" si="1"/>
        <v>OptionStrat</v>
      </c>
      <c r="S483" s="125" t="s">
        <v>652</v>
      </c>
      <c r="T483" s="130"/>
      <c r="U483" s="131">
        <v>0.55</v>
      </c>
    </row>
    <row r="484">
      <c r="A484" s="132" t="s">
        <v>28</v>
      </c>
      <c r="B484" s="132" t="s">
        <v>169</v>
      </c>
      <c r="C484" s="133">
        <v>590.0</v>
      </c>
      <c r="D484" s="133">
        <v>690.0</v>
      </c>
      <c r="E484" s="133">
        <v>100.0</v>
      </c>
      <c r="F484" s="134">
        <v>18.2</v>
      </c>
      <c r="G484" s="134">
        <v>81.8</v>
      </c>
      <c r="H484" s="135">
        <v>4.49</v>
      </c>
      <c r="I484" s="134">
        <v>45.69</v>
      </c>
      <c r="J484" s="135">
        <v>2.51</v>
      </c>
      <c r="K484" s="135">
        <v>0.55</v>
      </c>
      <c r="L484" s="135">
        <v>0.48</v>
      </c>
      <c r="M484" s="133">
        <v>72.0</v>
      </c>
      <c r="N484" s="133">
        <v>370.0</v>
      </c>
      <c r="O484" s="135">
        <v>1.63</v>
      </c>
      <c r="P484" s="135">
        <v>1.18</v>
      </c>
      <c r="Q484" s="135">
        <v>2.32</v>
      </c>
      <c r="R484" s="136" t="str">
        <f t="shared" si="1"/>
        <v>OptionStrat</v>
      </c>
      <c r="S484" s="132" t="s">
        <v>653</v>
      </c>
      <c r="T484" s="137"/>
      <c r="U484" s="138">
        <v>0.55</v>
      </c>
    </row>
    <row r="485">
      <c r="A485" s="125" t="s">
        <v>28</v>
      </c>
      <c r="B485" s="125" t="s">
        <v>169</v>
      </c>
      <c r="C485" s="126">
        <v>350.0</v>
      </c>
      <c r="D485" s="126">
        <v>490.0</v>
      </c>
      <c r="E485" s="126">
        <v>140.0</v>
      </c>
      <c r="F485" s="127">
        <v>49.78</v>
      </c>
      <c r="G485" s="127">
        <v>90.22</v>
      </c>
      <c r="H485" s="128">
        <v>1.81</v>
      </c>
      <c r="I485" s="127">
        <v>66.08</v>
      </c>
      <c r="J485" s="128">
        <v>1.33</v>
      </c>
      <c r="K485" s="128">
        <v>0.77</v>
      </c>
      <c r="L485" s="128">
        <v>0.63</v>
      </c>
      <c r="M485" s="126">
        <v>270.0</v>
      </c>
      <c r="N485" s="126">
        <v>494.0</v>
      </c>
      <c r="O485" s="128">
        <v>3.65</v>
      </c>
      <c r="P485" s="128">
        <v>0.45</v>
      </c>
      <c r="Q485" s="128">
        <v>2.31</v>
      </c>
      <c r="R485" s="129" t="str">
        <f t="shared" si="1"/>
        <v>OptionStrat</v>
      </c>
      <c r="S485" s="125" t="s">
        <v>654</v>
      </c>
      <c r="T485" s="130"/>
      <c r="U485" s="131">
        <v>0.55</v>
      </c>
    </row>
    <row r="486">
      <c r="A486" s="132" t="s">
        <v>28</v>
      </c>
      <c r="B486" s="132" t="s">
        <v>169</v>
      </c>
      <c r="C486" s="133">
        <v>370.0</v>
      </c>
      <c r="D486" s="133">
        <v>450.0</v>
      </c>
      <c r="E486" s="133">
        <v>80.0</v>
      </c>
      <c r="F486" s="134">
        <v>29.3</v>
      </c>
      <c r="G486" s="134">
        <v>50.7</v>
      </c>
      <c r="H486" s="135">
        <v>1.73</v>
      </c>
      <c r="I486" s="134">
        <v>37.07</v>
      </c>
      <c r="J486" s="135">
        <v>1.27</v>
      </c>
      <c r="K486" s="135">
        <v>0.75</v>
      </c>
      <c r="L486" s="135">
        <v>0.67</v>
      </c>
      <c r="M486" s="133">
        <v>326.0</v>
      </c>
      <c r="N486" s="133">
        <v>943.0</v>
      </c>
      <c r="O486" s="135">
        <v>5.54</v>
      </c>
      <c r="P486" s="135">
        <v>0.43</v>
      </c>
      <c r="Q486" s="135">
        <v>2.31</v>
      </c>
      <c r="R486" s="136" t="str">
        <f t="shared" si="1"/>
        <v>OptionStrat</v>
      </c>
      <c r="S486" s="132" t="s">
        <v>655</v>
      </c>
      <c r="T486" s="137"/>
      <c r="U486" s="138">
        <v>0.55</v>
      </c>
    </row>
    <row r="487">
      <c r="A487" s="125" t="s">
        <v>28</v>
      </c>
      <c r="B487" s="125" t="s">
        <v>169</v>
      </c>
      <c r="C487" s="126">
        <v>420.0</v>
      </c>
      <c r="D487" s="126">
        <v>560.0</v>
      </c>
      <c r="E487" s="126">
        <v>140.0</v>
      </c>
      <c r="F487" s="127">
        <v>39.85</v>
      </c>
      <c r="G487" s="127">
        <v>100.15</v>
      </c>
      <c r="H487" s="128">
        <v>2.51</v>
      </c>
      <c r="I487" s="127">
        <v>70.14</v>
      </c>
      <c r="J487" s="128">
        <v>1.76</v>
      </c>
      <c r="K487" s="128">
        <v>0.7</v>
      </c>
      <c r="L487" s="128">
        <v>0.57</v>
      </c>
      <c r="M487" s="126">
        <v>290.0</v>
      </c>
      <c r="N487" s="126">
        <v>183.0</v>
      </c>
      <c r="O487" s="128">
        <v>2.3</v>
      </c>
      <c r="P487" s="128">
        <v>0.62</v>
      </c>
      <c r="Q487" s="128">
        <v>2.31</v>
      </c>
      <c r="R487" s="129" t="str">
        <f t="shared" si="1"/>
        <v>OptionStrat</v>
      </c>
      <c r="S487" s="125" t="s">
        <v>656</v>
      </c>
      <c r="T487" s="130"/>
      <c r="U487" s="131">
        <v>0.55</v>
      </c>
    </row>
    <row r="488">
      <c r="A488" s="132" t="s">
        <v>28</v>
      </c>
      <c r="B488" s="132" t="s">
        <v>169</v>
      </c>
      <c r="C488" s="133">
        <v>530.0</v>
      </c>
      <c r="D488" s="133">
        <v>630.0</v>
      </c>
      <c r="E488" s="133">
        <v>100.0</v>
      </c>
      <c r="F488" s="134">
        <v>21.47</v>
      </c>
      <c r="G488" s="134">
        <v>78.53</v>
      </c>
      <c r="H488" s="135">
        <v>3.66</v>
      </c>
      <c r="I488" s="134">
        <v>48.5</v>
      </c>
      <c r="J488" s="135">
        <v>2.26</v>
      </c>
      <c r="K488" s="135">
        <v>0.6</v>
      </c>
      <c r="L488" s="135">
        <v>0.52</v>
      </c>
      <c r="M488" s="133">
        <v>171.0</v>
      </c>
      <c r="N488" s="133">
        <v>247.0</v>
      </c>
      <c r="O488" s="135">
        <v>2.06</v>
      </c>
      <c r="P488" s="135">
        <v>0.7</v>
      </c>
      <c r="Q488" s="135">
        <v>2.31</v>
      </c>
      <c r="R488" s="136" t="str">
        <f t="shared" si="1"/>
        <v>OptionStrat</v>
      </c>
      <c r="S488" s="132" t="s">
        <v>657</v>
      </c>
      <c r="T488" s="137"/>
      <c r="U488" s="138">
        <v>0.55</v>
      </c>
    </row>
    <row r="489">
      <c r="A489" s="125" t="s">
        <v>28</v>
      </c>
      <c r="B489" s="125" t="s">
        <v>169</v>
      </c>
      <c r="C489" s="126">
        <v>530.0</v>
      </c>
      <c r="D489" s="126">
        <v>650.0</v>
      </c>
      <c r="E489" s="126">
        <v>120.0</v>
      </c>
      <c r="F489" s="127">
        <v>25.08</v>
      </c>
      <c r="G489" s="127">
        <v>94.92</v>
      </c>
      <c r="H489" s="128">
        <v>3.78</v>
      </c>
      <c r="I489" s="127">
        <v>56.46</v>
      </c>
      <c r="J489" s="128">
        <v>2.25</v>
      </c>
      <c r="K489" s="128">
        <v>0.6</v>
      </c>
      <c r="L489" s="128">
        <v>0.5</v>
      </c>
      <c r="M489" s="126">
        <v>171.0</v>
      </c>
      <c r="N489" s="126">
        <v>284.0</v>
      </c>
      <c r="O489" s="128">
        <v>2.2</v>
      </c>
      <c r="P489" s="128">
        <v>0.7</v>
      </c>
      <c r="Q489" s="128">
        <v>2.31</v>
      </c>
      <c r="R489" s="129" t="str">
        <f t="shared" si="1"/>
        <v>OptionStrat</v>
      </c>
      <c r="S489" s="125" t="s">
        <v>658</v>
      </c>
      <c r="T489" s="130"/>
      <c r="U489" s="131">
        <v>0.55</v>
      </c>
    </row>
    <row r="490">
      <c r="A490" s="132" t="s">
        <v>28</v>
      </c>
      <c r="B490" s="132" t="s">
        <v>169</v>
      </c>
      <c r="C490" s="133">
        <v>540.0</v>
      </c>
      <c r="D490" s="133">
        <v>690.0</v>
      </c>
      <c r="E490" s="133">
        <v>150.0</v>
      </c>
      <c r="F490" s="134">
        <v>29.5</v>
      </c>
      <c r="G490" s="134">
        <v>120.5</v>
      </c>
      <c r="H490" s="135">
        <v>4.08</v>
      </c>
      <c r="I490" s="134">
        <v>66.67</v>
      </c>
      <c r="J490" s="135">
        <v>2.26</v>
      </c>
      <c r="K490" s="135">
        <v>0.59</v>
      </c>
      <c r="L490" s="135">
        <v>0.48</v>
      </c>
      <c r="M490" s="133">
        <v>116.0</v>
      </c>
      <c r="N490" s="133">
        <v>370.0</v>
      </c>
      <c r="O490" s="135">
        <v>2.07</v>
      </c>
      <c r="P490" s="135">
        <v>1.11</v>
      </c>
      <c r="Q490" s="135">
        <v>2.31</v>
      </c>
      <c r="R490" s="136" t="str">
        <f t="shared" si="1"/>
        <v>OptionStrat</v>
      </c>
      <c r="S490" s="132" t="s">
        <v>659</v>
      </c>
      <c r="T490" s="137"/>
      <c r="U490" s="138">
        <v>0.55</v>
      </c>
    </row>
    <row r="491">
      <c r="A491" s="125" t="s">
        <v>28</v>
      </c>
      <c r="B491" s="125" t="s">
        <v>171</v>
      </c>
      <c r="C491" s="126">
        <v>370.0</v>
      </c>
      <c r="D491" s="126">
        <v>520.0</v>
      </c>
      <c r="E491" s="126">
        <v>150.0</v>
      </c>
      <c r="F491" s="127">
        <v>47.35</v>
      </c>
      <c r="G491" s="127">
        <v>102.65</v>
      </c>
      <c r="H491" s="128">
        <v>2.17</v>
      </c>
      <c r="I491" s="127">
        <v>75.65</v>
      </c>
      <c r="J491" s="128">
        <v>1.6</v>
      </c>
      <c r="K491" s="128">
        <v>0.76</v>
      </c>
      <c r="L491" s="128">
        <v>0.64</v>
      </c>
      <c r="M491" s="126">
        <v>74.0</v>
      </c>
      <c r="N491" s="126">
        <v>82.0</v>
      </c>
      <c r="O491" s="128">
        <v>0.78</v>
      </c>
      <c r="P491" s="128">
        <v>0.27</v>
      </c>
      <c r="Q491" s="128">
        <v>2.31</v>
      </c>
      <c r="R491" s="129" t="str">
        <f t="shared" si="1"/>
        <v>OptionStrat</v>
      </c>
      <c r="S491" s="125" t="s">
        <v>660</v>
      </c>
      <c r="T491" s="130"/>
      <c r="U491" s="131">
        <v>0.55</v>
      </c>
    </row>
    <row r="492">
      <c r="A492" s="132" t="s">
        <v>28</v>
      </c>
      <c r="B492" s="132" t="s">
        <v>171</v>
      </c>
      <c r="C492" s="133">
        <v>400.0</v>
      </c>
      <c r="D492" s="133">
        <v>440.0</v>
      </c>
      <c r="E492" s="133">
        <v>40.0</v>
      </c>
      <c r="F492" s="134">
        <v>14.15</v>
      </c>
      <c r="G492" s="134">
        <v>25.85</v>
      </c>
      <c r="H492" s="135">
        <v>1.83</v>
      </c>
      <c r="I492" s="134">
        <v>18.94</v>
      </c>
      <c r="J492" s="135">
        <v>1.34</v>
      </c>
      <c r="K492" s="135">
        <v>0.74</v>
      </c>
      <c r="L492" s="135">
        <v>0.7</v>
      </c>
      <c r="M492" s="133">
        <v>369.0</v>
      </c>
      <c r="N492" s="133">
        <v>144.0</v>
      </c>
      <c r="O492" s="135">
        <v>2.31</v>
      </c>
      <c r="P492" s="135">
        <v>0.36</v>
      </c>
      <c r="Q492" s="135">
        <v>2.31</v>
      </c>
      <c r="R492" s="136" t="str">
        <f t="shared" si="1"/>
        <v>OptionStrat</v>
      </c>
      <c r="S492" s="132" t="s">
        <v>661</v>
      </c>
      <c r="T492" s="137"/>
      <c r="U492" s="138">
        <v>0.55</v>
      </c>
    </row>
    <row r="493">
      <c r="A493" s="125" t="s">
        <v>28</v>
      </c>
      <c r="B493" s="125" t="s">
        <v>171</v>
      </c>
      <c r="C493" s="126">
        <v>410.0</v>
      </c>
      <c r="D493" s="126">
        <v>480.0</v>
      </c>
      <c r="E493" s="126">
        <v>70.0</v>
      </c>
      <c r="F493" s="127">
        <v>21.93</v>
      </c>
      <c r="G493" s="127">
        <v>48.07</v>
      </c>
      <c r="H493" s="128">
        <v>2.19</v>
      </c>
      <c r="I493" s="127">
        <v>35.44</v>
      </c>
      <c r="J493" s="128">
        <v>1.62</v>
      </c>
      <c r="K493" s="128">
        <v>0.73</v>
      </c>
      <c r="L493" s="128">
        <v>0.67</v>
      </c>
      <c r="M493" s="126">
        <v>54.0</v>
      </c>
      <c r="N493" s="126">
        <v>139.0</v>
      </c>
      <c r="O493" s="128">
        <v>0.87</v>
      </c>
      <c r="P493" s="128">
        <v>0.27</v>
      </c>
      <c r="Q493" s="128">
        <v>2.31</v>
      </c>
      <c r="R493" s="129" t="str">
        <f t="shared" si="1"/>
        <v>OptionStrat</v>
      </c>
      <c r="S493" s="125" t="s">
        <v>662</v>
      </c>
      <c r="T493" s="130"/>
      <c r="U493" s="131">
        <v>0.56</v>
      </c>
    </row>
    <row r="494">
      <c r="A494" s="132" t="s">
        <v>28</v>
      </c>
      <c r="B494" s="132" t="s">
        <v>169</v>
      </c>
      <c r="C494" s="133">
        <v>390.0</v>
      </c>
      <c r="D494" s="133">
        <v>490.0</v>
      </c>
      <c r="E494" s="133">
        <v>100.0</v>
      </c>
      <c r="F494" s="134">
        <v>33.35</v>
      </c>
      <c r="G494" s="134">
        <v>66.65</v>
      </c>
      <c r="H494" s="135">
        <v>2.0</v>
      </c>
      <c r="I494" s="134">
        <v>48.99</v>
      </c>
      <c r="J494" s="135">
        <v>1.47</v>
      </c>
      <c r="K494" s="135">
        <v>0.73</v>
      </c>
      <c r="L494" s="135">
        <v>0.63</v>
      </c>
      <c r="M494" s="133">
        <v>92.0</v>
      </c>
      <c r="N494" s="133">
        <v>494.0</v>
      </c>
      <c r="O494" s="135">
        <v>2.13</v>
      </c>
      <c r="P494" s="135">
        <v>0.45</v>
      </c>
      <c r="Q494" s="135">
        <v>2.3</v>
      </c>
      <c r="R494" s="136" t="str">
        <f t="shared" si="1"/>
        <v>OptionStrat</v>
      </c>
      <c r="S494" s="132" t="s">
        <v>663</v>
      </c>
      <c r="T494" s="137"/>
      <c r="U494" s="138">
        <v>0.55</v>
      </c>
    </row>
    <row r="495">
      <c r="A495" s="125" t="s">
        <v>28</v>
      </c>
      <c r="B495" s="125" t="s">
        <v>169</v>
      </c>
      <c r="C495" s="126">
        <v>570.0</v>
      </c>
      <c r="D495" s="126">
        <v>660.0</v>
      </c>
      <c r="E495" s="126">
        <v>90.0</v>
      </c>
      <c r="F495" s="127">
        <v>17.6</v>
      </c>
      <c r="G495" s="127">
        <v>72.4</v>
      </c>
      <c r="H495" s="128">
        <v>4.11</v>
      </c>
      <c r="I495" s="127">
        <v>42.51</v>
      </c>
      <c r="J495" s="128">
        <v>2.42</v>
      </c>
      <c r="K495" s="128">
        <v>0.56</v>
      </c>
      <c r="L495" s="128">
        <v>0.5</v>
      </c>
      <c r="M495" s="126">
        <v>254.0</v>
      </c>
      <c r="N495" s="126">
        <v>129.0</v>
      </c>
      <c r="O495" s="128">
        <v>1.81</v>
      </c>
      <c r="P495" s="128">
        <v>1.11</v>
      </c>
      <c r="Q495" s="128">
        <v>2.3</v>
      </c>
      <c r="R495" s="129" t="str">
        <f t="shared" si="1"/>
        <v>OptionStrat</v>
      </c>
      <c r="S495" s="125" t="s">
        <v>664</v>
      </c>
      <c r="T495" s="130"/>
      <c r="U495" s="131">
        <v>0.55</v>
      </c>
    </row>
    <row r="496">
      <c r="A496" s="132" t="s">
        <v>28</v>
      </c>
      <c r="B496" s="132" t="s">
        <v>171</v>
      </c>
      <c r="C496" s="133">
        <v>530.0</v>
      </c>
      <c r="D496" s="133">
        <v>560.0</v>
      </c>
      <c r="E496" s="133">
        <v>30.0</v>
      </c>
      <c r="F496" s="134">
        <v>6.73</v>
      </c>
      <c r="G496" s="134">
        <v>23.27</v>
      </c>
      <c r="H496" s="135">
        <v>3.46</v>
      </c>
      <c r="I496" s="134">
        <v>17.35</v>
      </c>
      <c r="J496" s="135">
        <v>2.58</v>
      </c>
      <c r="K496" s="135">
        <v>0.63</v>
      </c>
      <c r="L496" s="135">
        <v>0.61</v>
      </c>
      <c r="M496" s="133">
        <v>60.0</v>
      </c>
      <c r="N496" s="133">
        <v>18.0</v>
      </c>
      <c r="O496" s="135">
        <v>0.33</v>
      </c>
      <c r="P496" s="135">
        <v>0.31</v>
      </c>
      <c r="Q496" s="135">
        <v>2.3</v>
      </c>
      <c r="R496" s="136" t="str">
        <f t="shared" si="1"/>
        <v>OptionStrat</v>
      </c>
      <c r="S496" s="132" t="s">
        <v>665</v>
      </c>
      <c r="T496" s="137"/>
      <c r="U496" s="138">
        <v>0.55</v>
      </c>
    </row>
    <row r="497">
      <c r="A497" s="125" t="s">
        <v>28</v>
      </c>
      <c r="B497" s="125" t="s">
        <v>171</v>
      </c>
      <c r="C497" s="126">
        <v>570.0</v>
      </c>
      <c r="D497" s="126">
        <v>680.0</v>
      </c>
      <c r="E497" s="126">
        <v>110.0</v>
      </c>
      <c r="F497" s="127">
        <v>20.85</v>
      </c>
      <c r="G497" s="127">
        <v>89.15</v>
      </c>
      <c r="H497" s="128">
        <v>4.28</v>
      </c>
      <c r="I497" s="127">
        <v>56.63</v>
      </c>
      <c r="J497" s="128">
        <v>2.72</v>
      </c>
      <c r="K497" s="128">
        <v>0.6</v>
      </c>
      <c r="L497" s="128">
        <v>0.53</v>
      </c>
      <c r="M497" s="126">
        <v>110.0</v>
      </c>
      <c r="N497" s="126">
        <v>77.0</v>
      </c>
      <c r="O497" s="128">
        <v>0.92</v>
      </c>
      <c r="P497" s="128">
        <v>0.3</v>
      </c>
      <c r="Q497" s="128">
        <v>2.3</v>
      </c>
      <c r="R497" s="129" t="str">
        <f t="shared" si="1"/>
        <v>OptionStrat</v>
      </c>
      <c r="S497" s="125" t="s">
        <v>666</v>
      </c>
      <c r="T497" s="130"/>
      <c r="U497" s="131">
        <v>0.55</v>
      </c>
    </row>
    <row r="498">
      <c r="A498" s="132" t="s">
        <v>28</v>
      </c>
      <c r="B498" s="132" t="s">
        <v>171</v>
      </c>
      <c r="C498" s="133">
        <v>600.0</v>
      </c>
      <c r="D498" s="133">
        <v>660.0</v>
      </c>
      <c r="E498" s="133">
        <v>60.0</v>
      </c>
      <c r="F498" s="134">
        <v>11.18</v>
      </c>
      <c r="G498" s="134">
        <v>48.82</v>
      </c>
      <c r="H498" s="135">
        <v>4.37</v>
      </c>
      <c r="I498" s="134">
        <v>32.05</v>
      </c>
      <c r="J498" s="135">
        <v>2.87</v>
      </c>
      <c r="K498" s="135">
        <v>0.58</v>
      </c>
      <c r="L498" s="135">
        <v>0.54</v>
      </c>
      <c r="M498" s="133">
        <v>416.0</v>
      </c>
      <c r="N498" s="133">
        <v>14.0</v>
      </c>
      <c r="O498" s="135">
        <v>0.76</v>
      </c>
      <c r="P498" s="135">
        <v>0.31</v>
      </c>
      <c r="Q498" s="135">
        <v>2.3</v>
      </c>
      <c r="R498" s="136" t="str">
        <f t="shared" si="1"/>
        <v>OptionStrat</v>
      </c>
      <c r="S498" s="132" t="s">
        <v>667</v>
      </c>
      <c r="T498" s="132" t="s">
        <v>181</v>
      </c>
      <c r="U498" s="138">
        <v>0.55</v>
      </c>
    </row>
    <row r="499">
      <c r="A499" s="125" t="s">
        <v>28</v>
      </c>
      <c r="B499" s="125" t="s">
        <v>169</v>
      </c>
      <c r="C499" s="126">
        <v>360.0</v>
      </c>
      <c r="D499" s="126">
        <v>490.0</v>
      </c>
      <c r="E499" s="126">
        <v>130.0</v>
      </c>
      <c r="F499" s="127">
        <v>45.45</v>
      </c>
      <c r="G499" s="127">
        <v>84.55</v>
      </c>
      <c r="H499" s="128">
        <v>1.86</v>
      </c>
      <c r="I499" s="127">
        <v>61.99</v>
      </c>
      <c r="J499" s="128">
        <v>1.36</v>
      </c>
      <c r="K499" s="128">
        <v>0.76</v>
      </c>
      <c r="L499" s="128">
        <v>0.63</v>
      </c>
      <c r="M499" s="126">
        <v>183.0</v>
      </c>
      <c r="N499" s="126">
        <v>494.0</v>
      </c>
      <c r="O499" s="128">
        <v>3.01</v>
      </c>
      <c r="P499" s="128">
        <v>0.45</v>
      </c>
      <c r="Q499" s="128">
        <v>2.29</v>
      </c>
      <c r="R499" s="129" t="str">
        <f t="shared" si="1"/>
        <v>OptionStrat</v>
      </c>
      <c r="S499" s="125" t="s">
        <v>668</v>
      </c>
      <c r="T499" s="130"/>
      <c r="U499" s="131">
        <v>0.55</v>
      </c>
    </row>
    <row r="500">
      <c r="A500" s="132" t="s">
        <v>28</v>
      </c>
      <c r="B500" s="132" t="s">
        <v>169</v>
      </c>
      <c r="C500" s="133">
        <v>380.0</v>
      </c>
      <c r="D500" s="133">
        <v>490.0</v>
      </c>
      <c r="E500" s="133">
        <v>110.0</v>
      </c>
      <c r="F500" s="134">
        <v>37.15</v>
      </c>
      <c r="G500" s="134">
        <v>72.85</v>
      </c>
      <c r="H500" s="135">
        <v>1.96</v>
      </c>
      <c r="I500" s="134">
        <v>53.51</v>
      </c>
      <c r="J500" s="135">
        <v>1.44</v>
      </c>
      <c r="K500" s="135">
        <v>0.74</v>
      </c>
      <c r="L500" s="135">
        <v>0.63</v>
      </c>
      <c r="M500" s="133">
        <v>106.0</v>
      </c>
      <c r="N500" s="133">
        <v>494.0</v>
      </c>
      <c r="O500" s="135">
        <v>2.29</v>
      </c>
      <c r="P500" s="135">
        <v>0.47</v>
      </c>
      <c r="Q500" s="135">
        <v>2.29</v>
      </c>
      <c r="R500" s="136" t="str">
        <f t="shared" si="1"/>
        <v>OptionStrat</v>
      </c>
      <c r="S500" s="132" t="s">
        <v>669</v>
      </c>
      <c r="T500" s="137"/>
      <c r="U500" s="138">
        <v>0.55</v>
      </c>
    </row>
    <row r="501">
      <c r="A501" s="125" t="s">
        <v>28</v>
      </c>
      <c r="B501" s="125" t="s">
        <v>169</v>
      </c>
      <c r="C501" s="126">
        <v>520.0</v>
      </c>
      <c r="D501" s="126">
        <v>590.0</v>
      </c>
      <c r="E501" s="126">
        <v>70.0</v>
      </c>
      <c r="F501" s="127">
        <v>16.08</v>
      </c>
      <c r="G501" s="127">
        <v>53.92</v>
      </c>
      <c r="H501" s="128">
        <v>3.35</v>
      </c>
      <c r="I501" s="127">
        <v>35.94</v>
      </c>
      <c r="J501" s="128">
        <v>2.24</v>
      </c>
      <c r="K501" s="128">
        <v>0.61</v>
      </c>
      <c r="L501" s="128">
        <v>0.55</v>
      </c>
      <c r="M501" s="126">
        <v>281.0</v>
      </c>
      <c r="N501" s="126">
        <v>72.0</v>
      </c>
      <c r="O501" s="128">
        <v>1.42</v>
      </c>
      <c r="P501" s="128">
        <v>0.66</v>
      </c>
      <c r="Q501" s="128">
        <v>2.29</v>
      </c>
      <c r="R501" s="129" t="str">
        <f t="shared" si="1"/>
        <v>OptionStrat</v>
      </c>
      <c r="S501" s="125" t="s">
        <v>670</v>
      </c>
      <c r="T501" s="130"/>
      <c r="U501" s="131">
        <v>0.55</v>
      </c>
    </row>
    <row r="502">
      <c r="A502" s="132" t="s">
        <v>28</v>
      </c>
      <c r="B502" s="132" t="s">
        <v>171</v>
      </c>
      <c r="C502" s="133">
        <v>360.0</v>
      </c>
      <c r="D502" s="133">
        <v>510.0</v>
      </c>
      <c r="E502" s="133">
        <v>150.0</v>
      </c>
      <c r="F502" s="134">
        <v>48.72</v>
      </c>
      <c r="G502" s="134">
        <v>101.28</v>
      </c>
      <c r="H502" s="135">
        <v>2.08</v>
      </c>
      <c r="I502" s="134">
        <v>74.53</v>
      </c>
      <c r="J502" s="135">
        <v>1.53</v>
      </c>
      <c r="K502" s="135">
        <v>0.77</v>
      </c>
      <c r="L502" s="135">
        <v>0.64</v>
      </c>
      <c r="M502" s="133">
        <v>212.0</v>
      </c>
      <c r="N502" s="133">
        <v>45.0</v>
      </c>
      <c r="O502" s="135">
        <v>0.98</v>
      </c>
      <c r="P502" s="135">
        <v>0.26</v>
      </c>
      <c r="Q502" s="135">
        <v>2.29</v>
      </c>
      <c r="R502" s="136" t="str">
        <f t="shared" si="1"/>
        <v>OptionStrat</v>
      </c>
      <c r="S502" s="132" t="s">
        <v>671</v>
      </c>
      <c r="T502" s="137"/>
      <c r="U502" s="138">
        <v>0.55</v>
      </c>
    </row>
    <row r="503">
      <c r="A503" s="125" t="s">
        <v>28</v>
      </c>
      <c r="B503" s="125" t="s">
        <v>171</v>
      </c>
      <c r="C503" s="126">
        <v>410.0</v>
      </c>
      <c r="D503" s="126">
        <v>490.0</v>
      </c>
      <c r="E503" s="126">
        <v>80.0</v>
      </c>
      <c r="F503" s="127">
        <v>24.68</v>
      </c>
      <c r="G503" s="127">
        <v>55.32</v>
      </c>
      <c r="H503" s="128">
        <v>2.24</v>
      </c>
      <c r="I503" s="127">
        <v>40.81</v>
      </c>
      <c r="J503" s="128">
        <v>1.65</v>
      </c>
      <c r="K503" s="128">
        <v>0.73</v>
      </c>
      <c r="L503" s="128">
        <v>0.66</v>
      </c>
      <c r="M503" s="126">
        <v>54.0</v>
      </c>
      <c r="N503" s="126">
        <v>93.0</v>
      </c>
      <c r="O503" s="128">
        <v>0.71</v>
      </c>
      <c r="P503" s="128">
        <v>0.27</v>
      </c>
      <c r="Q503" s="128">
        <v>2.29</v>
      </c>
      <c r="R503" s="129" t="str">
        <f t="shared" si="1"/>
        <v>OptionStrat</v>
      </c>
      <c r="S503" s="125" t="s">
        <v>672</v>
      </c>
      <c r="T503" s="130"/>
      <c r="U503" s="131">
        <v>0.56</v>
      </c>
    </row>
    <row r="504">
      <c r="A504" s="132" t="s">
        <v>28</v>
      </c>
      <c r="B504" s="132" t="s">
        <v>171</v>
      </c>
      <c r="C504" s="133">
        <v>600.0</v>
      </c>
      <c r="D504" s="133">
        <v>630.0</v>
      </c>
      <c r="E504" s="133">
        <v>30.0</v>
      </c>
      <c r="F504" s="134">
        <v>5.75</v>
      </c>
      <c r="G504" s="134">
        <v>24.25</v>
      </c>
      <c r="H504" s="135">
        <v>4.22</v>
      </c>
      <c r="I504" s="134">
        <v>16.67</v>
      </c>
      <c r="J504" s="135">
        <v>2.9</v>
      </c>
      <c r="K504" s="135">
        <v>0.58</v>
      </c>
      <c r="L504" s="135">
        <v>0.56</v>
      </c>
      <c r="M504" s="133">
        <v>416.0</v>
      </c>
      <c r="N504" s="133">
        <v>12.0</v>
      </c>
      <c r="O504" s="135">
        <v>0.71</v>
      </c>
      <c r="P504" s="135">
        <v>0.31</v>
      </c>
      <c r="Q504" s="135">
        <v>2.29</v>
      </c>
      <c r="R504" s="136" t="str">
        <f t="shared" si="1"/>
        <v>OptionStrat</v>
      </c>
      <c r="S504" s="132" t="s">
        <v>673</v>
      </c>
      <c r="T504" s="132" t="s">
        <v>181</v>
      </c>
      <c r="U504" s="138">
        <v>0.55</v>
      </c>
    </row>
    <row r="505">
      <c r="A505" s="125" t="s">
        <v>28</v>
      </c>
      <c r="B505" s="125" t="s">
        <v>169</v>
      </c>
      <c r="C505" s="126">
        <v>590.0</v>
      </c>
      <c r="D505" s="126">
        <v>610.0</v>
      </c>
      <c r="E505" s="126">
        <v>20.0</v>
      </c>
      <c r="F505" s="127">
        <v>4.1</v>
      </c>
      <c r="G505" s="127">
        <v>15.9</v>
      </c>
      <c r="H505" s="128">
        <v>3.88</v>
      </c>
      <c r="I505" s="127">
        <v>10.26</v>
      </c>
      <c r="J505" s="128">
        <v>2.5</v>
      </c>
      <c r="K505" s="128">
        <v>0.55</v>
      </c>
      <c r="L505" s="128">
        <v>0.53</v>
      </c>
      <c r="M505" s="126">
        <v>72.0</v>
      </c>
      <c r="N505" s="126">
        <v>340.0</v>
      </c>
      <c r="O505" s="128">
        <v>1.56</v>
      </c>
      <c r="P505" s="128">
        <v>1.11</v>
      </c>
      <c r="Q505" s="128">
        <v>2.28</v>
      </c>
      <c r="R505" s="129" t="str">
        <f t="shared" si="1"/>
        <v>OptionStrat</v>
      </c>
      <c r="S505" s="125" t="s">
        <v>674</v>
      </c>
      <c r="T505" s="130"/>
      <c r="U505" s="131">
        <v>0.55</v>
      </c>
    </row>
    <row r="506">
      <c r="A506" s="132" t="s">
        <v>28</v>
      </c>
      <c r="B506" s="132" t="s">
        <v>171</v>
      </c>
      <c r="C506" s="133">
        <v>380.0</v>
      </c>
      <c r="D506" s="133">
        <v>480.0</v>
      </c>
      <c r="E506" s="133">
        <v>100.0</v>
      </c>
      <c r="F506" s="134">
        <v>32.82</v>
      </c>
      <c r="G506" s="134">
        <v>67.18</v>
      </c>
      <c r="H506" s="135">
        <v>2.05</v>
      </c>
      <c r="I506" s="134">
        <v>49.41</v>
      </c>
      <c r="J506" s="135">
        <v>1.51</v>
      </c>
      <c r="K506" s="135">
        <v>0.75</v>
      </c>
      <c r="L506" s="135">
        <v>0.67</v>
      </c>
      <c r="M506" s="133">
        <v>97.0</v>
      </c>
      <c r="N506" s="133">
        <v>139.0</v>
      </c>
      <c r="O506" s="135">
        <v>1.16</v>
      </c>
      <c r="P506" s="135">
        <v>0.27</v>
      </c>
      <c r="Q506" s="135">
        <v>2.28</v>
      </c>
      <c r="R506" s="136" t="str">
        <f t="shared" si="1"/>
        <v>OptionStrat</v>
      </c>
      <c r="S506" s="132" t="s">
        <v>675</v>
      </c>
      <c r="T506" s="137"/>
      <c r="U506" s="138">
        <v>0.55</v>
      </c>
    </row>
    <row r="507">
      <c r="A507" s="125" t="s">
        <v>28</v>
      </c>
      <c r="B507" s="125" t="s">
        <v>171</v>
      </c>
      <c r="C507" s="126">
        <v>650.0</v>
      </c>
      <c r="D507" s="126">
        <v>670.0</v>
      </c>
      <c r="E507" s="126">
        <v>20.0</v>
      </c>
      <c r="F507" s="127">
        <v>3.57</v>
      </c>
      <c r="G507" s="127">
        <v>16.43</v>
      </c>
      <c r="H507" s="128">
        <v>4.6</v>
      </c>
      <c r="I507" s="127">
        <v>10.63</v>
      </c>
      <c r="J507" s="128">
        <v>2.98</v>
      </c>
      <c r="K507" s="128">
        <v>0.54</v>
      </c>
      <c r="L507" s="128">
        <v>0.53</v>
      </c>
      <c r="M507" s="126">
        <v>220.0</v>
      </c>
      <c r="N507" s="126">
        <v>24.0</v>
      </c>
      <c r="O507" s="128">
        <v>0.73</v>
      </c>
      <c r="P507" s="128">
        <v>0.31</v>
      </c>
      <c r="Q507" s="128">
        <v>2.28</v>
      </c>
      <c r="R507" s="129" t="str">
        <f t="shared" si="1"/>
        <v>OptionStrat</v>
      </c>
      <c r="S507" s="125" t="s">
        <v>676</v>
      </c>
      <c r="T507" s="130"/>
      <c r="U507" s="131">
        <v>0.55</v>
      </c>
    </row>
    <row r="508">
      <c r="A508" s="132" t="s">
        <v>28</v>
      </c>
      <c r="B508" s="132" t="s">
        <v>169</v>
      </c>
      <c r="C508" s="133">
        <v>530.0</v>
      </c>
      <c r="D508" s="133">
        <v>640.0</v>
      </c>
      <c r="E508" s="133">
        <v>110.0</v>
      </c>
      <c r="F508" s="134">
        <v>23.27</v>
      </c>
      <c r="G508" s="134">
        <v>86.73</v>
      </c>
      <c r="H508" s="135">
        <v>3.73</v>
      </c>
      <c r="I508" s="134">
        <v>52.57</v>
      </c>
      <c r="J508" s="135">
        <v>2.26</v>
      </c>
      <c r="K508" s="135">
        <v>0.6</v>
      </c>
      <c r="L508" s="135">
        <v>0.51</v>
      </c>
      <c r="M508" s="133">
        <v>171.0</v>
      </c>
      <c r="N508" s="133">
        <v>222.0</v>
      </c>
      <c r="O508" s="135">
        <v>1.95</v>
      </c>
      <c r="P508" s="135">
        <v>0.7</v>
      </c>
      <c r="Q508" s="135">
        <v>2.27</v>
      </c>
      <c r="R508" s="136" t="str">
        <f t="shared" si="1"/>
        <v>OptionStrat</v>
      </c>
      <c r="S508" s="132" t="s">
        <v>677</v>
      </c>
      <c r="T508" s="137"/>
      <c r="U508" s="138">
        <v>0.55</v>
      </c>
    </row>
    <row r="509">
      <c r="A509" s="125" t="s">
        <v>28</v>
      </c>
      <c r="B509" s="125" t="s">
        <v>169</v>
      </c>
      <c r="C509" s="126">
        <v>540.0</v>
      </c>
      <c r="D509" s="126">
        <v>650.0</v>
      </c>
      <c r="E509" s="126">
        <v>110.0</v>
      </c>
      <c r="F509" s="127">
        <v>22.83</v>
      </c>
      <c r="G509" s="127">
        <v>87.17</v>
      </c>
      <c r="H509" s="128">
        <v>3.82</v>
      </c>
      <c r="I509" s="127">
        <v>51.89</v>
      </c>
      <c r="J509" s="128">
        <v>2.27</v>
      </c>
      <c r="K509" s="128">
        <v>0.59</v>
      </c>
      <c r="L509" s="128">
        <v>0.5</v>
      </c>
      <c r="M509" s="126">
        <v>116.0</v>
      </c>
      <c r="N509" s="126">
        <v>284.0</v>
      </c>
      <c r="O509" s="128">
        <v>1.82</v>
      </c>
      <c r="P509" s="128">
        <v>1.08</v>
      </c>
      <c r="Q509" s="128">
        <v>2.27</v>
      </c>
      <c r="R509" s="129" t="str">
        <f t="shared" si="1"/>
        <v>OptionStrat</v>
      </c>
      <c r="S509" s="125" t="s">
        <v>678</v>
      </c>
      <c r="T509" s="130"/>
      <c r="U509" s="131">
        <v>0.55</v>
      </c>
    </row>
    <row r="510">
      <c r="A510" s="132" t="s">
        <v>28</v>
      </c>
      <c r="B510" s="132" t="s">
        <v>169</v>
      </c>
      <c r="C510" s="133">
        <v>550.0</v>
      </c>
      <c r="D510" s="133">
        <v>590.0</v>
      </c>
      <c r="E510" s="133">
        <v>40.0</v>
      </c>
      <c r="F510" s="134">
        <v>8.88</v>
      </c>
      <c r="G510" s="134">
        <v>31.12</v>
      </c>
      <c r="H510" s="135">
        <v>3.5</v>
      </c>
      <c r="I510" s="134">
        <v>20.79</v>
      </c>
      <c r="J510" s="135">
        <v>2.34</v>
      </c>
      <c r="K510" s="135">
        <v>0.58</v>
      </c>
      <c r="L510" s="135">
        <v>0.55</v>
      </c>
      <c r="M510" s="133">
        <v>474.0</v>
      </c>
      <c r="N510" s="133">
        <v>72.0</v>
      </c>
      <c r="O510" s="135">
        <v>1.85</v>
      </c>
      <c r="P510" s="135">
        <v>1.08</v>
      </c>
      <c r="Q510" s="135">
        <v>2.27</v>
      </c>
      <c r="R510" s="136" t="str">
        <f t="shared" si="1"/>
        <v>OptionStrat</v>
      </c>
      <c r="S510" s="132" t="s">
        <v>679</v>
      </c>
      <c r="T510" s="132" t="s">
        <v>181</v>
      </c>
      <c r="U510" s="138">
        <v>0.55</v>
      </c>
    </row>
    <row r="511">
      <c r="A511" s="125" t="s">
        <v>28</v>
      </c>
      <c r="B511" s="125" t="s">
        <v>169</v>
      </c>
      <c r="C511" s="126">
        <v>590.0</v>
      </c>
      <c r="D511" s="126">
        <v>650.0</v>
      </c>
      <c r="E511" s="126">
        <v>60.0</v>
      </c>
      <c r="F511" s="127">
        <v>11.53</v>
      </c>
      <c r="G511" s="127">
        <v>48.47</v>
      </c>
      <c r="H511" s="128">
        <v>4.2</v>
      </c>
      <c r="I511" s="127">
        <v>29.08</v>
      </c>
      <c r="J511" s="128">
        <v>2.52</v>
      </c>
      <c r="K511" s="128">
        <v>0.55</v>
      </c>
      <c r="L511" s="128">
        <v>0.5</v>
      </c>
      <c r="M511" s="126">
        <v>72.0</v>
      </c>
      <c r="N511" s="126">
        <v>284.0</v>
      </c>
      <c r="O511" s="128">
        <v>1.43</v>
      </c>
      <c r="P511" s="128">
        <v>1.14</v>
      </c>
      <c r="Q511" s="128">
        <v>2.27</v>
      </c>
      <c r="R511" s="129" t="str">
        <f t="shared" si="1"/>
        <v>OptionStrat</v>
      </c>
      <c r="S511" s="125" t="s">
        <v>680</v>
      </c>
      <c r="T511" s="130"/>
      <c r="U511" s="131">
        <v>0.55</v>
      </c>
    </row>
    <row r="512">
      <c r="A512" s="132" t="s">
        <v>28</v>
      </c>
      <c r="B512" s="132" t="s">
        <v>171</v>
      </c>
      <c r="C512" s="133">
        <v>460.0</v>
      </c>
      <c r="D512" s="133">
        <v>580.0</v>
      </c>
      <c r="E512" s="133">
        <v>120.0</v>
      </c>
      <c r="F512" s="134">
        <v>30.35</v>
      </c>
      <c r="G512" s="134">
        <v>89.65</v>
      </c>
      <c r="H512" s="135">
        <v>2.95</v>
      </c>
      <c r="I512" s="134">
        <v>66.2</v>
      </c>
      <c r="J512" s="135">
        <v>2.18</v>
      </c>
      <c r="K512" s="135">
        <v>0.68</v>
      </c>
      <c r="L512" s="135">
        <v>0.59</v>
      </c>
      <c r="M512" s="133">
        <v>90.0</v>
      </c>
      <c r="N512" s="133">
        <v>50.0</v>
      </c>
      <c r="O512" s="135">
        <v>0.67</v>
      </c>
      <c r="P512" s="135">
        <v>0.27</v>
      </c>
      <c r="Q512" s="135">
        <v>2.27</v>
      </c>
      <c r="R512" s="136" t="str">
        <f t="shared" si="1"/>
        <v>OptionStrat</v>
      </c>
      <c r="S512" s="132" t="s">
        <v>681</v>
      </c>
      <c r="T512" s="137"/>
      <c r="U512" s="138">
        <v>0.55</v>
      </c>
    </row>
    <row r="513">
      <c r="A513" s="125" t="s">
        <v>28</v>
      </c>
      <c r="B513" s="125" t="s">
        <v>169</v>
      </c>
      <c r="C513" s="126">
        <v>470.0</v>
      </c>
      <c r="D513" s="126">
        <v>590.0</v>
      </c>
      <c r="E513" s="126">
        <v>120.0</v>
      </c>
      <c r="F513" s="127">
        <v>30.15</v>
      </c>
      <c r="G513" s="127">
        <v>89.85</v>
      </c>
      <c r="H513" s="128">
        <v>2.98</v>
      </c>
      <c r="I513" s="127">
        <v>59.47</v>
      </c>
      <c r="J513" s="128">
        <v>1.97</v>
      </c>
      <c r="K513" s="128">
        <v>0.65</v>
      </c>
      <c r="L513" s="128">
        <v>0.55</v>
      </c>
      <c r="M513" s="126">
        <v>318.0</v>
      </c>
      <c r="N513" s="126">
        <v>72.0</v>
      </c>
      <c r="O513" s="128">
        <v>1.51</v>
      </c>
      <c r="P513" s="128">
        <v>0.8</v>
      </c>
      <c r="Q513" s="128">
        <v>2.26</v>
      </c>
      <c r="R513" s="129" t="str">
        <f t="shared" si="1"/>
        <v>OptionStrat</v>
      </c>
      <c r="S513" s="125" t="s">
        <v>682</v>
      </c>
      <c r="T513" s="130"/>
      <c r="U513" s="131">
        <v>0.55</v>
      </c>
    </row>
    <row r="514">
      <c r="A514" s="132" t="s">
        <v>28</v>
      </c>
      <c r="B514" s="132" t="s">
        <v>169</v>
      </c>
      <c r="C514" s="133">
        <v>510.0</v>
      </c>
      <c r="D514" s="133">
        <v>660.0</v>
      </c>
      <c r="E514" s="133">
        <v>150.0</v>
      </c>
      <c r="F514" s="134">
        <v>31.97</v>
      </c>
      <c r="G514" s="134">
        <v>118.03</v>
      </c>
      <c r="H514" s="135">
        <v>3.69</v>
      </c>
      <c r="I514" s="134">
        <v>68.64</v>
      </c>
      <c r="J514" s="135">
        <v>2.15</v>
      </c>
      <c r="K514" s="135">
        <v>0.62</v>
      </c>
      <c r="L514" s="135">
        <v>0.5</v>
      </c>
      <c r="M514" s="133">
        <v>359.0</v>
      </c>
      <c r="N514" s="133">
        <v>129.0</v>
      </c>
      <c r="O514" s="135">
        <v>2.15</v>
      </c>
      <c r="P514" s="135">
        <v>0.66</v>
      </c>
      <c r="Q514" s="135">
        <v>2.26</v>
      </c>
      <c r="R514" s="136" t="str">
        <f t="shared" si="1"/>
        <v>OptionStrat</v>
      </c>
      <c r="S514" s="132" t="s">
        <v>683</v>
      </c>
      <c r="T514" s="137"/>
      <c r="U514" s="138">
        <v>0.55</v>
      </c>
    </row>
    <row r="515">
      <c r="A515" s="125" t="s">
        <v>28</v>
      </c>
      <c r="B515" s="125" t="s">
        <v>169</v>
      </c>
      <c r="C515" s="126">
        <v>540.0</v>
      </c>
      <c r="D515" s="126">
        <v>630.0</v>
      </c>
      <c r="E515" s="126">
        <v>90.0</v>
      </c>
      <c r="F515" s="127">
        <v>19.22</v>
      </c>
      <c r="G515" s="127">
        <v>70.78</v>
      </c>
      <c r="H515" s="128">
        <v>3.68</v>
      </c>
      <c r="I515" s="127">
        <v>43.73</v>
      </c>
      <c r="J515" s="128">
        <v>2.28</v>
      </c>
      <c r="K515" s="128">
        <v>0.59</v>
      </c>
      <c r="L515" s="128">
        <v>0.52</v>
      </c>
      <c r="M515" s="126">
        <v>116.0</v>
      </c>
      <c r="N515" s="126">
        <v>247.0</v>
      </c>
      <c r="O515" s="128">
        <v>1.69</v>
      </c>
      <c r="P515" s="128">
        <v>1.08</v>
      </c>
      <c r="Q515" s="128">
        <v>2.26</v>
      </c>
      <c r="R515" s="129" t="str">
        <f t="shared" si="1"/>
        <v>OptionStrat</v>
      </c>
      <c r="S515" s="125" t="s">
        <v>684</v>
      </c>
      <c r="T515" s="130"/>
      <c r="U515" s="131">
        <v>0.55</v>
      </c>
    </row>
    <row r="516">
      <c r="A516" s="132" t="s">
        <v>28</v>
      </c>
      <c r="B516" s="132" t="s">
        <v>171</v>
      </c>
      <c r="C516" s="133">
        <v>380.0</v>
      </c>
      <c r="D516" s="133">
        <v>490.0</v>
      </c>
      <c r="E516" s="133">
        <v>110.0</v>
      </c>
      <c r="F516" s="134">
        <v>35.57</v>
      </c>
      <c r="G516" s="134">
        <v>74.43</v>
      </c>
      <c r="H516" s="135">
        <v>2.09</v>
      </c>
      <c r="I516" s="134">
        <v>54.78</v>
      </c>
      <c r="J516" s="135">
        <v>1.54</v>
      </c>
      <c r="K516" s="135">
        <v>0.75</v>
      </c>
      <c r="L516" s="135">
        <v>0.66</v>
      </c>
      <c r="M516" s="133">
        <v>97.0</v>
      </c>
      <c r="N516" s="133">
        <v>93.0</v>
      </c>
      <c r="O516" s="135">
        <v>0.95</v>
      </c>
      <c r="P516" s="135">
        <v>0.27</v>
      </c>
      <c r="Q516" s="135">
        <v>2.26</v>
      </c>
      <c r="R516" s="136" t="str">
        <f t="shared" si="1"/>
        <v>OptionStrat</v>
      </c>
      <c r="S516" s="132" t="s">
        <v>685</v>
      </c>
      <c r="T516" s="137"/>
      <c r="U516" s="138">
        <v>0.55</v>
      </c>
    </row>
    <row r="517">
      <c r="A517" s="125" t="s">
        <v>28</v>
      </c>
      <c r="B517" s="125" t="s">
        <v>171</v>
      </c>
      <c r="C517" s="126">
        <v>410.0</v>
      </c>
      <c r="D517" s="126">
        <v>510.0</v>
      </c>
      <c r="E517" s="126">
        <v>100.0</v>
      </c>
      <c r="F517" s="127">
        <v>30.03</v>
      </c>
      <c r="G517" s="127">
        <v>69.97</v>
      </c>
      <c r="H517" s="128">
        <v>2.33</v>
      </c>
      <c r="I517" s="127">
        <v>51.68</v>
      </c>
      <c r="J517" s="128">
        <v>1.72</v>
      </c>
      <c r="K517" s="128">
        <v>0.73</v>
      </c>
      <c r="L517" s="128">
        <v>0.64</v>
      </c>
      <c r="M517" s="126">
        <v>54.0</v>
      </c>
      <c r="N517" s="126">
        <v>45.0</v>
      </c>
      <c r="O517" s="128">
        <v>0.49</v>
      </c>
      <c r="P517" s="128">
        <v>0.27</v>
      </c>
      <c r="Q517" s="128">
        <v>2.26</v>
      </c>
      <c r="R517" s="129" t="str">
        <f t="shared" si="1"/>
        <v>OptionStrat</v>
      </c>
      <c r="S517" s="125" t="s">
        <v>686</v>
      </c>
      <c r="T517" s="130"/>
      <c r="U517" s="131">
        <v>0.56</v>
      </c>
    </row>
    <row r="518">
      <c r="A518" s="132" t="s">
        <v>28</v>
      </c>
      <c r="B518" s="132" t="s">
        <v>169</v>
      </c>
      <c r="C518" s="133">
        <v>370.0</v>
      </c>
      <c r="D518" s="133">
        <v>470.0</v>
      </c>
      <c r="E518" s="133">
        <v>100.0</v>
      </c>
      <c r="F518" s="134">
        <v>35.43</v>
      </c>
      <c r="G518" s="134">
        <v>64.57</v>
      </c>
      <c r="H518" s="135">
        <v>1.82</v>
      </c>
      <c r="I518" s="134">
        <v>47.31</v>
      </c>
      <c r="J518" s="135">
        <v>1.34</v>
      </c>
      <c r="K518" s="135">
        <v>0.75</v>
      </c>
      <c r="L518" s="135">
        <v>0.65</v>
      </c>
      <c r="M518" s="133">
        <v>326.0</v>
      </c>
      <c r="N518" s="133">
        <v>318.0</v>
      </c>
      <c r="O518" s="135">
        <v>3.22</v>
      </c>
      <c r="P518" s="135">
        <v>0.49</v>
      </c>
      <c r="Q518" s="135">
        <v>2.25</v>
      </c>
      <c r="R518" s="136" t="str">
        <f t="shared" si="1"/>
        <v>OptionStrat</v>
      </c>
      <c r="S518" s="132" t="s">
        <v>687</v>
      </c>
      <c r="T518" s="137"/>
      <c r="U518" s="138">
        <v>0.55</v>
      </c>
    </row>
    <row r="519">
      <c r="A519" s="125" t="s">
        <v>28</v>
      </c>
      <c r="B519" s="125" t="s">
        <v>169</v>
      </c>
      <c r="C519" s="126">
        <v>460.0</v>
      </c>
      <c r="D519" s="126">
        <v>590.0</v>
      </c>
      <c r="E519" s="126">
        <v>130.0</v>
      </c>
      <c r="F519" s="127">
        <v>33.13</v>
      </c>
      <c r="G519" s="127">
        <v>96.87</v>
      </c>
      <c r="H519" s="128">
        <v>2.92</v>
      </c>
      <c r="I519" s="127">
        <v>64.05</v>
      </c>
      <c r="J519" s="128">
        <v>1.93</v>
      </c>
      <c r="K519" s="128">
        <v>0.66</v>
      </c>
      <c r="L519" s="128">
        <v>0.55</v>
      </c>
      <c r="M519" s="126">
        <v>419.0</v>
      </c>
      <c r="N519" s="126">
        <v>72.0</v>
      </c>
      <c r="O519" s="128">
        <v>1.74</v>
      </c>
      <c r="P519" s="128">
        <v>0.66</v>
      </c>
      <c r="Q519" s="128">
        <v>2.25</v>
      </c>
      <c r="R519" s="129" t="str">
        <f t="shared" si="1"/>
        <v>OptionStrat</v>
      </c>
      <c r="S519" s="125" t="s">
        <v>688</v>
      </c>
      <c r="T519" s="130"/>
      <c r="U519" s="131">
        <v>0.55</v>
      </c>
    </row>
    <row r="520">
      <c r="A520" s="132" t="s">
        <v>28</v>
      </c>
      <c r="B520" s="132" t="s">
        <v>171</v>
      </c>
      <c r="C520" s="133">
        <v>480.0</v>
      </c>
      <c r="D520" s="133">
        <v>560.0</v>
      </c>
      <c r="E520" s="133">
        <v>80.0</v>
      </c>
      <c r="F520" s="134">
        <v>20.17</v>
      </c>
      <c r="G520" s="134">
        <v>59.83</v>
      </c>
      <c r="H520" s="135">
        <v>2.97</v>
      </c>
      <c r="I520" s="134">
        <v>44.46</v>
      </c>
      <c r="J520" s="135">
        <v>2.2</v>
      </c>
      <c r="K520" s="135">
        <v>0.67</v>
      </c>
      <c r="L520" s="135">
        <v>0.61</v>
      </c>
      <c r="M520" s="133">
        <v>139.0</v>
      </c>
      <c r="N520" s="133">
        <v>18.0</v>
      </c>
      <c r="O520" s="135">
        <v>0.5</v>
      </c>
      <c r="P520" s="135">
        <v>0.27</v>
      </c>
      <c r="Q520" s="135">
        <v>2.25</v>
      </c>
      <c r="R520" s="136" t="str">
        <f t="shared" si="1"/>
        <v>OptionStrat</v>
      </c>
      <c r="S520" s="132" t="s">
        <v>689</v>
      </c>
      <c r="T520" s="137"/>
      <c r="U520" s="138">
        <v>0.55</v>
      </c>
    </row>
    <row r="521">
      <c r="A521" s="125" t="s">
        <v>28</v>
      </c>
      <c r="B521" s="125" t="s">
        <v>171</v>
      </c>
      <c r="C521" s="126">
        <v>550.0</v>
      </c>
      <c r="D521" s="126">
        <v>640.0</v>
      </c>
      <c r="E521" s="126">
        <v>90.0</v>
      </c>
      <c r="F521" s="127">
        <v>18.5</v>
      </c>
      <c r="G521" s="127">
        <v>71.5</v>
      </c>
      <c r="H521" s="128">
        <v>3.86</v>
      </c>
      <c r="I521" s="127">
        <v>48.18</v>
      </c>
      <c r="J521" s="128">
        <v>2.6</v>
      </c>
      <c r="K521" s="128">
        <v>0.61</v>
      </c>
      <c r="L521" s="128">
        <v>0.55</v>
      </c>
      <c r="M521" s="126">
        <v>78.0</v>
      </c>
      <c r="N521" s="126">
        <v>112.0</v>
      </c>
      <c r="O521" s="128">
        <v>0.93</v>
      </c>
      <c r="P521" s="128">
        <v>0.31</v>
      </c>
      <c r="Q521" s="128">
        <v>2.25</v>
      </c>
      <c r="R521" s="129" t="str">
        <f t="shared" si="1"/>
        <v>OptionStrat</v>
      </c>
      <c r="S521" s="125" t="s">
        <v>690</v>
      </c>
      <c r="T521" s="125" t="s">
        <v>181</v>
      </c>
      <c r="U521" s="131">
        <v>0.55</v>
      </c>
    </row>
    <row r="522">
      <c r="A522" s="132" t="s">
        <v>28</v>
      </c>
      <c r="B522" s="132" t="s">
        <v>171</v>
      </c>
      <c r="C522" s="133">
        <v>600.0</v>
      </c>
      <c r="D522" s="133">
        <v>620.0</v>
      </c>
      <c r="E522" s="133">
        <v>20.0</v>
      </c>
      <c r="F522" s="134">
        <v>3.88</v>
      </c>
      <c r="G522" s="134">
        <v>16.12</v>
      </c>
      <c r="H522" s="135">
        <v>4.15</v>
      </c>
      <c r="I522" s="134">
        <v>11.25</v>
      </c>
      <c r="J522" s="135">
        <v>2.9</v>
      </c>
      <c r="K522" s="135">
        <v>0.58</v>
      </c>
      <c r="L522" s="135">
        <v>0.56</v>
      </c>
      <c r="M522" s="133">
        <v>416.0</v>
      </c>
      <c r="N522" s="133">
        <v>10.0</v>
      </c>
      <c r="O522" s="135">
        <v>0.64</v>
      </c>
      <c r="P522" s="135">
        <v>0.31</v>
      </c>
      <c r="Q522" s="135">
        <v>2.25</v>
      </c>
      <c r="R522" s="136" t="str">
        <f t="shared" si="1"/>
        <v>OptionStrat</v>
      </c>
      <c r="S522" s="132" t="s">
        <v>691</v>
      </c>
      <c r="T522" s="132" t="s">
        <v>181</v>
      </c>
      <c r="U522" s="138">
        <v>0.55</v>
      </c>
    </row>
    <row r="523">
      <c r="A523" s="125" t="s">
        <v>28</v>
      </c>
      <c r="B523" s="125" t="s">
        <v>171</v>
      </c>
      <c r="C523" s="126">
        <v>420.0</v>
      </c>
      <c r="D523" s="126">
        <v>440.0</v>
      </c>
      <c r="E523" s="126">
        <v>20.0</v>
      </c>
      <c r="F523" s="127">
        <v>6.7</v>
      </c>
      <c r="G523" s="127">
        <v>13.3</v>
      </c>
      <c r="H523" s="128">
        <v>1.99</v>
      </c>
      <c r="I523" s="127">
        <v>9.77</v>
      </c>
      <c r="J523" s="128">
        <v>1.46</v>
      </c>
      <c r="K523" s="128">
        <v>0.72</v>
      </c>
      <c r="L523" s="128">
        <v>0.7</v>
      </c>
      <c r="M523" s="126">
        <v>131.0</v>
      </c>
      <c r="N523" s="126">
        <v>144.0</v>
      </c>
      <c r="O523" s="128">
        <v>1.37</v>
      </c>
      <c r="P523" s="128">
        <v>0.31</v>
      </c>
      <c r="Q523" s="128">
        <v>2.24</v>
      </c>
      <c r="R523" s="129" t="str">
        <f t="shared" si="1"/>
        <v>OptionStrat</v>
      </c>
      <c r="S523" s="125" t="s">
        <v>692</v>
      </c>
      <c r="T523" s="130"/>
      <c r="U523" s="131">
        <v>0.55</v>
      </c>
    </row>
    <row r="524">
      <c r="A524" s="132" t="s">
        <v>28</v>
      </c>
      <c r="B524" s="132" t="s">
        <v>171</v>
      </c>
      <c r="C524" s="133">
        <v>470.0</v>
      </c>
      <c r="D524" s="133">
        <v>580.0</v>
      </c>
      <c r="E524" s="133">
        <v>110.0</v>
      </c>
      <c r="F524" s="134">
        <v>27.45</v>
      </c>
      <c r="G524" s="134">
        <v>82.55</v>
      </c>
      <c r="H524" s="135">
        <v>3.01</v>
      </c>
      <c r="I524" s="134">
        <v>60.98</v>
      </c>
      <c r="J524" s="135">
        <v>2.22</v>
      </c>
      <c r="K524" s="135">
        <v>0.68</v>
      </c>
      <c r="L524" s="135">
        <v>0.59</v>
      </c>
      <c r="M524" s="133">
        <v>68.0</v>
      </c>
      <c r="N524" s="133">
        <v>50.0</v>
      </c>
      <c r="O524" s="135">
        <v>0.58</v>
      </c>
      <c r="P524" s="135">
        <v>0.28</v>
      </c>
      <c r="Q524" s="135">
        <v>2.24</v>
      </c>
      <c r="R524" s="136" t="str">
        <f t="shared" si="1"/>
        <v>OptionStrat</v>
      </c>
      <c r="S524" s="132" t="s">
        <v>693</v>
      </c>
      <c r="T524" s="137"/>
      <c r="U524" s="138">
        <v>0.55</v>
      </c>
    </row>
    <row r="525">
      <c r="A525" s="125" t="s">
        <v>28</v>
      </c>
      <c r="B525" s="125" t="s">
        <v>171</v>
      </c>
      <c r="C525" s="126">
        <v>480.0</v>
      </c>
      <c r="D525" s="126">
        <v>590.0</v>
      </c>
      <c r="E525" s="126">
        <v>110.0</v>
      </c>
      <c r="F525" s="127">
        <v>26.05</v>
      </c>
      <c r="G525" s="127">
        <v>83.95</v>
      </c>
      <c r="H525" s="128">
        <v>3.22</v>
      </c>
      <c r="I525" s="127">
        <v>61.22</v>
      </c>
      <c r="J525" s="128">
        <v>2.35</v>
      </c>
      <c r="K525" s="128">
        <v>0.67</v>
      </c>
      <c r="L525" s="128">
        <v>0.59</v>
      </c>
      <c r="M525" s="126">
        <v>139.0</v>
      </c>
      <c r="N525" s="126">
        <v>15.0</v>
      </c>
      <c r="O525" s="128">
        <v>0.46</v>
      </c>
      <c r="P525" s="128">
        <v>0.36</v>
      </c>
      <c r="Q525" s="128">
        <v>2.24</v>
      </c>
      <c r="R525" s="129" t="str">
        <f t="shared" si="1"/>
        <v>OptionStrat</v>
      </c>
      <c r="S525" s="125" t="s">
        <v>694</v>
      </c>
      <c r="T525" s="130"/>
      <c r="U525" s="131">
        <v>0.55</v>
      </c>
    </row>
    <row r="526">
      <c r="A526" s="132" t="s">
        <v>28</v>
      </c>
      <c r="B526" s="132" t="s">
        <v>171</v>
      </c>
      <c r="C526" s="133">
        <v>580.0</v>
      </c>
      <c r="D526" s="133">
        <v>640.0</v>
      </c>
      <c r="E526" s="133">
        <v>60.0</v>
      </c>
      <c r="F526" s="134">
        <v>11.77</v>
      </c>
      <c r="G526" s="134">
        <v>48.23</v>
      </c>
      <c r="H526" s="135">
        <v>4.1</v>
      </c>
      <c r="I526" s="134">
        <v>32.58</v>
      </c>
      <c r="J526" s="135">
        <v>2.77</v>
      </c>
      <c r="K526" s="135">
        <v>0.59</v>
      </c>
      <c r="L526" s="135">
        <v>0.55</v>
      </c>
      <c r="M526" s="133">
        <v>50.0</v>
      </c>
      <c r="N526" s="133">
        <v>112.0</v>
      </c>
      <c r="O526" s="135">
        <v>0.75</v>
      </c>
      <c r="P526" s="135">
        <v>0.3</v>
      </c>
      <c r="Q526" s="135">
        <v>2.24</v>
      </c>
      <c r="R526" s="136" t="str">
        <f t="shared" si="1"/>
        <v>OptionStrat</v>
      </c>
      <c r="S526" s="132" t="s">
        <v>695</v>
      </c>
      <c r="T526" s="137"/>
      <c r="U526" s="138">
        <v>0.55</v>
      </c>
    </row>
    <row r="527">
      <c r="A527" s="125" t="s">
        <v>28</v>
      </c>
      <c r="B527" s="125" t="s">
        <v>169</v>
      </c>
      <c r="C527" s="126">
        <v>530.0</v>
      </c>
      <c r="D527" s="126">
        <v>670.0</v>
      </c>
      <c r="E527" s="126">
        <v>140.0</v>
      </c>
      <c r="F527" s="127">
        <v>28.5</v>
      </c>
      <c r="G527" s="127">
        <v>111.5</v>
      </c>
      <c r="H527" s="128">
        <v>3.91</v>
      </c>
      <c r="I527" s="127">
        <v>63.91</v>
      </c>
      <c r="J527" s="128">
        <v>2.24</v>
      </c>
      <c r="K527" s="128">
        <v>0.6</v>
      </c>
      <c r="L527" s="128">
        <v>0.49</v>
      </c>
      <c r="M527" s="126">
        <v>171.0</v>
      </c>
      <c r="N527" s="126">
        <v>228.0</v>
      </c>
      <c r="O527" s="128">
        <v>1.97</v>
      </c>
      <c r="P527" s="128">
        <v>0.71</v>
      </c>
      <c r="Q527" s="128">
        <v>2.23</v>
      </c>
      <c r="R527" s="129" t="str">
        <f t="shared" si="1"/>
        <v>OptionStrat</v>
      </c>
      <c r="S527" s="125" t="s">
        <v>696</v>
      </c>
      <c r="T527" s="130"/>
      <c r="U527" s="131">
        <v>0.55</v>
      </c>
    </row>
    <row r="528">
      <c r="A528" s="132" t="s">
        <v>28</v>
      </c>
      <c r="B528" s="132" t="s">
        <v>169</v>
      </c>
      <c r="C528" s="133">
        <v>530.0</v>
      </c>
      <c r="D528" s="133">
        <v>680.0</v>
      </c>
      <c r="E528" s="133">
        <v>150.0</v>
      </c>
      <c r="F528" s="134">
        <v>30.17</v>
      </c>
      <c r="G528" s="134">
        <v>119.83</v>
      </c>
      <c r="H528" s="135">
        <v>3.97</v>
      </c>
      <c r="I528" s="134">
        <v>67.41</v>
      </c>
      <c r="J528" s="135">
        <v>2.23</v>
      </c>
      <c r="K528" s="135">
        <v>0.6</v>
      </c>
      <c r="L528" s="135">
        <v>0.48</v>
      </c>
      <c r="M528" s="133">
        <v>171.0</v>
      </c>
      <c r="N528" s="133">
        <v>245.0</v>
      </c>
      <c r="O528" s="135">
        <v>2.05</v>
      </c>
      <c r="P528" s="135">
        <v>0.7</v>
      </c>
      <c r="Q528" s="135">
        <v>2.23</v>
      </c>
      <c r="R528" s="136" t="str">
        <f t="shared" si="1"/>
        <v>OptionStrat</v>
      </c>
      <c r="S528" s="132" t="s">
        <v>697</v>
      </c>
      <c r="T528" s="137"/>
      <c r="U528" s="138">
        <v>0.55</v>
      </c>
    </row>
    <row r="529">
      <c r="A529" s="125" t="s">
        <v>28</v>
      </c>
      <c r="B529" s="125" t="s">
        <v>169</v>
      </c>
      <c r="C529" s="126">
        <v>540.0</v>
      </c>
      <c r="D529" s="126">
        <v>640.0</v>
      </c>
      <c r="E529" s="126">
        <v>100.0</v>
      </c>
      <c r="F529" s="127">
        <v>21.02</v>
      </c>
      <c r="G529" s="127">
        <v>78.98</v>
      </c>
      <c r="H529" s="128">
        <v>3.76</v>
      </c>
      <c r="I529" s="127">
        <v>47.9</v>
      </c>
      <c r="J529" s="128">
        <v>2.28</v>
      </c>
      <c r="K529" s="128">
        <v>0.59</v>
      </c>
      <c r="L529" s="128">
        <v>0.51</v>
      </c>
      <c r="M529" s="126">
        <v>116.0</v>
      </c>
      <c r="N529" s="126">
        <v>222.0</v>
      </c>
      <c r="O529" s="128">
        <v>1.6</v>
      </c>
      <c r="P529" s="128">
        <v>1.08</v>
      </c>
      <c r="Q529" s="128">
        <v>2.23</v>
      </c>
      <c r="R529" s="129" t="str">
        <f t="shared" si="1"/>
        <v>OptionStrat</v>
      </c>
      <c r="S529" s="125" t="s">
        <v>698</v>
      </c>
      <c r="T529" s="130"/>
      <c r="U529" s="131">
        <v>0.55</v>
      </c>
    </row>
    <row r="530">
      <c r="A530" s="132" t="s">
        <v>28</v>
      </c>
      <c r="B530" s="132" t="s">
        <v>169</v>
      </c>
      <c r="C530" s="133">
        <v>590.0</v>
      </c>
      <c r="D530" s="133">
        <v>630.0</v>
      </c>
      <c r="E530" s="133">
        <v>40.0</v>
      </c>
      <c r="F530" s="134">
        <v>7.92</v>
      </c>
      <c r="G530" s="134">
        <v>32.08</v>
      </c>
      <c r="H530" s="135">
        <v>4.05</v>
      </c>
      <c r="I530" s="134">
        <v>19.95</v>
      </c>
      <c r="J530" s="135">
        <v>2.52</v>
      </c>
      <c r="K530" s="135">
        <v>0.55</v>
      </c>
      <c r="L530" s="135">
        <v>0.52</v>
      </c>
      <c r="M530" s="133">
        <v>72.0</v>
      </c>
      <c r="N530" s="133">
        <v>247.0</v>
      </c>
      <c r="O530" s="135">
        <v>1.33</v>
      </c>
      <c r="P530" s="135">
        <v>1.14</v>
      </c>
      <c r="Q530" s="135">
        <v>2.23</v>
      </c>
      <c r="R530" s="136" t="str">
        <f t="shared" si="1"/>
        <v>OptionStrat</v>
      </c>
      <c r="S530" s="132" t="s">
        <v>699</v>
      </c>
      <c r="T530" s="137"/>
      <c r="U530" s="138">
        <v>0.55</v>
      </c>
    </row>
    <row r="531">
      <c r="A531" s="125" t="s">
        <v>28</v>
      </c>
      <c r="B531" s="125" t="s">
        <v>171</v>
      </c>
      <c r="C531" s="126">
        <v>380.0</v>
      </c>
      <c r="D531" s="126">
        <v>510.0</v>
      </c>
      <c r="E531" s="126">
        <v>130.0</v>
      </c>
      <c r="F531" s="127">
        <v>40.92</v>
      </c>
      <c r="G531" s="127">
        <v>89.08</v>
      </c>
      <c r="H531" s="128">
        <v>2.18</v>
      </c>
      <c r="I531" s="127">
        <v>65.65</v>
      </c>
      <c r="J531" s="128">
        <v>1.6</v>
      </c>
      <c r="K531" s="128">
        <v>0.75</v>
      </c>
      <c r="L531" s="128">
        <v>0.64</v>
      </c>
      <c r="M531" s="126">
        <v>97.0</v>
      </c>
      <c r="N531" s="126">
        <v>45.0</v>
      </c>
      <c r="O531" s="128">
        <v>0.66</v>
      </c>
      <c r="P531" s="128">
        <v>0.27</v>
      </c>
      <c r="Q531" s="128">
        <v>2.23</v>
      </c>
      <c r="R531" s="129" t="str">
        <f t="shared" si="1"/>
        <v>OptionStrat</v>
      </c>
      <c r="S531" s="125" t="s">
        <v>700</v>
      </c>
      <c r="T531" s="130"/>
      <c r="U531" s="131">
        <v>0.55</v>
      </c>
    </row>
    <row r="532">
      <c r="A532" s="132" t="s">
        <v>28</v>
      </c>
      <c r="B532" s="132" t="s">
        <v>171</v>
      </c>
      <c r="C532" s="133">
        <v>540.0</v>
      </c>
      <c r="D532" s="133">
        <v>640.0</v>
      </c>
      <c r="E532" s="133">
        <v>100.0</v>
      </c>
      <c r="F532" s="134">
        <v>20.8</v>
      </c>
      <c r="G532" s="134">
        <v>79.2</v>
      </c>
      <c r="H532" s="135">
        <v>3.81</v>
      </c>
      <c r="I532" s="134">
        <v>53.33</v>
      </c>
      <c r="J532" s="135">
        <v>2.56</v>
      </c>
      <c r="K532" s="135">
        <v>0.62</v>
      </c>
      <c r="L532" s="135">
        <v>0.55</v>
      </c>
      <c r="M532" s="133">
        <v>58.0</v>
      </c>
      <c r="N532" s="133">
        <v>112.0</v>
      </c>
      <c r="O532" s="135">
        <v>0.81</v>
      </c>
      <c r="P532" s="135">
        <v>0.3</v>
      </c>
      <c r="Q532" s="135">
        <v>2.23</v>
      </c>
      <c r="R532" s="136" t="str">
        <f t="shared" si="1"/>
        <v>OptionStrat</v>
      </c>
      <c r="S532" s="132" t="s">
        <v>701</v>
      </c>
      <c r="T532" s="137"/>
      <c r="U532" s="138">
        <v>0.55</v>
      </c>
    </row>
    <row r="533">
      <c r="A533" s="125" t="s">
        <v>28</v>
      </c>
      <c r="B533" s="125" t="s">
        <v>171</v>
      </c>
      <c r="C533" s="126">
        <v>560.0</v>
      </c>
      <c r="D533" s="126">
        <v>600.0</v>
      </c>
      <c r="E533" s="126">
        <v>40.0</v>
      </c>
      <c r="F533" s="127">
        <v>8.52</v>
      </c>
      <c r="G533" s="127">
        <v>31.48</v>
      </c>
      <c r="H533" s="128">
        <v>3.69</v>
      </c>
      <c r="I533" s="127">
        <v>22.6</v>
      </c>
      <c r="J533" s="128">
        <v>2.65</v>
      </c>
      <c r="K533" s="128">
        <v>0.61</v>
      </c>
      <c r="L533" s="128">
        <v>0.58</v>
      </c>
      <c r="M533" s="126">
        <v>18.0</v>
      </c>
      <c r="N533" s="126">
        <v>416.0</v>
      </c>
      <c r="O533" s="128">
        <v>0.87</v>
      </c>
      <c r="P533" s="128">
        <v>0.29</v>
      </c>
      <c r="Q533" s="128">
        <v>2.23</v>
      </c>
      <c r="R533" s="129" t="str">
        <f t="shared" si="1"/>
        <v>OptionStrat</v>
      </c>
      <c r="S533" s="125" t="s">
        <v>702</v>
      </c>
      <c r="T533" s="130"/>
      <c r="U533" s="131">
        <v>0.55</v>
      </c>
    </row>
    <row r="534">
      <c r="A534" s="132" t="s">
        <v>28</v>
      </c>
      <c r="B534" s="132" t="s">
        <v>169</v>
      </c>
      <c r="C534" s="133">
        <v>520.0</v>
      </c>
      <c r="D534" s="133">
        <v>660.0</v>
      </c>
      <c r="E534" s="133">
        <v>140.0</v>
      </c>
      <c r="F534" s="134">
        <v>29.35</v>
      </c>
      <c r="G534" s="134">
        <v>110.65</v>
      </c>
      <c r="H534" s="135">
        <v>3.77</v>
      </c>
      <c r="I534" s="134">
        <v>64.47</v>
      </c>
      <c r="J534" s="135">
        <v>2.2</v>
      </c>
      <c r="K534" s="135">
        <v>0.61</v>
      </c>
      <c r="L534" s="135">
        <v>0.5</v>
      </c>
      <c r="M534" s="133">
        <v>281.0</v>
      </c>
      <c r="N534" s="133">
        <v>129.0</v>
      </c>
      <c r="O534" s="135">
        <v>1.9</v>
      </c>
      <c r="P534" s="135">
        <v>0.67</v>
      </c>
      <c r="Q534" s="135">
        <v>2.22</v>
      </c>
      <c r="R534" s="136" t="str">
        <f t="shared" si="1"/>
        <v>OptionStrat</v>
      </c>
      <c r="S534" s="132" t="s">
        <v>703</v>
      </c>
      <c r="T534" s="137"/>
      <c r="U534" s="138">
        <v>0.55</v>
      </c>
    </row>
    <row r="535">
      <c r="A535" s="125" t="s">
        <v>28</v>
      </c>
      <c r="B535" s="125" t="s">
        <v>169</v>
      </c>
      <c r="C535" s="126">
        <v>590.0</v>
      </c>
      <c r="D535" s="126">
        <v>640.0</v>
      </c>
      <c r="E535" s="126">
        <v>50.0</v>
      </c>
      <c r="F535" s="127">
        <v>9.72</v>
      </c>
      <c r="G535" s="127">
        <v>40.28</v>
      </c>
      <c r="H535" s="128">
        <v>4.14</v>
      </c>
      <c r="I535" s="127">
        <v>24.61</v>
      </c>
      <c r="J535" s="128">
        <v>2.53</v>
      </c>
      <c r="K535" s="128">
        <v>0.55</v>
      </c>
      <c r="L535" s="128">
        <v>0.51</v>
      </c>
      <c r="M535" s="126">
        <v>72.0</v>
      </c>
      <c r="N535" s="126">
        <v>222.0</v>
      </c>
      <c r="O535" s="128">
        <v>1.26</v>
      </c>
      <c r="P535" s="128">
        <v>1.14</v>
      </c>
      <c r="Q535" s="128">
        <v>2.22</v>
      </c>
      <c r="R535" s="129" t="str">
        <f t="shared" si="1"/>
        <v>OptionStrat</v>
      </c>
      <c r="S535" s="125" t="s">
        <v>704</v>
      </c>
      <c r="T535" s="130"/>
      <c r="U535" s="131">
        <v>0.55</v>
      </c>
    </row>
    <row r="536">
      <c r="A536" s="132" t="s">
        <v>28</v>
      </c>
      <c r="B536" s="132" t="s">
        <v>169</v>
      </c>
      <c r="C536" s="133">
        <v>590.0</v>
      </c>
      <c r="D536" s="133">
        <v>670.0</v>
      </c>
      <c r="E536" s="133">
        <v>80.0</v>
      </c>
      <c r="F536" s="134">
        <v>14.95</v>
      </c>
      <c r="G536" s="134">
        <v>65.05</v>
      </c>
      <c r="H536" s="135">
        <v>4.35</v>
      </c>
      <c r="I536" s="134">
        <v>37.65</v>
      </c>
      <c r="J536" s="135">
        <v>2.52</v>
      </c>
      <c r="K536" s="135">
        <v>0.55</v>
      </c>
      <c r="L536" s="135">
        <v>0.49</v>
      </c>
      <c r="M536" s="133">
        <v>72.0</v>
      </c>
      <c r="N536" s="133">
        <v>228.0</v>
      </c>
      <c r="O536" s="135">
        <v>1.28</v>
      </c>
      <c r="P536" s="135">
        <v>1.18</v>
      </c>
      <c r="Q536" s="135">
        <v>2.22</v>
      </c>
      <c r="R536" s="136" t="str">
        <f t="shared" si="1"/>
        <v>OptionStrat</v>
      </c>
      <c r="S536" s="132" t="s">
        <v>705</v>
      </c>
      <c r="T536" s="137"/>
      <c r="U536" s="138">
        <v>0.55</v>
      </c>
    </row>
    <row r="537">
      <c r="A537" s="125" t="s">
        <v>28</v>
      </c>
      <c r="B537" s="125" t="s">
        <v>169</v>
      </c>
      <c r="C537" s="126">
        <v>590.0</v>
      </c>
      <c r="D537" s="126">
        <v>680.0</v>
      </c>
      <c r="E537" s="126">
        <v>90.0</v>
      </c>
      <c r="F537" s="127">
        <v>16.63</v>
      </c>
      <c r="G537" s="127">
        <v>73.37</v>
      </c>
      <c r="H537" s="128">
        <v>4.41</v>
      </c>
      <c r="I537" s="127">
        <v>41.69</v>
      </c>
      <c r="J537" s="128">
        <v>2.51</v>
      </c>
      <c r="K537" s="128">
        <v>0.55</v>
      </c>
      <c r="L537" s="128">
        <v>0.48</v>
      </c>
      <c r="M537" s="126">
        <v>72.0</v>
      </c>
      <c r="N537" s="126">
        <v>245.0</v>
      </c>
      <c r="O537" s="128">
        <v>1.33</v>
      </c>
      <c r="P537" s="128">
        <v>1.14</v>
      </c>
      <c r="Q537" s="128">
        <v>2.22</v>
      </c>
      <c r="R537" s="129" t="str">
        <f t="shared" si="1"/>
        <v>OptionStrat</v>
      </c>
      <c r="S537" s="125" t="s">
        <v>706</v>
      </c>
      <c r="T537" s="130"/>
      <c r="U537" s="131">
        <v>0.55</v>
      </c>
    </row>
    <row r="538">
      <c r="A538" s="132" t="s">
        <v>28</v>
      </c>
      <c r="B538" s="132" t="s">
        <v>171</v>
      </c>
      <c r="C538" s="133">
        <v>510.0</v>
      </c>
      <c r="D538" s="133">
        <v>640.0</v>
      </c>
      <c r="E538" s="133">
        <v>130.0</v>
      </c>
      <c r="F538" s="134">
        <v>28.22</v>
      </c>
      <c r="G538" s="134">
        <v>101.78</v>
      </c>
      <c r="H538" s="135">
        <v>3.61</v>
      </c>
      <c r="I538" s="134">
        <v>68.35</v>
      </c>
      <c r="J538" s="135">
        <v>2.42</v>
      </c>
      <c r="K538" s="135">
        <v>0.64</v>
      </c>
      <c r="L538" s="135">
        <v>0.55</v>
      </c>
      <c r="M538" s="133">
        <v>45.0</v>
      </c>
      <c r="N538" s="133">
        <v>112.0</v>
      </c>
      <c r="O538" s="135">
        <v>0.71</v>
      </c>
      <c r="P538" s="135">
        <v>0.3</v>
      </c>
      <c r="Q538" s="135">
        <v>2.22</v>
      </c>
      <c r="R538" s="136" t="str">
        <f t="shared" si="1"/>
        <v>OptionStrat</v>
      </c>
      <c r="S538" s="132" t="s">
        <v>707</v>
      </c>
      <c r="T538" s="137"/>
      <c r="U538" s="138">
        <v>0.55</v>
      </c>
    </row>
    <row r="539">
      <c r="A539" s="125" t="s">
        <v>28</v>
      </c>
      <c r="B539" s="125" t="s">
        <v>171</v>
      </c>
      <c r="C539" s="126">
        <v>520.0</v>
      </c>
      <c r="D539" s="126">
        <v>560.0</v>
      </c>
      <c r="E539" s="126">
        <v>40.0</v>
      </c>
      <c r="F539" s="127">
        <v>9.52</v>
      </c>
      <c r="G539" s="127">
        <v>30.48</v>
      </c>
      <c r="H539" s="128">
        <v>3.2</v>
      </c>
      <c r="I539" s="127">
        <v>22.68</v>
      </c>
      <c r="J539" s="128">
        <v>2.38</v>
      </c>
      <c r="K539" s="128">
        <v>0.64</v>
      </c>
      <c r="L539" s="128">
        <v>0.61</v>
      </c>
      <c r="M539" s="126">
        <v>82.0</v>
      </c>
      <c r="N539" s="126">
        <v>18.0</v>
      </c>
      <c r="O539" s="128">
        <v>0.38</v>
      </c>
      <c r="P539" s="128">
        <v>0.27</v>
      </c>
      <c r="Q539" s="128">
        <v>2.22</v>
      </c>
      <c r="R539" s="129" t="str">
        <f t="shared" si="1"/>
        <v>OptionStrat</v>
      </c>
      <c r="S539" s="125" t="s">
        <v>708</v>
      </c>
      <c r="T539" s="130"/>
      <c r="U539" s="131">
        <v>0.55</v>
      </c>
    </row>
    <row r="540">
      <c r="A540" s="132" t="s">
        <v>28</v>
      </c>
      <c r="B540" s="132" t="s">
        <v>171</v>
      </c>
      <c r="C540" s="133">
        <v>530.0</v>
      </c>
      <c r="D540" s="133">
        <v>590.0</v>
      </c>
      <c r="E540" s="133">
        <v>60.0</v>
      </c>
      <c r="F540" s="134">
        <v>12.6</v>
      </c>
      <c r="G540" s="134">
        <v>47.4</v>
      </c>
      <c r="H540" s="135">
        <v>3.76</v>
      </c>
      <c r="I540" s="134">
        <v>34.7</v>
      </c>
      <c r="J540" s="135">
        <v>2.75</v>
      </c>
      <c r="K540" s="135">
        <v>0.63</v>
      </c>
      <c r="L540" s="135">
        <v>0.59</v>
      </c>
      <c r="M540" s="133">
        <v>60.0</v>
      </c>
      <c r="N540" s="133">
        <v>15.0</v>
      </c>
      <c r="O540" s="135">
        <v>0.3</v>
      </c>
      <c r="P540" s="135">
        <v>0.43</v>
      </c>
      <c r="Q540" s="135">
        <v>2.22</v>
      </c>
      <c r="R540" s="136" t="str">
        <f t="shared" si="1"/>
        <v>OptionStrat</v>
      </c>
      <c r="S540" s="132" t="s">
        <v>709</v>
      </c>
      <c r="T540" s="137"/>
      <c r="U540" s="138">
        <v>0.55</v>
      </c>
    </row>
    <row r="541">
      <c r="A541" s="125" t="s">
        <v>28</v>
      </c>
      <c r="B541" s="125" t="s">
        <v>169</v>
      </c>
      <c r="C541" s="126">
        <v>540.0</v>
      </c>
      <c r="D541" s="126">
        <v>670.0</v>
      </c>
      <c r="E541" s="126">
        <v>130.0</v>
      </c>
      <c r="F541" s="127">
        <v>26.25</v>
      </c>
      <c r="G541" s="127">
        <v>103.75</v>
      </c>
      <c r="H541" s="128">
        <v>3.95</v>
      </c>
      <c r="I541" s="127">
        <v>59.52</v>
      </c>
      <c r="J541" s="128">
        <v>2.27</v>
      </c>
      <c r="K541" s="128">
        <v>0.59</v>
      </c>
      <c r="L541" s="128">
        <v>0.49</v>
      </c>
      <c r="M541" s="126">
        <v>116.0</v>
      </c>
      <c r="N541" s="126">
        <v>228.0</v>
      </c>
      <c r="O541" s="128">
        <v>1.63</v>
      </c>
      <c r="P541" s="128">
        <v>1.11</v>
      </c>
      <c r="Q541" s="128">
        <v>2.21</v>
      </c>
      <c r="R541" s="129" t="str">
        <f t="shared" si="1"/>
        <v>OptionStrat</v>
      </c>
      <c r="S541" s="125" t="s">
        <v>710</v>
      </c>
      <c r="T541" s="130"/>
      <c r="U541" s="131">
        <v>0.55</v>
      </c>
    </row>
    <row r="542">
      <c r="A542" s="132" t="s">
        <v>28</v>
      </c>
      <c r="B542" s="132" t="s">
        <v>169</v>
      </c>
      <c r="C542" s="133">
        <v>540.0</v>
      </c>
      <c r="D542" s="133">
        <v>680.0</v>
      </c>
      <c r="E542" s="133">
        <v>140.0</v>
      </c>
      <c r="F542" s="134">
        <v>27.92</v>
      </c>
      <c r="G542" s="134">
        <v>112.08</v>
      </c>
      <c r="H542" s="135">
        <v>4.01</v>
      </c>
      <c r="I542" s="134">
        <v>63.11</v>
      </c>
      <c r="J542" s="135">
        <v>2.26</v>
      </c>
      <c r="K542" s="135">
        <v>0.59</v>
      </c>
      <c r="L542" s="135">
        <v>0.48</v>
      </c>
      <c r="M542" s="133">
        <v>116.0</v>
      </c>
      <c r="N542" s="133">
        <v>245.0</v>
      </c>
      <c r="O542" s="135">
        <v>1.69</v>
      </c>
      <c r="P542" s="135">
        <v>1.08</v>
      </c>
      <c r="Q542" s="135">
        <v>2.21</v>
      </c>
      <c r="R542" s="136" t="str">
        <f t="shared" si="1"/>
        <v>OptionStrat</v>
      </c>
      <c r="S542" s="132" t="s">
        <v>711</v>
      </c>
      <c r="T542" s="137"/>
      <c r="U542" s="138">
        <v>0.55</v>
      </c>
    </row>
    <row r="543">
      <c r="A543" s="125" t="s">
        <v>28</v>
      </c>
      <c r="B543" s="125" t="s">
        <v>171</v>
      </c>
      <c r="C543" s="126">
        <v>510.0</v>
      </c>
      <c r="D543" s="126">
        <v>580.0</v>
      </c>
      <c r="E543" s="126">
        <v>70.0</v>
      </c>
      <c r="F543" s="127">
        <v>16.45</v>
      </c>
      <c r="G543" s="127">
        <v>53.55</v>
      </c>
      <c r="H543" s="128">
        <v>3.26</v>
      </c>
      <c r="I543" s="127">
        <v>39.63</v>
      </c>
      <c r="J543" s="128">
        <v>2.41</v>
      </c>
      <c r="K543" s="128">
        <v>0.64</v>
      </c>
      <c r="L543" s="128">
        <v>0.59</v>
      </c>
      <c r="M543" s="126">
        <v>45.0</v>
      </c>
      <c r="N543" s="126">
        <v>50.0</v>
      </c>
      <c r="O543" s="128">
        <v>0.47</v>
      </c>
      <c r="P543" s="128">
        <v>0.27</v>
      </c>
      <c r="Q543" s="128">
        <v>2.21</v>
      </c>
      <c r="R543" s="129" t="str">
        <f t="shared" si="1"/>
        <v>OptionStrat</v>
      </c>
      <c r="S543" s="125" t="s">
        <v>712</v>
      </c>
      <c r="T543" s="130"/>
      <c r="U543" s="131">
        <v>0.55</v>
      </c>
    </row>
    <row r="544">
      <c r="A544" s="132" t="s">
        <v>28</v>
      </c>
      <c r="B544" s="132" t="s">
        <v>171</v>
      </c>
      <c r="C544" s="133">
        <v>530.0</v>
      </c>
      <c r="D544" s="133">
        <v>680.0</v>
      </c>
      <c r="E544" s="133">
        <v>150.0</v>
      </c>
      <c r="F544" s="134">
        <v>29.8</v>
      </c>
      <c r="G544" s="134">
        <v>120.2</v>
      </c>
      <c r="H544" s="135">
        <v>4.03</v>
      </c>
      <c r="I544" s="134">
        <v>76.09</v>
      </c>
      <c r="J544" s="135">
        <v>2.55</v>
      </c>
      <c r="K544" s="135">
        <v>0.63</v>
      </c>
      <c r="L544" s="135">
        <v>0.53</v>
      </c>
      <c r="M544" s="133">
        <v>60.0</v>
      </c>
      <c r="N544" s="133">
        <v>77.0</v>
      </c>
      <c r="O544" s="135">
        <v>0.68</v>
      </c>
      <c r="P544" s="135">
        <v>0.34</v>
      </c>
      <c r="Q544" s="135">
        <v>2.21</v>
      </c>
      <c r="R544" s="136" t="str">
        <f t="shared" si="1"/>
        <v>OptionStrat</v>
      </c>
      <c r="S544" s="132" t="s">
        <v>713</v>
      </c>
      <c r="T544" s="137"/>
      <c r="U544" s="138">
        <v>0.55</v>
      </c>
    </row>
    <row r="545">
      <c r="A545" s="125" t="s">
        <v>28</v>
      </c>
      <c r="B545" s="125" t="s">
        <v>171</v>
      </c>
      <c r="C545" s="126">
        <v>670.0</v>
      </c>
      <c r="D545" s="126">
        <v>690.0</v>
      </c>
      <c r="E545" s="126">
        <v>20.0</v>
      </c>
      <c r="F545" s="127">
        <v>3.13</v>
      </c>
      <c r="G545" s="127">
        <v>16.87</v>
      </c>
      <c r="H545" s="128">
        <v>5.39</v>
      </c>
      <c r="I545" s="127">
        <v>10.69</v>
      </c>
      <c r="J545" s="128">
        <v>3.42</v>
      </c>
      <c r="K545" s="128">
        <v>0.53</v>
      </c>
      <c r="L545" s="128">
        <v>0.52</v>
      </c>
      <c r="M545" s="126">
        <v>24.0</v>
      </c>
      <c r="N545" s="126">
        <v>49.0</v>
      </c>
      <c r="O545" s="128">
        <v>0.34</v>
      </c>
      <c r="P545" s="128">
        <v>0.31</v>
      </c>
      <c r="Q545" s="128">
        <v>2.21</v>
      </c>
      <c r="R545" s="129" t="str">
        <f t="shared" si="1"/>
        <v>OptionStrat</v>
      </c>
      <c r="S545" s="125" t="s">
        <v>714</v>
      </c>
      <c r="T545" s="130"/>
      <c r="U545" s="131">
        <v>0.55</v>
      </c>
    </row>
    <row r="546">
      <c r="A546" s="132" t="s">
        <v>28</v>
      </c>
      <c r="B546" s="132" t="s">
        <v>169</v>
      </c>
      <c r="C546" s="133">
        <v>370.0</v>
      </c>
      <c r="D546" s="133">
        <v>460.0</v>
      </c>
      <c r="E546" s="133">
        <v>90.0</v>
      </c>
      <c r="F546" s="134">
        <v>32.45</v>
      </c>
      <c r="G546" s="134">
        <v>57.55</v>
      </c>
      <c r="H546" s="135">
        <v>1.77</v>
      </c>
      <c r="I546" s="134">
        <v>42.12</v>
      </c>
      <c r="J546" s="135">
        <v>1.3</v>
      </c>
      <c r="K546" s="135">
        <v>0.75</v>
      </c>
      <c r="L546" s="135">
        <v>0.66</v>
      </c>
      <c r="M546" s="133">
        <v>326.0</v>
      </c>
      <c r="N546" s="133">
        <v>419.0</v>
      </c>
      <c r="O546" s="135">
        <v>3.7</v>
      </c>
      <c r="P546" s="135">
        <v>0.43</v>
      </c>
      <c r="Q546" s="135">
        <v>2.2</v>
      </c>
      <c r="R546" s="136" t="str">
        <f t="shared" si="1"/>
        <v>OptionStrat</v>
      </c>
      <c r="S546" s="132" t="s">
        <v>715</v>
      </c>
      <c r="T546" s="137"/>
      <c r="U546" s="138">
        <v>0.55</v>
      </c>
    </row>
    <row r="547">
      <c r="A547" s="125" t="s">
        <v>28</v>
      </c>
      <c r="B547" s="125" t="s">
        <v>169</v>
      </c>
      <c r="C547" s="126">
        <v>560.0</v>
      </c>
      <c r="D547" s="126">
        <v>660.0</v>
      </c>
      <c r="E547" s="126">
        <v>100.0</v>
      </c>
      <c r="F547" s="127">
        <v>19.85</v>
      </c>
      <c r="G547" s="127">
        <v>80.15</v>
      </c>
      <c r="H547" s="128">
        <v>4.04</v>
      </c>
      <c r="I547" s="127">
        <v>46.99</v>
      </c>
      <c r="J547" s="128">
        <v>2.37</v>
      </c>
      <c r="K547" s="128">
        <v>0.57</v>
      </c>
      <c r="L547" s="128">
        <v>0.5</v>
      </c>
      <c r="M547" s="126">
        <v>183.0</v>
      </c>
      <c r="N547" s="126">
        <v>129.0</v>
      </c>
      <c r="O547" s="128">
        <v>1.54</v>
      </c>
      <c r="P547" s="128">
        <v>1.11</v>
      </c>
      <c r="Q547" s="128">
        <v>2.2</v>
      </c>
      <c r="R547" s="129" t="str">
        <f t="shared" si="1"/>
        <v>OptionStrat</v>
      </c>
      <c r="S547" s="125" t="s">
        <v>716</v>
      </c>
      <c r="T547" s="130"/>
      <c r="U547" s="131">
        <v>0.55</v>
      </c>
    </row>
    <row r="548">
      <c r="A548" s="132" t="s">
        <v>28</v>
      </c>
      <c r="B548" s="132" t="s">
        <v>171</v>
      </c>
      <c r="C548" s="133">
        <v>570.0</v>
      </c>
      <c r="D548" s="133">
        <v>690.0</v>
      </c>
      <c r="E548" s="133">
        <v>120.0</v>
      </c>
      <c r="F548" s="134">
        <v>22.45</v>
      </c>
      <c r="G548" s="134">
        <v>97.55</v>
      </c>
      <c r="H548" s="135">
        <v>4.35</v>
      </c>
      <c r="I548" s="134">
        <v>61.08</v>
      </c>
      <c r="J548" s="135">
        <v>2.72</v>
      </c>
      <c r="K548" s="135">
        <v>0.6</v>
      </c>
      <c r="L548" s="135">
        <v>0.52</v>
      </c>
      <c r="M548" s="133">
        <v>110.0</v>
      </c>
      <c r="N548" s="133">
        <v>49.0</v>
      </c>
      <c r="O548" s="135">
        <v>0.73</v>
      </c>
      <c r="P548" s="135">
        <v>0.29</v>
      </c>
      <c r="Q548" s="135">
        <v>2.2</v>
      </c>
      <c r="R548" s="136" t="str">
        <f t="shared" si="1"/>
        <v>OptionStrat</v>
      </c>
      <c r="S548" s="132" t="s">
        <v>717</v>
      </c>
      <c r="T548" s="137"/>
      <c r="U548" s="138">
        <v>0.55</v>
      </c>
    </row>
    <row r="549">
      <c r="A549" s="125" t="s">
        <v>28</v>
      </c>
      <c r="B549" s="125" t="s">
        <v>171</v>
      </c>
      <c r="C549" s="126">
        <v>610.0</v>
      </c>
      <c r="D549" s="126">
        <v>640.0</v>
      </c>
      <c r="E549" s="126">
        <v>30.0</v>
      </c>
      <c r="F549" s="127">
        <v>5.6</v>
      </c>
      <c r="G549" s="127">
        <v>24.4</v>
      </c>
      <c r="H549" s="128">
        <v>4.36</v>
      </c>
      <c r="I549" s="127">
        <v>16.53</v>
      </c>
      <c r="J549" s="128">
        <v>2.95</v>
      </c>
      <c r="K549" s="128">
        <v>0.57</v>
      </c>
      <c r="L549" s="128">
        <v>0.55</v>
      </c>
      <c r="M549" s="126">
        <v>26.0</v>
      </c>
      <c r="N549" s="126">
        <v>112.0</v>
      </c>
      <c r="O549" s="128">
        <v>0.54</v>
      </c>
      <c r="P549" s="128">
        <v>0.32</v>
      </c>
      <c r="Q549" s="128">
        <v>2.2</v>
      </c>
      <c r="R549" s="129" t="str">
        <f t="shared" si="1"/>
        <v>OptionStrat</v>
      </c>
      <c r="S549" s="125" t="s">
        <v>718</v>
      </c>
      <c r="T549" s="130"/>
      <c r="U549" s="131">
        <v>0.55</v>
      </c>
    </row>
    <row r="550">
      <c r="A550" s="132" t="s">
        <v>28</v>
      </c>
      <c r="B550" s="132" t="s">
        <v>169</v>
      </c>
      <c r="C550" s="133">
        <v>350.0</v>
      </c>
      <c r="D550" s="133">
        <v>480.0</v>
      </c>
      <c r="E550" s="133">
        <v>130.0</v>
      </c>
      <c r="F550" s="134">
        <v>46.92</v>
      </c>
      <c r="G550" s="134">
        <v>83.08</v>
      </c>
      <c r="H550" s="135">
        <v>1.77</v>
      </c>
      <c r="I550" s="134">
        <v>60.79</v>
      </c>
      <c r="J550" s="135">
        <v>1.3</v>
      </c>
      <c r="K550" s="135">
        <v>0.77</v>
      </c>
      <c r="L550" s="135">
        <v>0.64</v>
      </c>
      <c r="M550" s="133">
        <v>270.0</v>
      </c>
      <c r="N550" s="133">
        <v>403.0</v>
      </c>
      <c r="O550" s="135">
        <v>3.3</v>
      </c>
      <c r="P550" s="135">
        <v>0.44</v>
      </c>
      <c r="Q550" s="135">
        <v>2.19</v>
      </c>
      <c r="R550" s="136" t="str">
        <f t="shared" si="1"/>
        <v>OptionStrat</v>
      </c>
      <c r="S550" s="132" t="s">
        <v>719</v>
      </c>
      <c r="T550" s="137"/>
      <c r="U550" s="138">
        <v>0.55</v>
      </c>
    </row>
    <row r="551">
      <c r="A551" s="125" t="s">
        <v>28</v>
      </c>
      <c r="B551" s="125" t="s">
        <v>171</v>
      </c>
      <c r="C551" s="126">
        <v>380.0</v>
      </c>
      <c r="D551" s="126">
        <v>400.0</v>
      </c>
      <c r="E551" s="126">
        <v>20.0</v>
      </c>
      <c r="F551" s="127">
        <v>6.93</v>
      </c>
      <c r="G551" s="127">
        <v>13.07</v>
      </c>
      <c r="H551" s="128">
        <v>1.89</v>
      </c>
      <c r="I551" s="127">
        <v>9.59</v>
      </c>
      <c r="J551" s="128">
        <v>1.38</v>
      </c>
      <c r="K551" s="128">
        <v>0.75</v>
      </c>
      <c r="L551" s="128">
        <v>0.74</v>
      </c>
      <c r="M551" s="126">
        <v>97.0</v>
      </c>
      <c r="N551" s="126">
        <v>369.0</v>
      </c>
      <c r="O551" s="128">
        <v>1.89</v>
      </c>
      <c r="P551" s="128">
        <v>0.31</v>
      </c>
      <c r="Q551" s="128">
        <v>2.19</v>
      </c>
      <c r="R551" s="129" t="str">
        <f t="shared" si="1"/>
        <v>OptionStrat</v>
      </c>
      <c r="S551" s="125" t="s">
        <v>720</v>
      </c>
      <c r="T551" s="130"/>
      <c r="U551" s="131">
        <v>0.55</v>
      </c>
    </row>
    <row r="552">
      <c r="A552" s="132" t="s">
        <v>28</v>
      </c>
      <c r="B552" s="132" t="s">
        <v>171</v>
      </c>
      <c r="C552" s="133">
        <v>390.0</v>
      </c>
      <c r="D552" s="133">
        <v>480.0</v>
      </c>
      <c r="E552" s="133">
        <v>90.0</v>
      </c>
      <c r="F552" s="134">
        <v>28.97</v>
      </c>
      <c r="G552" s="134">
        <v>61.03</v>
      </c>
      <c r="H552" s="135">
        <v>2.11</v>
      </c>
      <c r="I552" s="134">
        <v>44.93</v>
      </c>
      <c r="J552" s="135">
        <v>1.55</v>
      </c>
      <c r="K552" s="135">
        <v>0.75</v>
      </c>
      <c r="L552" s="135">
        <v>0.67</v>
      </c>
      <c r="M552" s="133">
        <v>48.0</v>
      </c>
      <c r="N552" s="133">
        <v>139.0</v>
      </c>
      <c r="O552" s="135">
        <v>0.82</v>
      </c>
      <c r="P552" s="135">
        <v>0.27</v>
      </c>
      <c r="Q552" s="135">
        <v>2.19</v>
      </c>
      <c r="R552" s="136" t="str">
        <f t="shared" si="1"/>
        <v>OptionStrat</v>
      </c>
      <c r="S552" s="132" t="s">
        <v>721</v>
      </c>
      <c r="T552" s="137"/>
      <c r="U552" s="138">
        <v>0.55</v>
      </c>
    </row>
    <row r="553">
      <c r="A553" s="125" t="s">
        <v>28</v>
      </c>
      <c r="B553" s="125" t="s">
        <v>171</v>
      </c>
      <c r="C553" s="126">
        <v>520.0</v>
      </c>
      <c r="D553" s="126">
        <v>590.0</v>
      </c>
      <c r="E553" s="126">
        <v>70.0</v>
      </c>
      <c r="F553" s="127">
        <v>15.4</v>
      </c>
      <c r="G553" s="127">
        <v>54.6</v>
      </c>
      <c r="H553" s="128">
        <v>3.55</v>
      </c>
      <c r="I553" s="127">
        <v>39.92</v>
      </c>
      <c r="J553" s="128">
        <v>2.59</v>
      </c>
      <c r="K553" s="128">
        <v>0.64</v>
      </c>
      <c r="L553" s="128">
        <v>0.59</v>
      </c>
      <c r="M553" s="126">
        <v>82.0</v>
      </c>
      <c r="N553" s="126">
        <v>15.0</v>
      </c>
      <c r="O553" s="128">
        <v>0.35</v>
      </c>
      <c r="P553" s="128">
        <v>0.36</v>
      </c>
      <c r="Q553" s="128">
        <v>2.19</v>
      </c>
      <c r="R553" s="129" t="str">
        <f t="shared" si="1"/>
        <v>OptionStrat</v>
      </c>
      <c r="S553" s="125" t="s">
        <v>722</v>
      </c>
      <c r="T553" s="130"/>
      <c r="U553" s="131">
        <v>0.55</v>
      </c>
    </row>
    <row r="554">
      <c r="A554" s="132" t="s">
        <v>28</v>
      </c>
      <c r="B554" s="132" t="s">
        <v>169</v>
      </c>
      <c r="C554" s="133">
        <v>390.0</v>
      </c>
      <c r="D554" s="133">
        <v>480.0</v>
      </c>
      <c r="E554" s="133">
        <v>90.0</v>
      </c>
      <c r="F554" s="134">
        <v>30.5</v>
      </c>
      <c r="G554" s="134">
        <v>59.5</v>
      </c>
      <c r="H554" s="135">
        <v>1.95</v>
      </c>
      <c r="I554" s="134">
        <v>43.7</v>
      </c>
      <c r="J554" s="135">
        <v>1.43</v>
      </c>
      <c r="K554" s="135">
        <v>0.73</v>
      </c>
      <c r="L554" s="135">
        <v>0.64</v>
      </c>
      <c r="M554" s="133">
        <v>92.0</v>
      </c>
      <c r="N554" s="133">
        <v>403.0</v>
      </c>
      <c r="O554" s="135">
        <v>1.93</v>
      </c>
      <c r="P554" s="135">
        <v>0.44</v>
      </c>
      <c r="Q554" s="135">
        <v>2.18</v>
      </c>
      <c r="R554" s="136" t="str">
        <f t="shared" si="1"/>
        <v>OptionStrat</v>
      </c>
      <c r="S554" s="132" t="s">
        <v>723</v>
      </c>
      <c r="T554" s="137"/>
      <c r="U554" s="138">
        <v>0.55</v>
      </c>
    </row>
    <row r="555">
      <c r="A555" s="125" t="s">
        <v>28</v>
      </c>
      <c r="B555" s="125" t="s">
        <v>169</v>
      </c>
      <c r="C555" s="126">
        <v>420.0</v>
      </c>
      <c r="D555" s="126">
        <v>440.0</v>
      </c>
      <c r="E555" s="126">
        <v>20.0</v>
      </c>
      <c r="F555" s="127">
        <v>6.83</v>
      </c>
      <c r="G555" s="127">
        <v>13.17</v>
      </c>
      <c r="H555" s="128">
        <v>1.93</v>
      </c>
      <c r="I555" s="127">
        <v>9.67</v>
      </c>
      <c r="J555" s="128">
        <v>1.42</v>
      </c>
      <c r="K555" s="128">
        <v>0.7</v>
      </c>
      <c r="L555" s="128">
        <v>0.68</v>
      </c>
      <c r="M555" s="126">
        <v>290.0</v>
      </c>
      <c r="N555" s="126">
        <v>208.0</v>
      </c>
      <c r="O555" s="128">
        <v>2.46</v>
      </c>
      <c r="P555" s="128">
        <v>0.44</v>
      </c>
      <c r="Q555" s="128">
        <v>2.18</v>
      </c>
      <c r="R555" s="129" t="str">
        <f t="shared" si="1"/>
        <v>OptionStrat</v>
      </c>
      <c r="S555" s="125" t="s">
        <v>724</v>
      </c>
      <c r="T555" s="130"/>
      <c r="U555" s="131">
        <v>0.55</v>
      </c>
    </row>
    <row r="556">
      <c r="A556" s="132" t="s">
        <v>28</v>
      </c>
      <c r="B556" s="132" t="s">
        <v>169</v>
      </c>
      <c r="C556" s="133">
        <v>570.0</v>
      </c>
      <c r="D556" s="133">
        <v>590.0</v>
      </c>
      <c r="E556" s="133">
        <v>20.0</v>
      </c>
      <c r="F556" s="134">
        <v>4.32</v>
      </c>
      <c r="G556" s="134">
        <v>15.68</v>
      </c>
      <c r="H556" s="135">
        <v>3.63</v>
      </c>
      <c r="I556" s="134">
        <v>10.49</v>
      </c>
      <c r="J556" s="135">
        <v>2.43</v>
      </c>
      <c r="K556" s="135">
        <v>0.56</v>
      </c>
      <c r="L556" s="135">
        <v>0.55</v>
      </c>
      <c r="M556" s="133">
        <v>254.0</v>
      </c>
      <c r="N556" s="133">
        <v>72.0</v>
      </c>
      <c r="O556" s="135">
        <v>1.35</v>
      </c>
      <c r="P556" s="135">
        <v>1.08</v>
      </c>
      <c r="Q556" s="135">
        <v>2.18</v>
      </c>
      <c r="R556" s="136" t="str">
        <f t="shared" si="1"/>
        <v>OptionStrat</v>
      </c>
      <c r="S556" s="132" t="s">
        <v>725</v>
      </c>
      <c r="T556" s="137"/>
      <c r="U556" s="138">
        <v>0.55</v>
      </c>
    </row>
    <row r="557">
      <c r="A557" s="125" t="s">
        <v>28</v>
      </c>
      <c r="B557" s="125" t="s">
        <v>171</v>
      </c>
      <c r="C557" s="126">
        <v>480.0</v>
      </c>
      <c r="D557" s="126">
        <v>610.0</v>
      </c>
      <c r="E557" s="126">
        <v>130.0</v>
      </c>
      <c r="F557" s="127">
        <v>30.72</v>
      </c>
      <c r="G557" s="127">
        <v>99.28</v>
      </c>
      <c r="H557" s="128">
        <v>3.23</v>
      </c>
      <c r="I557" s="127">
        <v>69.78</v>
      </c>
      <c r="J557" s="128">
        <v>2.27</v>
      </c>
      <c r="K557" s="128">
        <v>0.67</v>
      </c>
      <c r="L557" s="128">
        <v>0.57</v>
      </c>
      <c r="M557" s="126">
        <v>139.0</v>
      </c>
      <c r="N557" s="126">
        <v>26.0</v>
      </c>
      <c r="O557" s="128">
        <v>0.6</v>
      </c>
      <c r="P557" s="128">
        <v>0.29</v>
      </c>
      <c r="Q557" s="128">
        <v>2.18</v>
      </c>
      <c r="R557" s="129" t="str">
        <f t="shared" si="1"/>
        <v>OptionStrat</v>
      </c>
      <c r="S557" s="125" t="s">
        <v>726</v>
      </c>
      <c r="T557" s="130"/>
      <c r="U557" s="131">
        <v>0.55</v>
      </c>
    </row>
    <row r="558">
      <c r="A558" s="132" t="s">
        <v>28</v>
      </c>
      <c r="B558" s="132" t="s">
        <v>171</v>
      </c>
      <c r="C558" s="133">
        <v>490.0</v>
      </c>
      <c r="D558" s="133">
        <v>560.0</v>
      </c>
      <c r="E558" s="133">
        <v>70.0</v>
      </c>
      <c r="F558" s="134">
        <v>17.42</v>
      </c>
      <c r="G558" s="134">
        <v>52.58</v>
      </c>
      <c r="H558" s="135">
        <v>3.02</v>
      </c>
      <c r="I558" s="134">
        <v>39.09</v>
      </c>
      <c r="J558" s="135">
        <v>2.24</v>
      </c>
      <c r="K558" s="135">
        <v>0.66</v>
      </c>
      <c r="L558" s="135">
        <v>0.61</v>
      </c>
      <c r="M558" s="133">
        <v>93.0</v>
      </c>
      <c r="N558" s="133">
        <v>18.0</v>
      </c>
      <c r="O558" s="135">
        <v>0.41</v>
      </c>
      <c r="P558" s="135">
        <v>0.27</v>
      </c>
      <c r="Q558" s="135">
        <v>2.18</v>
      </c>
      <c r="R558" s="136" t="str">
        <f t="shared" si="1"/>
        <v>OptionStrat</v>
      </c>
      <c r="S558" s="132" t="s">
        <v>727</v>
      </c>
      <c r="T558" s="132" t="s">
        <v>181</v>
      </c>
      <c r="U558" s="138">
        <v>0.55</v>
      </c>
    </row>
    <row r="559">
      <c r="A559" s="125" t="s">
        <v>28</v>
      </c>
      <c r="B559" s="125" t="s">
        <v>171</v>
      </c>
      <c r="C559" s="126">
        <v>490.0</v>
      </c>
      <c r="D559" s="126">
        <v>590.0</v>
      </c>
      <c r="E559" s="126">
        <v>100.0</v>
      </c>
      <c r="F559" s="127">
        <v>23.3</v>
      </c>
      <c r="G559" s="127">
        <v>76.7</v>
      </c>
      <c r="H559" s="128">
        <v>3.29</v>
      </c>
      <c r="I559" s="127">
        <v>55.97</v>
      </c>
      <c r="J559" s="128">
        <v>2.4</v>
      </c>
      <c r="K559" s="128">
        <v>0.66</v>
      </c>
      <c r="L559" s="128">
        <v>0.59</v>
      </c>
      <c r="M559" s="126">
        <v>93.0</v>
      </c>
      <c r="N559" s="126">
        <v>15.0</v>
      </c>
      <c r="O559" s="128">
        <v>0.37</v>
      </c>
      <c r="P559" s="128">
        <v>0.36</v>
      </c>
      <c r="Q559" s="128">
        <v>2.18</v>
      </c>
      <c r="R559" s="129" t="str">
        <f t="shared" si="1"/>
        <v>OptionStrat</v>
      </c>
      <c r="S559" s="125" t="s">
        <v>728</v>
      </c>
      <c r="T559" s="125" t="s">
        <v>181</v>
      </c>
      <c r="U559" s="131">
        <v>0.55</v>
      </c>
    </row>
    <row r="560">
      <c r="A560" s="132" t="s">
        <v>28</v>
      </c>
      <c r="B560" s="132" t="s">
        <v>169</v>
      </c>
      <c r="C560" s="133">
        <v>380.0</v>
      </c>
      <c r="D560" s="133">
        <v>480.0</v>
      </c>
      <c r="E560" s="133">
        <v>100.0</v>
      </c>
      <c r="F560" s="134">
        <v>34.3</v>
      </c>
      <c r="G560" s="134">
        <v>65.7</v>
      </c>
      <c r="H560" s="135">
        <v>1.92</v>
      </c>
      <c r="I560" s="134">
        <v>48.22</v>
      </c>
      <c r="J560" s="135">
        <v>1.41</v>
      </c>
      <c r="K560" s="135">
        <v>0.74</v>
      </c>
      <c r="L560" s="135">
        <v>0.64</v>
      </c>
      <c r="M560" s="133">
        <v>106.0</v>
      </c>
      <c r="N560" s="133">
        <v>403.0</v>
      </c>
      <c r="O560" s="135">
        <v>2.07</v>
      </c>
      <c r="P560" s="135">
        <v>0.45</v>
      </c>
      <c r="Q560" s="135">
        <v>2.17</v>
      </c>
      <c r="R560" s="136" t="str">
        <f t="shared" si="1"/>
        <v>OptionStrat</v>
      </c>
      <c r="S560" s="132" t="s">
        <v>729</v>
      </c>
      <c r="T560" s="137"/>
      <c r="U560" s="138">
        <v>0.55</v>
      </c>
    </row>
    <row r="561">
      <c r="A561" s="125" t="s">
        <v>28</v>
      </c>
      <c r="B561" s="125" t="s">
        <v>169</v>
      </c>
      <c r="C561" s="126">
        <v>530.0</v>
      </c>
      <c r="D561" s="126">
        <v>590.0</v>
      </c>
      <c r="E561" s="126">
        <v>60.0</v>
      </c>
      <c r="F561" s="127">
        <v>13.55</v>
      </c>
      <c r="G561" s="127">
        <v>46.45</v>
      </c>
      <c r="H561" s="128">
        <v>3.43</v>
      </c>
      <c r="I561" s="127">
        <v>30.99</v>
      </c>
      <c r="J561" s="128">
        <v>2.29</v>
      </c>
      <c r="K561" s="128">
        <v>0.6</v>
      </c>
      <c r="L561" s="128">
        <v>0.55</v>
      </c>
      <c r="M561" s="126">
        <v>171.0</v>
      </c>
      <c r="N561" s="126">
        <v>72.0</v>
      </c>
      <c r="O561" s="128">
        <v>1.11</v>
      </c>
      <c r="P561" s="128">
        <v>0.69</v>
      </c>
      <c r="Q561" s="128">
        <v>2.17</v>
      </c>
      <c r="R561" s="129" t="str">
        <f t="shared" si="1"/>
        <v>OptionStrat</v>
      </c>
      <c r="S561" s="125" t="s">
        <v>730</v>
      </c>
      <c r="T561" s="130"/>
      <c r="U561" s="131">
        <v>0.55</v>
      </c>
    </row>
    <row r="562">
      <c r="A562" s="132" t="s">
        <v>28</v>
      </c>
      <c r="B562" s="132" t="s">
        <v>171</v>
      </c>
      <c r="C562" s="133">
        <v>390.0</v>
      </c>
      <c r="D562" s="133">
        <v>490.0</v>
      </c>
      <c r="E562" s="133">
        <v>100.0</v>
      </c>
      <c r="F562" s="134">
        <v>31.72</v>
      </c>
      <c r="G562" s="134">
        <v>68.28</v>
      </c>
      <c r="H562" s="135">
        <v>2.15</v>
      </c>
      <c r="I562" s="134">
        <v>50.3</v>
      </c>
      <c r="J562" s="135">
        <v>1.59</v>
      </c>
      <c r="K562" s="135">
        <v>0.75</v>
      </c>
      <c r="L562" s="135">
        <v>0.66</v>
      </c>
      <c r="M562" s="133">
        <v>48.0</v>
      </c>
      <c r="N562" s="133">
        <v>93.0</v>
      </c>
      <c r="O562" s="135">
        <v>0.67</v>
      </c>
      <c r="P562" s="135">
        <v>0.27</v>
      </c>
      <c r="Q562" s="135">
        <v>2.17</v>
      </c>
      <c r="R562" s="136" t="str">
        <f t="shared" si="1"/>
        <v>OptionStrat</v>
      </c>
      <c r="S562" s="132" t="s">
        <v>731</v>
      </c>
      <c r="T562" s="137"/>
      <c r="U562" s="138">
        <v>0.55</v>
      </c>
    </row>
    <row r="563">
      <c r="A563" s="125" t="s">
        <v>28</v>
      </c>
      <c r="B563" s="125" t="s">
        <v>171</v>
      </c>
      <c r="C563" s="126">
        <v>440.0</v>
      </c>
      <c r="D563" s="126">
        <v>590.0</v>
      </c>
      <c r="E563" s="126">
        <v>150.0</v>
      </c>
      <c r="F563" s="127">
        <v>37.8</v>
      </c>
      <c r="G563" s="127">
        <v>112.2</v>
      </c>
      <c r="H563" s="128">
        <v>2.97</v>
      </c>
      <c r="I563" s="127">
        <v>81.64</v>
      </c>
      <c r="J563" s="128">
        <v>2.16</v>
      </c>
      <c r="K563" s="128">
        <v>0.7</v>
      </c>
      <c r="L563" s="128">
        <v>0.59</v>
      </c>
      <c r="M563" s="126">
        <v>144.0</v>
      </c>
      <c r="N563" s="126">
        <v>15.0</v>
      </c>
      <c r="O563" s="128">
        <v>0.46</v>
      </c>
      <c r="P563" s="128">
        <v>0.42</v>
      </c>
      <c r="Q563" s="128">
        <v>2.17</v>
      </c>
      <c r="R563" s="129" t="str">
        <f t="shared" si="1"/>
        <v>OptionStrat</v>
      </c>
      <c r="S563" s="125" t="s">
        <v>732</v>
      </c>
      <c r="T563" s="125" t="s">
        <v>181</v>
      </c>
      <c r="U563" s="131">
        <v>0.55</v>
      </c>
    </row>
    <row r="564">
      <c r="A564" s="132" t="s">
        <v>28</v>
      </c>
      <c r="B564" s="132" t="s">
        <v>171</v>
      </c>
      <c r="C564" s="133">
        <v>550.0</v>
      </c>
      <c r="D564" s="133">
        <v>680.0</v>
      </c>
      <c r="E564" s="133">
        <v>130.0</v>
      </c>
      <c r="F564" s="134">
        <v>25.43</v>
      </c>
      <c r="G564" s="134">
        <v>104.57</v>
      </c>
      <c r="H564" s="135">
        <v>4.11</v>
      </c>
      <c r="I564" s="134">
        <v>66.28</v>
      </c>
      <c r="J564" s="135">
        <v>2.61</v>
      </c>
      <c r="K564" s="135">
        <v>0.61</v>
      </c>
      <c r="L564" s="135">
        <v>0.53</v>
      </c>
      <c r="M564" s="133">
        <v>78.0</v>
      </c>
      <c r="N564" s="133">
        <v>77.0</v>
      </c>
      <c r="O564" s="135">
        <v>0.77</v>
      </c>
      <c r="P564" s="135">
        <v>0.31</v>
      </c>
      <c r="Q564" s="135">
        <v>2.17</v>
      </c>
      <c r="R564" s="136" t="str">
        <f t="shared" si="1"/>
        <v>OptionStrat</v>
      </c>
      <c r="S564" s="132" t="s">
        <v>733</v>
      </c>
      <c r="T564" s="132" t="s">
        <v>181</v>
      </c>
      <c r="U564" s="138">
        <v>0.55</v>
      </c>
    </row>
    <row r="565">
      <c r="A565" s="125" t="s">
        <v>28</v>
      </c>
      <c r="B565" s="125" t="s">
        <v>169</v>
      </c>
      <c r="C565" s="126">
        <v>350.0</v>
      </c>
      <c r="D565" s="126">
        <v>450.0</v>
      </c>
      <c r="E565" s="126">
        <v>100.0</v>
      </c>
      <c r="F565" s="127">
        <v>37.7</v>
      </c>
      <c r="G565" s="127">
        <v>62.3</v>
      </c>
      <c r="H565" s="128">
        <v>1.65</v>
      </c>
      <c r="I565" s="127">
        <v>45.46</v>
      </c>
      <c r="J565" s="128">
        <v>1.21</v>
      </c>
      <c r="K565" s="128">
        <v>0.77</v>
      </c>
      <c r="L565" s="128">
        <v>0.67</v>
      </c>
      <c r="M565" s="126">
        <v>270.0</v>
      </c>
      <c r="N565" s="126">
        <v>943.0</v>
      </c>
      <c r="O565" s="128">
        <v>5.05</v>
      </c>
      <c r="P565" s="128">
        <v>0.43</v>
      </c>
      <c r="Q565" s="128">
        <v>2.16</v>
      </c>
      <c r="R565" s="129" t="str">
        <f t="shared" si="1"/>
        <v>OptionStrat</v>
      </c>
      <c r="S565" s="125" t="s">
        <v>734</v>
      </c>
      <c r="T565" s="130"/>
      <c r="U565" s="131">
        <v>0.55</v>
      </c>
    </row>
    <row r="566">
      <c r="A566" s="132" t="s">
        <v>28</v>
      </c>
      <c r="B566" s="132" t="s">
        <v>169</v>
      </c>
      <c r="C566" s="133">
        <v>360.0</v>
      </c>
      <c r="D566" s="133">
        <v>480.0</v>
      </c>
      <c r="E566" s="133">
        <v>120.0</v>
      </c>
      <c r="F566" s="134">
        <v>42.6</v>
      </c>
      <c r="G566" s="134">
        <v>77.4</v>
      </c>
      <c r="H566" s="135">
        <v>1.82</v>
      </c>
      <c r="I566" s="134">
        <v>56.69</v>
      </c>
      <c r="J566" s="135">
        <v>1.33</v>
      </c>
      <c r="K566" s="135">
        <v>0.76</v>
      </c>
      <c r="L566" s="135">
        <v>0.64</v>
      </c>
      <c r="M566" s="133">
        <v>183.0</v>
      </c>
      <c r="N566" s="133">
        <v>403.0</v>
      </c>
      <c r="O566" s="135">
        <v>2.72</v>
      </c>
      <c r="P566" s="135">
        <v>0.44</v>
      </c>
      <c r="Q566" s="135">
        <v>2.16</v>
      </c>
      <c r="R566" s="136" t="str">
        <f t="shared" si="1"/>
        <v>OptionStrat</v>
      </c>
      <c r="S566" s="132" t="s">
        <v>735</v>
      </c>
      <c r="T566" s="137"/>
      <c r="U566" s="138">
        <v>0.55</v>
      </c>
    </row>
    <row r="567">
      <c r="A567" s="125" t="s">
        <v>28</v>
      </c>
      <c r="B567" s="125" t="s">
        <v>169</v>
      </c>
      <c r="C567" s="126">
        <v>410.0</v>
      </c>
      <c r="D567" s="126">
        <v>560.0</v>
      </c>
      <c r="E567" s="126">
        <v>150.0</v>
      </c>
      <c r="F567" s="127">
        <v>43.45</v>
      </c>
      <c r="G567" s="127">
        <v>106.55</v>
      </c>
      <c r="H567" s="128">
        <v>2.45</v>
      </c>
      <c r="I567" s="127">
        <v>74.53</v>
      </c>
      <c r="J567" s="128">
        <v>1.72</v>
      </c>
      <c r="K567" s="128">
        <v>0.71</v>
      </c>
      <c r="L567" s="128">
        <v>0.57</v>
      </c>
      <c r="M567" s="126">
        <v>194.0</v>
      </c>
      <c r="N567" s="126">
        <v>183.0</v>
      </c>
      <c r="O567" s="128">
        <v>1.88</v>
      </c>
      <c r="P567" s="128">
        <v>0.61</v>
      </c>
      <c r="Q567" s="128">
        <v>2.16</v>
      </c>
      <c r="R567" s="129" t="str">
        <f t="shared" si="1"/>
        <v>OptionStrat</v>
      </c>
      <c r="S567" s="125" t="s">
        <v>736</v>
      </c>
      <c r="T567" s="130"/>
      <c r="U567" s="131">
        <v>0.55</v>
      </c>
    </row>
    <row r="568">
      <c r="A568" s="132" t="s">
        <v>28</v>
      </c>
      <c r="B568" s="132" t="s">
        <v>171</v>
      </c>
      <c r="C568" s="133">
        <v>370.0</v>
      </c>
      <c r="D568" s="133">
        <v>480.0</v>
      </c>
      <c r="E568" s="133">
        <v>110.0</v>
      </c>
      <c r="F568" s="134">
        <v>36.7</v>
      </c>
      <c r="G568" s="134">
        <v>73.3</v>
      </c>
      <c r="H568" s="135">
        <v>2.0</v>
      </c>
      <c r="I568" s="134">
        <v>53.87</v>
      </c>
      <c r="J568" s="135">
        <v>1.47</v>
      </c>
      <c r="K568" s="135">
        <v>0.76</v>
      </c>
      <c r="L568" s="135">
        <v>0.67</v>
      </c>
      <c r="M568" s="133">
        <v>74.0</v>
      </c>
      <c r="N568" s="133">
        <v>139.0</v>
      </c>
      <c r="O568" s="135">
        <v>1.01</v>
      </c>
      <c r="P568" s="135">
        <v>0.27</v>
      </c>
      <c r="Q568" s="135">
        <v>2.16</v>
      </c>
      <c r="R568" s="136" t="str">
        <f t="shared" si="1"/>
        <v>OptionStrat</v>
      </c>
      <c r="S568" s="132" t="s">
        <v>737</v>
      </c>
      <c r="T568" s="137"/>
      <c r="U568" s="138">
        <v>0.55</v>
      </c>
    </row>
    <row r="569">
      <c r="A569" s="125" t="s">
        <v>28</v>
      </c>
      <c r="B569" s="125" t="s">
        <v>171</v>
      </c>
      <c r="C569" s="126">
        <v>430.0</v>
      </c>
      <c r="D569" s="126">
        <v>560.0</v>
      </c>
      <c r="E569" s="126">
        <v>130.0</v>
      </c>
      <c r="F569" s="127">
        <v>35.37</v>
      </c>
      <c r="G569" s="127">
        <v>94.63</v>
      </c>
      <c r="H569" s="128">
        <v>2.68</v>
      </c>
      <c r="I569" s="127">
        <v>70.15</v>
      </c>
      <c r="J569" s="128">
        <v>1.98</v>
      </c>
      <c r="K569" s="128">
        <v>0.71</v>
      </c>
      <c r="L569" s="128">
        <v>0.61</v>
      </c>
      <c r="M569" s="126">
        <v>213.0</v>
      </c>
      <c r="N569" s="126">
        <v>18.0</v>
      </c>
      <c r="O569" s="128">
        <v>0.62</v>
      </c>
      <c r="P569" s="128">
        <v>0.28</v>
      </c>
      <c r="Q569" s="128">
        <v>2.15</v>
      </c>
      <c r="R569" s="129" t="str">
        <f t="shared" si="1"/>
        <v>OptionStrat</v>
      </c>
      <c r="S569" s="125" t="s">
        <v>738</v>
      </c>
      <c r="T569" s="130"/>
      <c r="U569" s="131">
        <v>0.55</v>
      </c>
    </row>
    <row r="570">
      <c r="A570" s="132" t="s">
        <v>28</v>
      </c>
      <c r="B570" s="132" t="s">
        <v>171</v>
      </c>
      <c r="C570" s="133">
        <v>550.0</v>
      </c>
      <c r="D570" s="133">
        <v>570.0</v>
      </c>
      <c r="E570" s="133">
        <v>20.0</v>
      </c>
      <c r="F570" s="134">
        <v>4.58</v>
      </c>
      <c r="G570" s="134">
        <v>15.42</v>
      </c>
      <c r="H570" s="135">
        <v>3.37</v>
      </c>
      <c r="I570" s="134">
        <v>11.49</v>
      </c>
      <c r="J570" s="135">
        <v>2.51</v>
      </c>
      <c r="K570" s="135">
        <v>0.61</v>
      </c>
      <c r="L570" s="135">
        <v>0.6</v>
      </c>
      <c r="M570" s="133">
        <v>78.0</v>
      </c>
      <c r="N570" s="133">
        <v>110.0</v>
      </c>
      <c r="O570" s="135">
        <v>0.93</v>
      </c>
      <c r="P570" s="135">
        <v>0.28</v>
      </c>
      <c r="Q570" s="135">
        <v>2.15</v>
      </c>
      <c r="R570" s="136" t="str">
        <f t="shared" si="1"/>
        <v>OptionStrat</v>
      </c>
      <c r="S570" s="132" t="s">
        <v>739</v>
      </c>
      <c r="T570" s="132" t="s">
        <v>181</v>
      </c>
      <c r="U570" s="138">
        <v>0.55</v>
      </c>
    </row>
    <row r="571">
      <c r="A571" s="125" t="s">
        <v>28</v>
      </c>
      <c r="B571" s="125" t="s">
        <v>171</v>
      </c>
      <c r="C571" s="126">
        <v>580.0</v>
      </c>
      <c r="D571" s="126">
        <v>680.0</v>
      </c>
      <c r="E571" s="126">
        <v>100.0</v>
      </c>
      <c r="F571" s="127">
        <v>18.7</v>
      </c>
      <c r="G571" s="127">
        <v>81.3</v>
      </c>
      <c r="H571" s="128">
        <v>4.35</v>
      </c>
      <c r="I571" s="127">
        <v>51.7</v>
      </c>
      <c r="J571" s="128">
        <v>2.76</v>
      </c>
      <c r="K571" s="128">
        <v>0.59</v>
      </c>
      <c r="L571" s="128">
        <v>0.53</v>
      </c>
      <c r="M571" s="126">
        <v>50.0</v>
      </c>
      <c r="N571" s="126">
        <v>77.0</v>
      </c>
      <c r="O571" s="128">
        <v>0.62</v>
      </c>
      <c r="P571" s="128">
        <v>0.3</v>
      </c>
      <c r="Q571" s="128">
        <v>2.15</v>
      </c>
      <c r="R571" s="129" t="str">
        <f t="shared" si="1"/>
        <v>OptionStrat</v>
      </c>
      <c r="S571" s="125" t="s">
        <v>740</v>
      </c>
      <c r="T571" s="130"/>
      <c r="U571" s="131">
        <v>0.55</v>
      </c>
    </row>
    <row r="572">
      <c r="A572" s="132" t="s">
        <v>28</v>
      </c>
      <c r="B572" s="132" t="s">
        <v>169</v>
      </c>
      <c r="C572" s="133">
        <v>360.0</v>
      </c>
      <c r="D572" s="133">
        <v>450.0</v>
      </c>
      <c r="E572" s="133">
        <v>90.0</v>
      </c>
      <c r="F572" s="134">
        <v>33.38</v>
      </c>
      <c r="G572" s="134">
        <v>56.62</v>
      </c>
      <c r="H572" s="135">
        <v>1.7</v>
      </c>
      <c r="I572" s="134">
        <v>41.37</v>
      </c>
      <c r="J572" s="135">
        <v>1.24</v>
      </c>
      <c r="K572" s="135">
        <v>0.76</v>
      </c>
      <c r="L572" s="135">
        <v>0.67</v>
      </c>
      <c r="M572" s="133">
        <v>183.0</v>
      </c>
      <c r="N572" s="133">
        <v>943.0</v>
      </c>
      <c r="O572" s="135">
        <v>4.15</v>
      </c>
      <c r="P572" s="135">
        <v>0.44</v>
      </c>
      <c r="Q572" s="135">
        <v>2.14</v>
      </c>
      <c r="R572" s="136" t="str">
        <f t="shared" si="1"/>
        <v>OptionStrat</v>
      </c>
      <c r="S572" s="132" t="s">
        <v>741</v>
      </c>
      <c r="T572" s="137"/>
      <c r="U572" s="138">
        <v>0.55</v>
      </c>
    </row>
    <row r="573">
      <c r="A573" s="125" t="s">
        <v>28</v>
      </c>
      <c r="B573" s="125" t="s">
        <v>169</v>
      </c>
      <c r="C573" s="126">
        <v>380.0</v>
      </c>
      <c r="D573" s="126">
        <v>450.0</v>
      </c>
      <c r="E573" s="126">
        <v>70.0</v>
      </c>
      <c r="F573" s="127">
        <v>25.08</v>
      </c>
      <c r="G573" s="127">
        <v>44.92</v>
      </c>
      <c r="H573" s="128">
        <v>1.79</v>
      </c>
      <c r="I573" s="127">
        <v>32.89</v>
      </c>
      <c r="J573" s="128">
        <v>1.31</v>
      </c>
      <c r="K573" s="128">
        <v>0.74</v>
      </c>
      <c r="L573" s="128">
        <v>0.67</v>
      </c>
      <c r="M573" s="126">
        <v>106.0</v>
      </c>
      <c r="N573" s="126">
        <v>943.0</v>
      </c>
      <c r="O573" s="128">
        <v>3.16</v>
      </c>
      <c r="P573" s="128">
        <v>0.45</v>
      </c>
      <c r="Q573" s="128">
        <v>2.14</v>
      </c>
      <c r="R573" s="129" t="str">
        <f t="shared" si="1"/>
        <v>OptionStrat</v>
      </c>
      <c r="S573" s="125" t="s">
        <v>742</v>
      </c>
      <c r="T573" s="130"/>
      <c r="U573" s="131">
        <v>0.55</v>
      </c>
    </row>
    <row r="574">
      <c r="A574" s="132" t="s">
        <v>28</v>
      </c>
      <c r="B574" s="132" t="s">
        <v>169</v>
      </c>
      <c r="C574" s="133">
        <v>390.0</v>
      </c>
      <c r="D574" s="133">
        <v>450.0</v>
      </c>
      <c r="E574" s="133">
        <v>60.0</v>
      </c>
      <c r="F574" s="134">
        <v>21.28</v>
      </c>
      <c r="G574" s="134">
        <v>38.72</v>
      </c>
      <c r="H574" s="135">
        <v>1.82</v>
      </c>
      <c r="I574" s="134">
        <v>28.37</v>
      </c>
      <c r="J574" s="135">
        <v>1.33</v>
      </c>
      <c r="K574" s="135">
        <v>0.73</v>
      </c>
      <c r="L574" s="135">
        <v>0.67</v>
      </c>
      <c r="M574" s="133">
        <v>92.0</v>
      </c>
      <c r="N574" s="133">
        <v>943.0</v>
      </c>
      <c r="O574" s="135">
        <v>2.95</v>
      </c>
      <c r="P574" s="135">
        <v>0.44</v>
      </c>
      <c r="Q574" s="135">
        <v>2.14</v>
      </c>
      <c r="R574" s="136" t="str">
        <f t="shared" si="1"/>
        <v>OptionStrat</v>
      </c>
      <c r="S574" s="132" t="s">
        <v>743</v>
      </c>
      <c r="T574" s="137"/>
      <c r="U574" s="138">
        <v>0.55</v>
      </c>
    </row>
    <row r="575">
      <c r="A575" s="125" t="s">
        <v>28</v>
      </c>
      <c r="B575" s="125" t="s">
        <v>171</v>
      </c>
      <c r="C575" s="126">
        <v>360.0</v>
      </c>
      <c r="D575" s="126">
        <v>400.0</v>
      </c>
      <c r="E575" s="126">
        <v>40.0</v>
      </c>
      <c r="F575" s="127">
        <v>14.73</v>
      </c>
      <c r="G575" s="127">
        <v>25.27</v>
      </c>
      <c r="H575" s="128">
        <v>1.72</v>
      </c>
      <c r="I575" s="127">
        <v>18.47</v>
      </c>
      <c r="J575" s="128">
        <v>1.25</v>
      </c>
      <c r="K575" s="128">
        <v>0.77</v>
      </c>
      <c r="L575" s="128">
        <v>0.74</v>
      </c>
      <c r="M575" s="126">
        <v>212.0</v>
      </c>
      <c r="N575" s="126">
        <v>369.0</v>
      </c>
      <c r="O575" s="128">
        <v>2.8</v>
      </c>
      <c r="P575" s="128">
        <v>0.31</v>
      </c>
      <c r="Q575" s="128">
        <v>2.14</v>
      </c>
      <c r="R575" s="129" t="str">
        <f t="shared" si="1"/>
        <v>OptionStrat</v>
      </c>
      <c r="S575" s="125" t="s">
        <v>744</v>
      </c>
      <c r="T575" s="130"/>
      <c r="U575" s="131">
        <v>0.55</v>
      </c>
    </row>
    <row r="576">
      <c r="A576" s="132" t="s">
        <v>28</v>
      </c>
      <c r="B576" s="132" t="s">
        <v>171</v>
      </c>
      <c r="C576" s="133">
        <v>370.0</v>
      </c>
      <c r="D576" s="133">
        <v>490.0</v>
      </c>
      <c r="E576" s="133">
        <v>120.0</v>
      </c>
      <c r="F576" s="134">
        <v>39.45</v>
      </c>
      <c r="G576" s="134">
        <v>80.55</v>
      </c>
      <c r="H576" s="135">
        <v>2.04</v>
      </c>
      <c r="I576" s="134">
        <v>59.25</v>
      </c>
      <c r="J576" s="135">
        <v>1.5</v>
      </c>
      <c r="K576" s="135">
        <v>0.76</v>
      </c>
      <c r="L576" s="135">
        <v>0.66</v>
      </c>
      <c r="M576" s="133">
        <v>74.0</v>
      </c>
      <c r="N576" s="133">
        <v>93.0</v>
      </c>
      <c r="O576" s="135">
        <v>0.83</v>
      </c>
      <c r="P576" s="135">
        <v>0.27</v>
      </c>
      <c r="Q576" s="135">
        <v>2.14</v>
      </c>
      <c r="R576" s="136" t="str">
        <f t="shared" si="1"/>
        <v>OptionStrat</v>
      </c>
      <c r="S576" s="132" t="s">
        <v>745</v>
      </c>
      <c r="T576" s="137"/>
      <c r="U576" s="138">
        <v>0.55</v>
      </c>
    </row>
    <row r="577">
      <c r="A577" s="125" t="s">
        <v>28</v>
      </c>
      <c r="B577" s="125" t="s">
        <v>171</v>
      </c>
      <c r="C577" s="126">
        <v>440.0</v>
      </c>
      <c r="D577" s="126">
        <v>560.0</v>
      </c>
      <c r="E577" s="126">
        <v>120.0</v>
      </c>
      <c r="F577" s="127">
        <v>31.92</v>
      </c>
      <c r="G577" s="127">
        <v>88.08</v>
      </c>
      <c r="H577" s="128">
        <v>2.76</v>
      </c>
      <c r="I577" s="127">
        <v>65.34</v>
      </c>
      <c r="J577" s="128">
        <v>2.05</v>
      </c>
      <c r="K577" s="128">
        <v>0.7</v>
      </c>
      <c r="L577" s="128">
        <v>0.61</v>
      </c>
      <c r="M577" s="126">
        <v>144.0</v>
      </c>
      <c r="N577" s="126">
        <v>18.0</v>
      </c>
      <c r="O577" s="128">
        <v>0.51</v>
      </c>
      <c r="P577" s="128">
        <v>0.31</v>
      </c>
      <c r="Q577" s="128">
        <v>2.14</v>
      </c>
      <c r="R577" s="129" t="str">
        <f t="shared" si="1"/>
        <v>OptionStrat</v>
      </c>
      <c r="S577" s="125" t="s">
        <v>746</v>
      </c>
      <c r="T577" s="125" t="s">
        <v>181</v>
      </c>
      <c r="U577" s="131">
        <v>0.55</v>
      </c>
    </row>
    <row r="578">
      <c r="A578" s="132" t="s">
        <v>28</v>
      </c>
      <c r="B578" s="132" t="s">
        <v>171</v>
      </c>
      <c r="C578" s="133">
        <v>540.0</v>
      </c>
      <c r="D578" s="133">
        <v>580.0</v>
      </c>
      <c r="E578" s="133">
        <v>40.0</v>
      </c>
      <c r="F578" s="134">
        <v>9.03</v>
      </c>
      <c r="G578" s="134">
        <v>30.97</v>
      </c>
      <c r="H578" s="135">
        <v>3.43</v>
      </c>
      <c r="I578" s="134">
        <v>22.95</v>
      </c>
      <c r="J578" s="135">
        <v>2.54</v>
      </c>
      <c r="K578" s="135">
        <v>0.62</v>
      </c>
      <c r="L578" s="135">
        <v>0.59</v>
      </c>
      <c r="M578" s="133">
        <v>58.0</v>
      </c>
      <c r="N578" s="133">
        <v>50.0</v>
      </c>
      <c r="O578" s="135">
        <v>0.54</v>
      </c>
      <c r="P578" s="135">
        <v>0.28</v>
      </c>
      <c r="Q578" s="135">
        <v>2.14</v>
      </c>
      <c r="R578" s="136" t="str">
        <f t="shared" si="1"/>
        <v>OptionStrat</v>
      </c>
      <c r="S578" s="132" t="s">
        <v>747</v>
      </c>
      <c r="T578" s="137"/>
      <c r="U578" s="138">
        <v>0.55</v>
      </c>
    </row>
    <row r="579">
      <c r="A579" s="125" t="s">
        <v>28</v>
      </c>
      <c r="B579" s="125" t="s">
        <v>171</v>
      </c>
      <c r="C579" s="126">
        <v>390.0</v>
      </c>
      <c r="D579" s="126">
        <v>510.0</v>
      </c>
      <c r="E579" s="126">
        <v>120.0</v>
      </c>
      <c r="F579" s="127">
        <v>37.07</v>
      </c>
      <c r="G579" s="127">
        <v>82.93</v>
      </c>
      <c r="H579" s="128">
        <v>2.24</v>
      </c>
      <c r="I579" s="127">
        <v>61.17</v>
      </c>
      <c r="J579" s="128">
        <v>1.65</v>
      </c>
      <c r="K579" s="128">
        <v>0.75</v>
      </c>
      <c r="L579" s="128">
        <v>0.64</v>
      </c>
      <c r="M579" s="126">
        <v>48.0</v>
      </c>
      <c r="N579" s="126">
        <v>45.0</v>
      </c>
      <c r="O579" s="128">
        <v>0.46</v>
      </c>
      <c r="P579" s="128">
        <v>0.27</v>
      </c>
      <c r="Q579" s="128">
        <v>2.13</v>
      </c>
      <c r="R579" s="129" t="str">
        <f t="shared" si="1"/>
        <v>OptionStrat</v>
      </c>
      <c r="S579" s="125" t="s">
        <v>748</v>
      </c>
      <c r="T579" s="130"/>
      <c r="U579" s="131">
        <v>0.55</v>
      </c>
    </row>
    <row r="580">
      <c r="A580" s="132" t="s">
        <v>28</v>
      </c>
      <c r="B580" s="132" t="s">
        <v>171</v>
      </c>
      <c r="C580" s="133">
        <v>540.0</v>
      </c>
      <c r="D580" s="133">
        <v>680.0</v>
      </c>
      <c r="E580" s="133">
        <v>140.0</v>
      </c>
      <c r="F580" s="134">
        <v>27.73</v>
      </c>
      <c r="G580" s="134">
        <v>112.27</v>
      </c>
      <c r="H580" s="135">
        <v>4.05</v>
      </c>
      <c r="I580" s="134">
        <v>71.09</v>
      </c>
      <c r="J580" s="135">
        <v>2.56</v>
      </c>
      <c r="K580" s="135">
        <v>0.62</v>
      </c>
      <c r="L580" s="135">
        <v>0.53</v>
      </c>
      <c r="M580" s="133">
        <v>58.0</v>
      </c>
      <c r="N580" s="133">
        <v>77.0</v>
      </c>
      <c r="O580" s="135">
        <v>0.67</v>
      </c>
      <c r="P580" s="135">
        <v>0.3</v>
      </c>
      <c r="Q580" s="135">
        <v>2.13</v>
      </c>
      <c r="R580" s="136" t="str">
        <f t="shared" si="1"/>
        <v>OptionStrat</v>
      </c>
      <c r="S580" s="132" t="s">
        <v>749</v>
      </c>
      <c r="T580" s="137"/>
      <c r="U580" s="138">
        <v>0.55</v>
      </c>
    </row>
    <row r="581">
      <c r="A581" s="125" t="s">
        <v>28</v>
      </c>
      <c r="B581" s="125" t="s">
        <v>171</v>
      </c>
      <c r="C581" s="126">
        <v>630.0</v>
      </c>
      <c r="D581" s="126">
        <v>650.0</v>
      </c>
      <c r="E581" s="126">
        <v>20.0</v>
      </c>
      <c r="F581" s="127">
        <v>3.7</v>
      </c>
      <c r="G581" s="127">
        <v>16.3</v>
      </c>
      <c r="H581" s="128">
        <v>4.41</v>
      </c>
      <c r="I581" s="127">
        <v>10.87</v>
      </c>
      <c r="J581" s="128">
        <v>2.94</v>
      </c>
      <c r="K581" s="128">
        <v>0.56</v>
      </c>
      <c r="L581" s="128">
        <v>0.54</v>
      </c>
      <c r="M581" s="126">
        <v>12.0</v>
      </c>
      <c r="N581" s="126">
        <v>220.0</v>
      </c>
      <c r="O581" s="128">
        <v>0.51</v>
      </c>
      <c r="P581" s="128">
        <v>0.32</v>
      </c>
      <c r="Q581" s="128">
        <v>2.13</v>
      </c>
      <c r="R581" s="129" t="str">
        <f t="shared" si="1"/>
        <v>OptionStrat</v>
      </c>
      <c r="S581" s="125" t="s">
        <v>750</v>
      </c>
      <c r="T581" s="130"/>
      <c r="U581" s="131">
        <v>0.55</v>
      </c>
    </row>
    <row r="582">
      <c r="A582" s="132" t="s">
        <v>28</v>
      </c>
      <c r="B582" s="132" t="s">
        <v>169</v>
      </c>
      <c r="C582" s="133">
        <v>530.0</v>
      </c>
      <c r="D582" s="133">
        <v>660.0</v>
      </c>
      <c r="E582" s="133">
        <v>130.0</v>
      </c>
      <c r="F582" s="134">
        <v>26.83</v>
      </c>
      <c r="G582" s="134">
        <v>103.17</v>
      </c>
      <c r="H582" s="135">
        <v>3.85</v>
      </c>
      <c r="I582" s="134">
        <v>60.23</v>
      </c>
      <c r="J582" s="135">
        <v>2.24</v>
      </c>
      <c r="K582" s="135">
        <v>0.6</v>
      </c>
      <c r="L582" s="135">
        <v>0.5</v>
      </c>
      <c r="M582" s="133">
        <v>171.0</v>
      </c>
      <c r="N582" s="133">
        <v>129.0</v>
      </c>
      <c r="O582" s="135">
        <v>1.49</v>
      </c>
      <c r="P582" s="135">
        <v>0.7</v>
      </c>
      <c r="Q582" s="135">
        <v>2.12</v>
      </c>
      <c r="R582" s="136" t="str">
        <f t="shared" si="1"/>
        <v>OptionStrat</v>
      </c>
      <c r="S582" s="132" t="s">
        <v>751</v>
      </c>
      <c r="T582" s="137"/>
      <c r="U582" s="138">
        <v>0.55</v>
      </c>
    </row>
    <row r="583">
      <c r="A583" s="125" t="s">
        <v>28</v>
      </c>
      <c r="B583" s="125" t="s">
        <v>171</v>
      </c>
      <c r="C583" s="126">
        <v>360.0</v>
      </c>
      <c r="D583" s="126">
        <v>470.0</v>
      </c>
      <c r="E583" s="126">
        <v>110.0</v>
      </c>
      <c r="F583" s="127">
        <v>37.73</v>
      </c>
      <c r="G583" s="127">
        <v>72.27</v>
      </c>
      <c r="H583" s="128">
        <v>1.92</v>
      </c>
      <c r="I583" s="127">
        <v>53.04</v>
      </c>
      <c r="J583" s="128">
        <v>1.41</v>
      </c>
      <c r="K583" s="128">
        <v>0.77</v>
      </c>
      <c r="L583" s="128">
        <v>0.68</v>
      </c>
      <c r="M583" s="126">
        <v>212.0</v>
      </c>
      <c r="N583" s="126">
        <v>68.0</v>
      </c>
      <c r="O583" s="128">
        <v>1.2</v>
      </c>
      <c r="P583" s="128">
        <v>0.27</v>
      </c>
      <c r="Q583" s="128">
        <v>2.12</v>
      </c>
      <c r="R583" s="129" t="str">
        <f t="shared" si="1"/>
        <v>OptionStrat</v>
      </c>
      <c r="S583" s="125" t="s">
        <v>752</v>
      </c>
      <c r="T583" s="130"/>
      <c r="U583" s="131">
        <v>0.55</v>
      </c>
    </row>
    <row r="584">
      <c r="A584" s="132" t="s">
        <v>28</v>
      </c>
      <c r="B584" s="132" t="s">
        <v>171</v>
      </c>
      <c r="C584" s="133">
        <v>640.0</v>
      </c>
      <c r="D584" s="133">
        <v>670.0</v>
      </c>
      <c r="E584" s="133">
        <v>30.0</v>
      </c>
      <c r="F584" s="134">
        <v>5.4</v>
      </c>
      <c r="G584" s="134">
        <v>24.6</v>
      </c>
      <c r="H584" s="135">
        <v>4.56</v>
      </c>
      <c r="I584" s="134">
        <v>15.92</v>
      </c>
      <c r="J584" s="135">
        <v>2.95</v>
      </c>
      <c r="K584" s="135">
        <v>0.55</v>
      </c>
      <c r="L584" s="135">
        <v>0.53</v>
      </c>
      <c r="M584" s="133">
        <v>112.0</v>
      </c>
      <c r="N584" s="133">
        <v>24.0</v>
      </c>
      <c r="O584" s="135">
        <v>0.52</v>
      </c>
      <c r="P584" s="135">
        <v>0.31</v>
      </c>
      <c r="Q584" s="135">
        <v>2.12</v>
      </c>
      <c r="R584" s="136" t="str">
        <f t="shared" si="1"/>
        <v>OptionStrat</v>
      </c>
      <c r="S584" s="132" t="s">
        <v>753</v>
      </c>
      <c r="T584" s="137"/>
      <c r="U584" s="138">
        <v>0.55</v>
      </c>
    </row>
    <row r="585">
      <c r="A585" s="125" t="s">
        <v>28</v>
      </c>
      <c r="B585" s="125" t="s">
        <v>171</v>
      </c>
      <c r="C585" s="126">
        <v>350.0</v>
      </c>
      <c r="D585" s="126">
        <v>480.0</v>
      </c>
      <c r="E585" s="126">
        <v>130.0</v>
      </c>
      <c r="F585" s="127">
        <v>44.7</v>
      </c>
      <c r="G585" s="127">
        <v>85.3</v>
      </c>
      <c r="H585" s="128">
        <v>1.91</v>
      </c>
      <c r="I585" s="127">
        <v>62.59</v>
      </c>
      <c r="J585" s="128">
        <v>1.4</v>
      </c>
      <c r="K585" s="128">
        <v>0.78</v>
      </c>
      <c r="L585" s="128">
        <v>0.67</v>
      </c>
      <c r="M585" s="126">
        <v>96.0</v>
      </c>
      <c r="N585" s="126">
        <v>139.0</v>
      </c>
      <c r="O585" s="128">
        <v>1.16</v>
      </c>
      <c r="P585" s="128">
        <v>0.26</v>
      </c>
      <c r="Q585" s="128">
        <v>2.11</v>
      </c>
      <c r="R585" s="129" t="str">
        <f t="shared" si="1"/>
        <v>OptionStrat</v>
      </c>
      <c r="S585" s="125" t="s">
        <v>754</v>
      </c>
      <c r="T585" s="130"/>
      <c r="U585" s="131">
        <v>0.56</v>
      </c>
    </row>
    <row r="586">
      <c r="A586" s="132" t="s">
        <v>28</v>
      </c>
      <c r="B586" s="132" t="s">
        <v>171</v>
      </c>
      <c r="C586" s="133">
        <v>360.0</v>
      </c>
      <c r="D586" s="133">
        <v>460.0</v>
      </c>
      <c r="E586" s="133">
        <v>100.0</v>
      </c>
      <c r="F586" s="134">
        <v>34.82</v>
      </c>
      <c r="G586" s="134">
        <v>65.18</v>
      </c>
      <c r="H586" s="135">
        <v>1.87</v>
      </c>
      <c r="I586" s="134">
        <v>47.79</v>
      </c>
      <c r="J586" s="135">
        <v>1.37</v>
      </c>
      <c r="K586" s="135">
        <v>0.77</v>
      </c>
      <c r="L586" s="135">
        <v>0.68</v>
      </c>
      <c r="M586" s="133">
        <v>212.0</v>
      </c>
      <c r="N586" s="133">
        <v>90.0</v>
      </c>
      <c r="O586" s="135">
        <v>1.38</v>
      </c>
      <c r="P586" s="135">
        <v>0.26</v>
      </c>
      <c r="Q586" s="135">
        <v>2.11</v>
      </c>
      <c r="R586" s="136" t="str">
        <f t="shared" si="1"/>
        <v>OptionStrat</v>
      </c>
      <c r="S586" s="132" t="s">
        <v>755</v>
      </c>
      <c r="T586" s="137"/>
      <c r="U586" s="138">
        <v>0.55</v>
      </c>
    </row>
    <row r="587">
      <c r="A587" s="125" t="s">
        <v>28</v>
      </c>
      <c r="B587" s="125" t="s">
        <v>171</v>
      </c>
      <c r="C587" s="126">
        <v>370.0</v>
      </c>
      <c r="D587" s="126">
        <v>510.0</v>
      </c>
      <c r="E587" s="126">
        <v>140.0</v>
      </c>
      <c r="F587" s="127">
        <v>44.8</v>
      </c>
      <c r="G587" s="127">
        <v>95.2</v>
      </c>
      <c r="H587" s="128">
        <v>2.13</v>
      </c>
      <c r="I587" s="127">
        <v>70.11</v>
      </c>
      <c r="J587" s="128">
        <v>1.57</v>
      </c>
      <c r="K587" s="128">
        <v>0.76</v>
      </c>
      <c r="L587" s="128">
        <v>0.64</v>
      </c>
      <c r="M587" s="126">
        <v>74.0</v>
      </c>
      <c r="N587" s="126">
        <v>45.0</v>
      </c>
      <c r="O587" s="128">
        <v>0.58</v>
      </c>
      <c r="P587" s="128">
        <v>0.27</v>
      </c>
      <c r="Q587" s="128">
        <v>2.11</v>
      </c>
      <c r="R587" s="129" t="str">
        <f t="shared" si="1"/>
        <v>OptionStrat</v>
      </c>
      <c r="S587" s="125" t="s">
        <v>756</v>
      </c>
      <c r="T587" s="130"/>
      <c r="U587" s="131">
        <v>0.55</v>
      </c>
    </row>
    <row r="588">
      <c r="A588" s="132" t="s">
        <v>28</v>
      </c>
      <c r="B588" s="132" t="s">
        <v>169</v>
      </c>
      <c r="C588" s="133">
        <v>350.0</v>
      </c>
      <c r="D588" s="133">
        <v>470.0</v>
      </c>
      <c r="E588" s="133">
        <v>120.0</v>
      </c>
      <c r="F588" s="134">
        <v>43.83</v>
      </c>
      <c r="G588" s="134">
        <v>76.17</v>
      </c>
      <c r="H588" s="135">
        <v>1.74</v>
      </c>
      <c r="I588" s="134">
        <v>55.7</v>
      </c>
      <c r="J588" s="135">
        <v>1.27</v>
      </c>
      <c r="K588" s="135">
        <v>0.77</v>
      </c>
      <c r="L588" s="135">
        <v>0.65</v>
      </c>
      <c r="M588" s="133">
        <v>270.0</v>
      </c>
      <c r="N588" s="133">
        <v>318.0</v>
      </c>
      <c r="O588" s="135">
        <v>2.93</v>
      </c>
      <c r="P588" s="135">
        <v>0.49</v>
      </c>
      <c r="Q588" s="135">
        <v>2.1</v>
      </c>
      <c r="R588" s="136" t="str">
        <f t="shared" si="1"/>
        <v>OptionStrat</v>
      </c>
      <c r="S588" s="132" t="s">
        <v>757</v>
      </c>
      <c r="T588" s="137"/>
      <c r="U588" s="138">
        <v>0.55</v>
      </c>
    </row>
    <row r="589">
      <c r="A589" s="125" t="s">
        <v>28</v>
      </c>
      <c r="B589" s="125" t="s">
        <v>169</v>
      </c>
      <c r="C589" s="126">
        <v>390.0</v>
      </c>
      <c r="D589" s="126">
        <v>470.0</v>
      </c>
      <c r="E589" s="126">
        <v>80.0</v>
      </c>
      <c r="F589" s="127">
        <v>27.4</v>
      </c>
      <c r="G589" s="127">
        <v>52.6</v>
      </c>
      <c r="H589" s="128">
        <v>1.92</v>
      </c>
      <c r="I589" s="127">
        <v>38.61</v>
      </c>
      <c r="J589" s="128">
        <v>1.41</v>
      </c>
      <c r="K589" s="128">
        <v>0.73</v>
      </c>
      <c r="L589" s="128">
        <v>0.65</v>
      </c>
      <c r="M589" s="126">
        <v>92.0</v>
      </c>
      <c r="N589" s="126">
        <v>318.0</v>
      </c>
      <c r="O589" s="128">
        <v>1.71</v>
      </c>
      <c r="P589" s="128">
        <v>0.5</v>
      </c>
      <c r="Q589" s="128">
        <v>2.1</v>
      </c>
      <c r="R589" s="129" t="str">
        <f t="shared" si="1"/>
        <v>OptionStrat</v>
      </c>
      <c r="S589" s="125" t="s">
        <v>758</v>
      </c>
      <c r="T589" s="130"/>
      <c r="U589" s="131">
        <v>0.55</v>
      </c>
    </row>
    <row r="590">
      <c r="A590" s="132" t="s">
        <v>28</v>
      </c>
      <c r="B590" s="132" t="s">
        <v>171</v>
      </c>
      <c r="C590" s="133">
        <v>350.0</v>
      </c>
      <c r="D590" s="133">
        <v>490.0</v>
      </c>
      <c r="E590" s="133">
        <v>140.0</v>
      </c>
      <c r="F590" s="134">
        <v>47.45</v>
      </c>
      <c r="G590" s="134">
        <v>92.55</v>
      </c>
      <c r="H590" s="135">
        <v>1.95</v>
      </c>
      <c r="I590" s="134">
        <v>67.97</v>
      </c>
      <c r="J590" s="135">
        <v>1.43</v>
      </c>
      <c r="K590" s="135">
        <v>0.78</v>
      </c>
      <c r="L590" s="135">
        <v>0.66</v>
      </c>
      <c r="M590" s="133">
        <v>96.0</v>
      </c>
      <c r="N590" s="133">
        <v>93.0</v>
      </c>
      <c r="O590" s="135">
        <v>0.94</v>
      </c>
      <c r="P590" s="135">
        <v>0.26</v>
      </c>
      <c r="Q590" s="135">
        <v>2.1</v>
      </c>
      <c r="R590" s="136" t="str">
        <f t="shared" si="1"/>
        <v>OptionStrat</v>
      </c>
      <c r="S590" s="132" t="s">
        <v>759</v>
      </c>
      <c r="T590" s="137"/>
      <c r="U590" s="138">
        <v>0.56</v>
      </c>
    </row>
    <row r="591">
      <c r="A591" s="125" t="s">
        <v>28</v>
      </c>
      <c r="B591" s="125" t="s">
        <v>171</v>
      </c>
      <c r="C591" s="126">
        <v>360.0</v>
      </c>
      <c r="D591" s="126">
        <v>430.0</v>
      </c>
      <c r="E591" s="126">
        <v>70.0</v>
      </c>
      <c r="F591" s="127">
        <v>25.43</v>
      </c>
      <c r="G591" s="127">
        <v>44.57</v>
      </c>
      <c r="H591" s="128">
        <v>1.75</v>
      </c>
      <c r="I591" s="127">
        <v>32.61</v>
      </c>
      <c r="J591" s="128">
        <v>1.28</v>
      </c>
      <c r="K591" s="128">
        <v>0.77</v>
      </c>
      <c r="L591" s="128">
        <v>0.71</v>
      </c>
      <c r="M591" s="126">
        <v>212.0</v>
      </c>
      <c r="N591" s="126">
        <v>213.0</v>
      </c>
      <c r="O591" s="128">
        <v>2.12</v>
      </c>
      <c r="P591" s="128">
        <v>0.28</v>
      </c>
      <c r="Q591" s="128">
        <v>2.1</v>
      </c>
      <c r="R591" s="129" t="str">
        <f t="shared" si="1"/>
        <v>OptionStrat</v>
      </c>
      <c r="S591" s="125" t="s">
        <v>760</v>
      </c>
      <c r="T591" s="130"/>
      <c r="U591" s="131">
        <v>0.55</v>
      </c>
    </row>
    <row r="592">
      <c r="A592" s="132" t="s">
        <v>28</v>
      </c>
      <c r="B592" s="132" t="s">
        <v>171</v>
      </c>
      <c r="C592" s="133">
        <v>410.0</v>
      </c>
      <c r="D592" s="133">
        <v>470.0</v>
      </c>
      <c r="E592" s="133">
        <v>60.0</v>
      </c>
      <c r="F592" s="134">
        <v>19.03</v>
      </c>
      <c r="G592" s="134">
        <v>40.97</v>
      </c>
      <c r="H592" s="135">
        <v>2.15</v>
      </c>
      <c r="I592" s="134">
        <v>30.19</v>
      </c>
      <c r="J592" s="135">
        <v>1.59</v>
      </c>
      <c r="K592" s="135">
        <v>0.73</v>
      </c>
      <c r="L592" s="135">
        <v>0.68</v>
      </c>
      <c r="M592" s="133">
        <v>54.0</v>
      </c>
      <c r="N592" s="133">
        <v>68.0</v>
      </c>
      <c r="O592" s="135">
        <v>0.61</v>
      </c>
      <c r="P592" s="135">
        <v>0.28</v>
      </c>
      <c r="Q592" s="135">
        <v>2.1</v>
      </c>
      <c r="R592" s="136" t="str">
        <f t="shared" si="1"/>
        <v>OptionStrat</v>
      </c>
      <c r="S592" s="132" t="s">
        <v>761</v>
      </c>
      <c r="T592" s="137"/>
      <c r="U592" s="138">
        <v>0.56</v>
      </c>
    </row>
    <row r="593">
      <c r="A593" s="125" t="s">
        <v>28</v>
      </c>
      <c r="B593" s="125" t="s">
        <v>171</v>
      </c>
      <c r="C593" s="126">
        <v>490.0</v>
      </c>
      <c r="D593" s="126">
        <v>610.0</v>
      </c>
      <c r="E593" s="126">
        <v>120.0</v>
      </c>
      <c r="F593" s="127">
        <v>27.97</v>
      </c>
      <c r="G593" s="127">
        <v>92.03</v>
      </c>
      <c r="H593" s="128">
        <v>3.29</v>
      </c>
      <c r="I593" s="127">
        <v>64.73</v>
      </c>
      <c r="J593" s="128">
        <v>2.31</v>
      </c>
      <c r="K593" s="128">
        <v>0.66</v>
      </c>
      <c r="L593" s="128">
        <v>0.57</v>
      </c>
      <c r="M593" s="126">
        <v>93.0</v>
      </c>
      <c r="N593" s="126">
        <v>26.0</v>
      </c>
      <c r="O593" s="128">
        <v>0.49</v>
      </c>
      <c r="P593" s="128">
        <v>0.29</v>
      </c>
      <c r="Q593" s="128">
        <v>2.1</v>
      </c>
      <c r="R593" s="129" t="str">
        <f t="shared" si="1"/>
        <v>OptionStrat</v>
      </c>
      <c r="S593" s="125" t="s">
        <v>762</v>
      </c>
      <c r="T593" s="125" t="s">
        <v>181</v>
      </c>
      <c r="U593" s="131">
        <v>0.55</v>
      </c>
    </row>
    <row r="594">
      <c r="A594" s="132" t="s">
        <v>28</v>
      </c>
      <c r="B594" s="132" t="s">
        <v>171</v>
      </c>
      <c r="C594" s="133">
        <v>560.0</v>
      </c>
      <c r="D594" s="133">
        <v>650.0</v>
      </c>
      <c r="E594" s="133">
        <v>90.0</v>
      </c>
      <c r="F594" s="134">
        <v>17.98</v>
      </c>
      <c r="G594" s="134">
        <v>72.02</v>
      </c>
      <c r="H594" s="135">
        <v>4.01</v>
      </c>
      <c r="I594" s="134">
        <v>47.83</v>
      </c>
      <c r="J594" s="135">
        <v>2.66</v>
      </c>
      <c r="K594" s="135">
        <v>0.61</v>
      </c>
      <c r="L594" s="135">
        <v>0.54</v>
      </c>
      <c r="M594" s="133">
        <v>18.0</v>
      </c>
      <c r="N594" s="133">
        <v>220.0</v>
      </c>
      <c r="O594" s="135">
        <v>0.63</v>
      </c>
      <c r="P594" s="135">
        <v>0.3</v>
      </c>
      <c r="Q594" s="135">
        <v>2.1</v>
      </c>
      <c r="R594" s="136" t="str">
        <f t="shared" si="1"/>
        <v>OptionStrat</v>
      </c>
      <c r="S594" s="132" t="s">
        <v>763</v>
      </c>
      <c r="T594" s="137"/>
      <c r="U594" s="138">
        <v>0.55</v>
      </c>
    </row>
    <row r="595">
      <c r="A595" s="125" t="s">
        <v>28</v>
      </c>
      <c r="B595" s="125" t="s">
        <v>171</v>
      </c>
      <c r="C595" s="126">
        <v>610.0</v>
      </c>
      <c r="D595" s="126">
        <v>680.0</v>
      </c>
      <c r="E595" s="126">
        <v>70.0</v>
      </c>
      <c r="F595" s="127">
        <v>12.53</v>
      </c>
      <c r="G595" s="127">
        <v>57.47</v>
      </c>
      <c r="H595" s="128">
        <v>4.59</v>
      </c>
      <c r="I595" s="127">
        <v>36.66</v>
      </c>
      <c r="J595" s="128">
        <v>2.93</v>
      </c>
      <c r="K595" s="128">
        <v>0.57</v>
      </c>
      <c r="L595" s="128">
        <v>0.53</v>
      </c>
      <c r="M595" s="126">
        <v>26.0</v>
      </c>
      <c r="N595" s="126">
        <v>77.0</v>
      </c>
      <c r="O595" s="128">
        <v>0.45</v>
      </c>
      <c r="P595" s="128">
        <v>0.32</v>
      </c>
      <c r="Q595" s="128">
        <v>2.1</v>
      </c>
      <c r="R595" s="129" t="str">
        <f t="shared" si="1"/>
        <v>OptionStrat</v>
      </c>
      <c r="S595" s="125" t="s">
        <v>764</v>
      </c>
      <c r="T595" s="130"/>
      <c r="U595" s="131">
        <v>0.55</v>
      </c>
    </row>
    <row r="596">
      <c r="A596" s="132" t="s">
        <v>28</v>
      </c>
      <c r="B596" s="132" t="s">
        <v>169</v>
      </c>
      <c r="C596" s="133">
        <v>380.0</v>
      </c>
      <c r="D596" s="133">
        <v>470.0</v>
      </c>
      <c r="E596" s="133">
        <v>90.0</v>
      </c>
      <c r="F596" s="134">
        <v>31.2</v>
      </c>
      <c r="G596" s="134">
        <v>58.8</v>
      </c>
      <c r="H596" s="135">
        <v>1.88</v>
      </c>
      <c r="I596" s="134">
        <v>43.13</v>
      </c>
      <c r="J596" s="135">
        <v>1.38</v>
      </c>
      <c r="K596" s="135">
        <v>0.74</v>
      </c>
      <c r="L596" s="135">
        <v>0.65</v>
      </c>
      <c r="M596" s="133">
        <v>106.0</v>
      </c>
      <c r="N596" s="133">
        <v>318.0</v>
      </c>
      <c r="O596" s="135">
        <v>1.84</v>
      </c>
      <c r="P596" s="135">
        <v>0.51</v>
      </c>
      <c r="Q596" s="135">
        <v>2.09</v>
      </c>
      <c r="R596" s="136" t="str">
        <f t="shared" si="1"/>
        <v>OptionStrat</v>
      </c>
      <c r="S596" s="132" t="s">
        <v>765</v>
      </c>
      <c r="T596" s="137"/>
      <c r="U596" s="138">
        <v>0.55</v>
      </c>
    </row>
    <row r="597">
      <c r="A597" s="125" t="s">
        <v>28</v>
      </c>
      <c r="B597" s="125" t="s">
        <v>169</v>
      </c>
      <c r="C597" s="126">
        <v>540.0</v>
      </c>
      <c r="D597" s="126">
        <v>660.0</v>
      </c>
      <c r="E597" s="126">
        <v>120.0</v>
      </c>
      <c r="F597" s="127">
        <v>24.58</v>
      </c>
      <c r="G597" s="127">
        <v>95.42</v>
      </c>
      <c r="H597" s="128">
        <v>3.88</v>
      </c>
      <c r="I597" s="127">
        <v>55.75</v>
      </c>
      <c r="J597" s="128">
        <v>2.27</v>
      </c>
      <c r="K597" s="128">
        <v>0.59</v>
      </c>
      <c r="L597" s="128">
        <v>0.5</v>
      </c>
      <c r="M597" s="126">
        <v>116.0</v>
      </c>
      <c r="N597" s="126">
        <v>129.0</v>
      </c>
      <c r="O597" s="128">
        <v>1.22</v>
      </c>
      <c r="P597" s="128">
        <v>1.08</v>
      </c>
      <c r="Q597" s="128">
        <v>2.09</v>
      </c>
      <c r="R597" s="129" t="str">
        <f t="shared" si="1"/>
        <v>OptionStrat</v>
      </c>
      <c r="S597" s="125" t="s">
        <v>766</v>
      </c>
      <c r="T597" s="130"/>
      <c r="U597" s="131">
        <v>0.55</v>
      </c>
    </row>
    <row r="598">
      <c r="A598" s="132" t="s">
        <v>28</v>
      </c>
      <c r="B598" s="132" t="s">
        <v>169</v>
      </c>
      <c r="C598" s="133">
        <v>560.0</v>
      </c>
      <c r="D598" s="133">
        <v>590.0</v>
      </c>
      <c r="E598" s="133">
        <v>30.0</v>
      </c>
      <c r="F598" s="134">
        <v>6.57</v>
      </c>
      <c r="G598" s="134">
        <v>23.43</v>
      </c>
      <c r="H598" s="135">
        <v>3.57</v>
      </c>
      <c r="I598" s="134">
        <v>15.66</v>
      </c>
      <c r="J598" s="135">
        <v>2.38</v>
      </c>
      <c r="K598" s="135">
        <v>0.57</v>
      </c>
      <c r="L598" s="135">
        <v>0.55</v>
      </c>
      <c r="M598" s="133">
        <v>183.0</v>
      </c>
      <c r="N598" s="133">
        <v>72.0</v>
      </c>
      <c r="O598" s="135">
        <v>1.15</v>
      </c>
      <c r="P598" s="135">
        <v>1.08</v>
      </c>
      <c r="Q598" s="135">
        <v>2.09</v>
      </c>
      <c r="R598" s="136" t="str">
        <f t="shared" si="1"/>
        <v>OptionStrat</v>
      </c>
      <c r="S598" s="132" t="s">
        <v>767</v>
      </c>
      <c r="T598" s="137"/>
      <c r="U598" s="138">
        <v>0.55</v>
      </c>
    </row>
    <row r="599">
      <c r="A599" s="125" t="s">
        <v>28</v>
      </c>
      <c r="B599" s="125" t="s">
        <v>169</v>
      </c>
      <c r="C599" s="126">
        <v>590.0</v>
      </c>
      <c r="D599" s="126">
        <v>660.0</v>
      </c>
      <c r="E599" s="126">
        <v>70.0</v>
      </c>
      <c r="F599" s="127">
        <v>13.28</v>
      </c>
      <c r="G599" s="127">
        <v>56.72</v>
      </c>
      <c r="H599" s="128">
        <v>4.27</v>
      </c>
      <c r="I599" s="127">
        <v>33.41</v>
      </c>
      <c r="J599" s="128">
        <v>2.52</v>
      </c>
      <c r="K599" s="128">
        <v>0.55</v>
      </c>
      <c r="L599" s="128">
        <v>0.5</v>
      </c>
      <c r="M599" s="126">
        <v>72.0</v>
      </c>
      <c r="N599" s="126">
        <v>129.0</v>
      </c>
      <c r="O599" s="128">
        <v>0.96</v>
      </c>
      <c r="P599" s="128">
        <v>1.14</v>
      </c>
      <c r="Q599" s="128">
        <v>2.09</v>
      </c>
      <c r="R599" s="129" t="str">
        <f t="shared" si="1"/>
        <v>OptionStrat</v>
      </c>
      <c r="S599" s="125" t="s">
        <v>768</v>
      </c>
      <c r="T599" s="130"/>
      <c r="U599" s="131">
        <v>0.55</v>
      </c>
    </row>
    <row r="600">
      <c r="A600" s="132" t="s">
        <v>28</v>
      </c>
      <c r="B600" s="132" t="s">
        <v>171</v>
      </c>
      <c r="C600" s="133">
        <v>460.0</v>
      </c>
      <c r="D600" s="133">
        <v>590.0</v>
      </c>
      <c r="E600" s="133">
        <v>130.0</v>
      </c>
      <c r="F600" s="134">
        <v>31.85</v>
      </c>
      <c r="G600" s="134">
        <v>98.15</v>
      </c>
      <c r="H600" s="135">
        <v>3.08</v>
      </c>
      <c r="I600" s="134">
        <v>71.49</v>
      </c>
      <c r="J600" s="135">
        <v>2.24</v>
      </c>
      <c r="K600" s="135">
        <v>0.68</v>
      </c>
      <c r="L600" s="135">
        <v>0.59</v>
      </c>
      <c r="M600" s="133">
        <v>90.0</v>
      </c>
      <c r="N600" s="133">
        <v>15.0</v>
      </c>
      <c r="O600" s="135">
        <v>0.37</v>
      </c>
      <c r="P600" s="135">
        <v>0.36</v>
      </c>
      <c r="Q600" s="135">
        <v>2.09</v>
      </c>
      <c r="R600" s="136" t="str">
        <f t="shared" si="1"/>
        <v>OptionStrat</v>
      </c>
      <c r="S600" s="132" t="s">
        <v>769</v>
      </c>
      <c r="T600" s="137"/>
      <c r="U600" s="138">
        <v>0.55</v>
      </c>
    </row>
    <row r="601">
      <c r="A601" s="125" t="s">
        <v>28</v>
      </c>
      <c r="B601" s="125" t="s">
        <v>171</v>
      </c>
      <c r="C601" s="126">
        <v>620.0</v>
      </c>
      <c r="D601" s="126">
        <v>650.0</v>
      </c>
      <c r="E601" s="126">
        <v>30.0</v>
      </c>
      <c r="F601" s="127">
        <v>5.58</v>
      </c>
      <c r="G601" s="127">
        <v>24.42</v>
      </c>
      <c r="H601" s="128">
        <v>4.38</v>
      </c>
      <c r="I601" s="127">
        <v>16.29</v>
      </c>
      <c r="J601" s="128">
        <v>2.92</v>
      </c>
      <c r="K601" s="128">
        <v>0.56</v>
      </c>
      <c r="L601" s="128">
        <v>0.54</v>
      </c>
      <c r="M601" s="126">
        <v>10.0</v>
      </c>
      <c r="N601" s="126">
        <v>220.0</v>
      </c>
      <c r="O601" s="128">
        <v>0.47</v>
      </c>
      <c r="P601" s="128">
        <v>0.31</v>
      </c>
      <c r="Q601" s="128">
        <v>2.09</v>
      </c>
      <c r="R601" s="129" t="str">
        <f t="shared" si="1"/>
        <v>OptionStrat</v>
      </c>
      <c r="S601" s="125" t="s">
        <v>770</v>
      </c>
      <c r="T601" s="130"/>
      <c r="U601" s="131">
        <v>0.55</v>
      </c>
    </row>
    <row r="602">
      <c r="A602" s="132" t="s">
        <v>28</v>
      </c>
      <c r="B602" s="132" t="s">
        <v>171</v>
      </c>
      <c r="C602" s="133">
        <v>640.0</v>
      </c>
      <c r="D602" s="133">
        <v>660.0</v>
      </c>
      <c r="E602" s="133">
        <v>20.0</v>
      </c>
      <c r="F602" s="134">
        <v>3.55</v>
      </c>
      <c r="G602" s="134">
        <v>16.45</v>
      </c>
      <c r="H602" s="135">
        <v>4.63</v>
      </c>
      <c r="I602" s="134">
        <v>10.83</v>
      </c>
      <c r="J602" s="135">
        <v>3.05</v>
      </c>
      <c r="K602" s="135">
        <v>0.55</v>
      </c>
      <c r="L602" s="135">
        <v>0.54</v>
      </c>
      <c r="M602" s="133">
        <v>112.0</v>
      </c>
      <c r="N602" s="133">
        <v>14.0</v>
      </c>
      <c r="O602" s="135">
        <v>0.4</v>
      </c>
      <c r="P602" s="135">
        <v>0.32</v>
      </c>
      <c r="Q602" s="135">
        <v>2.09</v>
      </c>
      <c r="R602" s="136" t="str">
        <f t="shared" si="1"/>
        <v>OptionStrat</v>
      </c>
      <c r="S602" s="132" t="s">
        <v>771</v>
      </c>
      <c r="T602" s="137"/>
      <c r="U602" s="138">
        <v>0.55</v>
      </c>
    </row>
    <row r="603">
      <c r="A603" s="125" t="s">
        <v>28</v>
      </c>
      <c r="B603" s="125" t="s">
        <v>169</v>
      </c>
      <c r="C603" s="126">
        <v>360.0</v>
      </c>
      <c r="D603" s="126">
        <v>470.0</v>
      </c>
      <c r="E603" s="126">
        <v>110.0</v>
      </c>
      <c r="F603" s="127">
        <v>39.5</v>
      </c>
      <c r="G603" s="127">
        <v>70.5</v>
      </c>
      <c r="H603" s="128">
        <v>1.78</v>
      </c>
      <c r="I603" s="127">
        <v>51.61</v>
      </c>
      <c r="J603" s="128">
        <v>1.31</v>
      </c>
      <c r="K603" s="128">
        <v>0.76</v>
      </c>
      <c r="L603" s="128">
        <v>0.65</v>
      </c>
      <c r="M603" s="126">
        <v>183.0</v>
      </c>
      <c r="N603" s="126">
        <v>318.0</v>
      </c>
      <c r="O603" s="128">
        <v>2.41</v>
      </c>
      <c r="P603" s="128">
        <v>0.5</v>
      </c>
      <c r="Q603" s="128">
        <v>2.08</v>
      </c>
      <c r="R603" s="129" t="str">
        <f t="shared" si="1"/>
        <v>OptionStrat</v>
      </c>
      <c r="S603" s="125" t="s">
        <v>772</v>
      </c>
      <c r="T603" s="130"/>
      <c r="U603" s="131">
        <v>0.55</v>
      </c>
    </row>
    <row r="604">
      <c r="A604" s="132" t="s">
        <v>28</v>
      </c>
      <c r="B604" s="132" t="s">
        <v>171</v>
      </c>
      <c r="C604" s="133">
        <v>360.0</v>
      </c>
      <c r="D604" s="133">
        <v>440.0</v>
      </c>
      <c r="E604" s="133">
        <v>80.0</v>
      </c>
      <c r="F604" s="134">
        <v>28.88</v>
      </c>
      <c r="G604" s="134">
        <v>51.12</v>
      </c>
      <c r="H604" s="135">
        <v>1.77</v>
      </c>
      <c r="I604" s="134">
        <v>37.41</v>
      </c>
      <c r="J604" s="135">
        <v>1.3</v>
      </c>
      <c r="K604" s="135">
        <v>0.77</v>
      </c>
      <c r="L604" s="135">
        <v>0.7</v>
      </c>
      <c r="M604" s="133">
        <v>212.0</v>
      </c>
      <c r="N604" s="133">
        <v>144.0</v>
      </c>
      <c r="O604" s="135">
        <v>1.75</v>
      </c>
      <c r="P604" s="135">
        <v>0.3</v>
      </c>
      <c r="Q604" s="135">
        <v>2.08</v>
      </c>
      <c r="R604" s="136" t="str">
        <f t="shared" si="1"/>
        <v>OptionStrat</v>
      </c>
      <c r="S604" s="132" t="s">
        <v>773</v>
      </c>
      <c r="T604" s="137"/>
      <c r="U604" s="138">
        <v>0.55</v>
      </c>
    </row>
    <row r="605">
      <c r="A605" s="125" t="s">
        <v>28</v>
      </c>
      <c r="B605" s="125" t="s">
        <v>171</v>
      </c>
      <c r="C605" s="126">
        <v>410.0</v>
      </c>
      <c r="D605" s="126">
        <v>430.0</v>
      </c>
      <c r="E605" s="126">
        <v>20.0</v>
      </c>
      <c r="F605" s="127">
        <v>6.73</v>
      </c>
      <c r="G605" s="127">
        <v>13.27</v>
      </c>
      <c r="H605" s="128">
        <v>1.97</v>
      </c>
      <c r="I605" s="127">
        <v>9.75</v>
      </c>
      <c r="J605" s="128">
        <v>1.45</v>
      </c>
      <c r="K605" s="128">
        <v>0.73</v>
      </c>
      <c r="L605" s="128">
        <v>0.71</v>
      </c>
      <c r="M605" s="126">
        <v>54.0</v>
      </c>
      <c r="N605" s="126">
        <v>213.0</v>
      </c>
      <c r="O605" s="128">
        <v>1.07</v>
      </c>
      <c r="P605" s="128">
        <v>0.28</v>
      </c>
      <c r="Q605" s="128">
        <v>2.08</v>
      </c>
      <c r="R605" s="129" t="str">
        <f t="shared" si="1"/>
        <v>OptionStrat</v>
      </c>
      <c r="S605" s="125" t="s">
        <v>774</v>
      </c>
      <c r="T605" s="130"/>
      <c r="U605" s="131">
        <v>0.56</v>
      </c>
    </row>
    <row r="606">
      <c r="A606" s="132" t="s">
        <v>28</v>
      </c>
      <c r="B606" s="132" t="s">
        <v>171</v>
      </c>
      <c r="C606" s="133">
        <v>410.0</v>
      </c>
      <c r="D606" s="133">
        <v>460.0</v>
      </c>
      <c r="E606" s="133">
        <v>50.0</v>
      </c>
      <c r="F606" s="134">
        <v>16.13</v>
      </c>
      <c r="G606" s="134">
        <v>33.87</v>
      </c>
      <c r="H606" s="135">
        <v>2.1</v>
      </c>
      <c r="I606" s="134">
        <v>24.94</v>
      </c>
      <c r="J606" s="135">
        <v>1.55</v>
      </c>
      <c r="K606" s="135">
        <v>0.73</v>
      </c>
      <c r="L606" s="135">
        <v>0.68</v>
      </c>
      <c r="M606" s="133">
        <v>54.0</v>
      </c>
      <c r="N606" s="133">
        <v>90.0</v>
      </c>
      <c r="O606" s="135">
        <v>0.7</v>
      </c>
      <c r="P606" s="135">
        <v>0.27</v>
      </c>
      <c r="Q606" s="135">
        <v>2.08</v>
      </c>
      <c r="R606" s="136" t="str">
        <f t="shared" si="1"/>
        <v>OptionStrat</v>
      </c>
      <c r="S606" s="132" t="s">
        <v>775</v>
      </c>
      <c r="T606" s="137"/>
      <c r="U606" s="138">
        <v>0.56</v>
      </c>
    </row>
    <row r="607">
      <c r="A607" s="125" t="s">
        <v>28</v>
      </c>
      <c r="B607" s="125" t="s">
        <v>171</v>
      </c>
      <c r="C607" s="126">
        <v>460.0</v>
      </c>
      <c r="D607" s="126">
        <v>560.0</v>
      </c>
      <c r="E607" s="126">
        <v>100.0</v>
      </c>
      <c r="F607" s="127">
        <v>25.98</v>
      </c>
      <c r="G607" s="127">
        <v>74.02</v>
      </c>
      <c r="H607" s="128">
        <v>2.85</v>
      </c>
      <c r="I607" s="127">
        <v>54.96</v>
      </c>
      <c r="J607" s="128">
        <v>2.12</v>
      </c>
      <c r="K607" s="128">
        <v>0.68</v>
      </c>
      <c r="L607" s="128">
        <v>0.61</v>
      </c>
      <c r="M607" s="126">
        <v>90.0</v>
      </c>
      <c r="N607" s="126">
        <v>18.0</v>
      </c>
      <c r="O607" s="128">
        <v>0.4</v>
      </c>
      <c r="P607" s="128">
        <v>0.27</v>
      </c>
      <c r="Q607" s="128">
        <v>2.08</v>
      </c>
      <c r="R607" s="129" t="str">
        <f t="shared" si="1"/>
        <v>OptionStrat</v>
      </c>
      <c r="S607" s="125" t="s">
        <v>776</v>
      </c>
      <c r="T607" s="130"/>
      <c r="U607" s="131">
        <v>0.55</v>
      </c>
    </row>
    <row r="608">
      <c r="A608" s="132" t="s">
        <v>28</v>
      </c>
      <c r="B608" s="132" t="s">
        <v>171</v>
      </c>
      <c r="C608" s="133">
        <v>510.0</v>
      </c>
      <c r="D608" s="133">
        <v>560.0</v>
      </c>
      <c r="E608" s="133">
        <v>50.0</v>
      </c>
      <c r="F608" s="134">
        <v>12.08</v>
      </c>
      <c r="G608" s="134">
        <v>37.92</v>
      </c>
      <c r="H608" s="135">
        <v>3.14</v>
      </c>
      <c r="I608" s="134">
        <v>28.22</v>
      </c>
      <c r="J608" s="135">
        <v>2.34</v>
      </c>
      <c r="K608" s="135">
        <v>0.64</v>
      </c>
      <c r="L608" s="135">
        <v>0.61</v>
      </c>
      <c r="M608" s="133">
        <v>45.0</v>
      </c>
      <c r="N608" s="133">
        <v>18.0</v>
      </c>
      <c r="O608" s="135">
        <v>0.28</v>
      </c>
      <c r="P608" s="135">
        <v>0.27</v>
      </c>
      <c r="Q608" s="135">
        <v>2.08</v>
      </c>
      <c r="R608" s="136" t="str">
        <f t="shared" si="1"/>
        <v>OptionStrat</v>
      </c>
      <c r="S608" s="132" t="s">
        <v>777</v>
      </c>
      <c r="T608" s="137"/>
      <c r="U608" s="138">
        <v>0.55</v>
      </c>
    </row>
    <row r="609">
      <c r="A609" s="125" t="s">
        <v>28</v>
      </c>
      <c r="B609" s="125" t="s">
        <v>171</v>
      </c>
      <c r="C609" s="126">
        <v>520.0</v>
      </c>
      <c r="D609" s="126">
        <v>610.0</v>
      </c>
      <c r="E609" s="126">
        <v>90.0</v>
      </c>
      <c r="F609" s="127">
        <v>20.07</v>
      </c>
      <c r="G609" s="127">
        <v>69.93</v>
      </c>
      <c r="H609" s="128">
        <v>3.48</v>
      </c>
      <c r="I609" s="127">
        <v>49.29</v>
      </c>
      <c r="J609" s="128">
        <v>2.46</v>
      </c>
      <c r="K609" s="128">
        <v>0.64</v>
      </c>
      <c r="L609" s="128">
        <v>0.57</v>
      </c>
      <c r="M609" s="126">
        <v>82.0</v>
      </c>
      <c r="N609" s="126">
        <v>26.0</v>
      </c>
      <c r="O609" s="128">
        <v>0.46</v>
      </c>
      <c r="P609" s="128">
        <v>0.29</v>
      </c>
      <c r="Q609" s="128">
        <v>2.08</v>
      </c>
      <c r="R609" s="129" t="str">
        <f t="shared" si="1"/>
        <v>OptionStrat</v>
      </c>
      <c r="S609" s="125" t="s">
        <v>778</v>
      </c>
      <c r="T609" s="130"/>
      <c r="U609" s="131">
        <v>0.55</v>
      </c>
    </row>
    <row r="610">
      <c r="A610" s="132" t="s">
        <v>28</v>
      </c>
      <c r="B610" s="132" t="s">
        <v>171</v>
      </c>
      <c r="C610" s="133">
        <v>550.0</v>
      </c>
      <c r="D610" s="133">
        <v>690.0</v>
      </c>
      <c r="E610" s="133">
        <v>140.0</v>
      </c>
      <c r="F610" s="134">
        <v>27.03</v>
      </c>
      <c r="G610" s="134">
        <v>112.97</v>
      </c>
      <c r="H610" s="135">
        <v>4.18</v>
      </c>
      <c r="I610" s="134">
        <v>70.56</v>
      </c>
      <c r="J610" s="135">
        <v>2.61</v>
      </c>
      <c r="K610" s="135">
        <v>0.61</v>
      </c>
      <c r="L610" s="135">
        <v>0.52</v>
      </c>
      <c r="M610" s="133">
        <v>78.0</v>
      </c>
      <c r="N610" s="133">
        <v>49.0</v>
      </c>
      <c r="O610" s="135">
        <v>0.62</v>
      </c>
      <c r="P610" s="135">
        <v>0.3</v>
      </c>
      <c r="Q610" s="135">
        <v>2.08</v>
      </c>
      <c r="R610" s="136" t="str">
        <f t="shared" si="1"/>
        <v>OptionStrat</v>
      </c>
      <c r="S610" s="132" t="s">
        <v>779</v>
      </c>
      <c r="T610" s="132" t="s">
        <v>181</v>
      </c>
      <c r="U610" s="138">
        <v>0.55</v>
      </c>
    </row>
    <row r="611">
      <c r="A611" s="125" t="s">
        <v>28</v>
      </c>
      <c r="B611" s="125" t="s">
        <v>169</v>
      </c>
      <c r="C611" s="126">
        <v>540.0</v>
      </c>
      <c r="D611" s="126">
        <v>590.0</v>
      </c>
      <c r="E611" s="126">
        <v>50.0</v>
      </c>
      <c r="F611" s="127">
        <v>11.3</v>
      </c>
      <c r="G611" s="127">
        <v>38.7</v>
      </c>
      <c r="H611" s="128">
        <v>3.42</v>
      </c>
      <c r="I611" s="127">
        <v>25.82</v>
      </c>
      <c r="J611" s="128">
        <v>2.29</v>
      </c>
      <c r="K611" s="128">
        <v>0.59</v>
      </c>
      <c r="L611" s="128">
        <v>0.55</v>
      </c>
      <c r="M611" s="126">
        <v>116.0</v>
      </c>
      <c r="N611" s="126">
        <v>72.0</v>
      </c>
      <c r="O611" s="128">
        <v>0.91</v>
      </c>
      <c r="P611" s="128">
        <v>1.05</v>
      </c>
      <c r="Q611" s="128">
        <v>2.07</v>
      </c>
      <c r="R611" s="129" t="str">
        <f t="shared" si="1"/>
        <v>OptionStrat</v>
      </c>
      <c r="S611" s="125" t="s">
        <v>780</v>
      </c>
      <c r="T611" s="130"/>
      <c r="U611" s="131">
        <v>0.55</v>
      </c>
    </row>
    <row r="612">
      <c r="A612" s="132" t="s">
        <v>28</v>
      </c>
      <c r="B612" s="132" t="s">
        <v>171</v>
      </c>
      <c r="C612" s="133">
        <v>380.0</v>
      </c>
      <c r="D612" s="133">
        <v>470.0</v>
      </c>
      <c r="E612" s="133">
        <v>90.0</v>
      </c>
      <c r="F612" s="134">
        <v>29.93</v>
      </c>
      <c r="G612" s="134">
        <v>60.07</v>
      </c>
      <c r="H612" s="135">
        <v>2.01</v>
      </c>
      <c r="I612" s="134">
        <v>44.16</v>
      </c>
      <c r="J612" s="135">
        <v>1.48</v>
      </c>
      <c r="K612" s="135">
        <v>0.75</v>
      </c>
      <c r="L612" s="135">
        <v>0.68</v>
      </c>
      <c r="M612" s="133">
        <v>97.0</v>
      </c>
      <c r="N612" s="133">
        <v>68.0</v>
      </c>
      <c r="O612" s="135">
        <v>0.81</v>
      </c>
      <c r="P612" s="135">
        <v>0.27</v>
      </c>
      <c r="Q612" s="135">
        <v>2.07</v>
      </c>
      <c r="R612" s="136" t="str">
        <f t="shared" si="1"/>
        <v>OptionStrat</v>
      </c>
      <c r="S612" s="132" t="s">
        <v>781</v>
      </c>
      <c r="T612" s="137"/>
      <c r="U612" s="138">
        <v>0.55</v>
      </c>
    </row>
    <row r="613">
      <c r="A613" s="125" t="s">
        <v>28</v>
      </c>
      <c r="B613" s="125" t="s">
        <v>171</v>
      </c>
      <c r="C613" s="126">
        <v>530.0</v>
      </c>
      <c r="D613" s="126">
        <v>610.0</v>
      </c>
      <c r="E613" s="126">
        <v>80.0</v>
      </c>
      <c r="F613" s="127">
        <v>17.28</v>
      </c>
      <c r="G613" s="127">
        <v>62.72</v>
      </c>
      <c r="H613" s="128">
        <v>3.63</v>
      </c>
      <c r="I613" s="127">
        <v>44.28</v>
      </c>
      <c r="J613" s="128">
        <v>2.56</v>
      </c>
      <c r="K613" s="128">
        <v>0.63</v>
      </c>
      <c r="L613" s="128">
        <v>0.57</v>
      </c>
      <c r="M613" s="126">
        <v>60.0</v>
      </c>
      <c r="N613" s="126">
        <v>26.0</v>
      </c>
      <c r="O613" s="128">
        <v>0.39</v>
      </c>
      <c r="P613" s="128">
        <v>0.34</v>
      </c>
      <c r="Q613" s="128">
        <v>2.07</v>
      </c>
      <c r="R613" s="129" t="str">
        <f t="shared" si="1"/>
        <v>OptionStrat</v>
      </c>
      <c r="S613" s="125" t="s">
        <v>782</v>
      </c>
      <c r="T613" s="130"/>
      <c r="U613" s="131">
        <v>0.55</v>
      </c>
    </row>
    <row r="614">
      <c r="A614" s="132" t="s">
        <v>28</v>
      </c>
      <c r="B614" s="132" t="s">
        <v>171</v>
      </c>
      <c r="C614" s="133">
        <v>540.0</v>
      </c>
      <c r="D614" s="133">
        <v>590.0</v>
      </c>
      <c r="E614" s="133">
        <v>50.0</v>
      </c>
      <c r="F614" s="134">
        <v>10.53</v>
      </c>
      <c r="G614" s="134">
        <v>39.47</v>
      </c>
      <c r="H614" s="135">
        <v>3.75</v>
      </c>
      <c r="I614" s="134">
        <v>28.9</v>
      </c>
      <c r="J614" s="135">
        <v>2.74</v>
      </c>
      <c r="K614" s="135">
        <v>0.62</v>
      </c>
      <c r="L614" s="135">
        <v>0.59</v>
      </c>
      <c r="M614" s="133">
        <v>58.0</v>
      </c>
      <c r="N614" s="133">
        <v>15.0</v>
      </c>
      <c r="O614" s="135">
        <v>0.29</v>
      </c>
      <c r="P614" s="135">
        <v>0.36</v>
      </c>
      <c r="Q614" s="135">
        <v>2.07</v>
      </c>
      <c r="R614" s="136" t="str">
        <f t="shared" si="1"/>
        <v>OptionStrat</v>
      </c>
      <c r="S614" s="132" t="s">
        <v>783</v>
      </c>
      <c r="T614" s="137"/>
      <c r="U614" s="138">
        <v>0.55</v>
      </c>
    </row>
    <row r="615">
      <c r="A615" s="125" t="s">
        <v>28</v>
      </c>
      <c r="B615" s="125" t="s">
        <v>169</v>
      </c>
      <c r="C615" s="126">
        <v>350.0</v>
      </c>
      <c r="D615" s="126">
        <v>460.0</v>
      </c>
      <c r="E615" s="126">
        <v>110.0</v>
      </c>
      <c r="F615" s="127">
        <v>40.85</v>
      </c>
      <c r="G615" s="127">
        <v>69.15</v>
      </c>
      <c r="H615" s="128">
        <v>1.69</v>
      </c>
      <c r="I615" s="127">
        <v>50.51</v>
      </c>
      <c r="J615" s="128">
        <v>1.24</v>
      </c>
      <c r="K615" s="128">
        <v>0.77</v>
      </c>
      <c r="L615" s="128">
        <v>0.66</v>
      </c>
      <c r="M615" s="126">
        <v>270.0</v>
      </c>
      <c r="N615" s="126">
        <v>419.0</v>
      </c>
      <c r="O615" s="128">
        <v>3.36</v>
      </c>
      <c r="P615" s="128">
        <v>0.43</v>
      </c>
      <c r="Q615" s="128">
        <v>2.06</v>
      </c>
      <c r="R615" s="129" t="str">
        <f t="shared" si="1"/>
        <v>OptionStrat</v>
      </c>
      <c r="S615" s="125" t="s">
        <v>784</v>
      </c>
      <c r="T615" s="130"/>
      <c r="U615" s="131">
        <v>0.55</v>
      </c>
    </row>
    <row r="616">
      <c r="A616" s="132" t="s">
        <v>28</v>
      </c>
      <c r="B616" s="132" t="s">
        <v>171</v>
      </c>
      <c r="C616" s="133">
        <v>470.0</v>
      </c>
      <c r="D616" s="133">
        <v>590.0</v>
      </c>
      <c r="E616" s="133">
        <v>120.0</v>
      </c>
      <c r="F616" s="134">
        <v>28.95</v>
      </c>
      <c r="G616" s="134">
        <v>91.05</v>
      </c>
      <c r="H616" s="135">
        <v>3.15</v>
      </c>
      <c r="I616" s="134">
        <v>66.36</v>
      </c>
      <c r="J616" s="135">
        <v>2.29</v>
      </c>
      <c r="K616" s="135">
        <v>0.68</v>
      </c>
      <c r="L616" s="135">
        <v>0.59</v>
      </c>
      <c r="M616" s="133">
        <v>68.0</v>
      </c>
      <c r="N616" s="133">
        <v>15.0</v>
      </c>
      <c r="O616" s="135">
        <v>0.32</v>
      </c>
      <c r="P616" s="135">
        <v>0.36</v>
      </c>
      <c r="Q616" s="135">
        <v>2.06</v>
      </c>
      <c r="R616" s="136" t="str">
        <f t="shared" si="1"/>
        <v>OptionStrat</v>
      </c>
      <c r="S616" s="132" t="s">
        <v>785</v>
      </c>
      <c r="T616" s="137"/>
      <c r="U616" s="138">
        <v>0.55</v>
      </c>
    </row>
    <row r="617">
      <c r="A617" s="125" t="s">
        <v>28</v>
      </c>
      <c r="B617" s="125" t="s">
        <v>171</v>
      </c>
      <c r="C617" s="126">
        <v>510.0</v>
      </c>
      <c r="D617" s="126">
        <v>590.0</v>
      </c>
      <c r="E617" s="126">
        <v>80.0</v>
      </c>
      <c r="F617" s="127">
        <v>17.95</v>
      </c>
      <c r="G617" s="127">
        <v>62.05</v>
      </c>
      <c r="H617" s="128">
        <v>3.46</v>
      </c>
      <c r="I617" s="127">
        <v>45.34</v>
      </c>
      <c r="J617" s="128">
        <v>2.53</v>
      </c>
      <c r="K617" s="128">
        <v>0.64</v>
      </c>
      <c r="L617" s="128">
        <v>0.59</v>
      </c>
      <c r="M617" s="126">
        <v>45.0</v>
      </c>
      <c r="N617" s="126">
        <v>15.0</v>
      </c>
      <c r="O617" s="128">
        <v>0.26</v>
      </c>
      <c r="P617" s="128">
        <v>0.36</v>
      </c>
      <c r="Q617" s="128">
        <v>2.06</v>
      </c>
      <c r="R617" s="129" t="str">
        <f t="shared" si="1"/>
        <v>OptionStrat</v>
      </c>
      <c r="S617" s="125" t="s">
        <v>786</v>
      </c>
      <c r="T617" s="130"/>
      <c r="U617" s="131">
        <v>0.55</v>
      </c>
    </row>
    <row r="618">
      <c r="A618" s="132" t="s">
        <v>28</v>
      </c>
      <c r="B618" s="132" t="s">
        <v>171</v>
      </c>
      <c r="C618" s="133">
        <v>580.0</v>
      </c>
      <c r="D618" s="133">
        <v>690.0</v>
      </c>
      <c r="E618" s="133">
        <v>110.0</v>
      </c>
      <c r="F618" s="134">
        <v>20.3</v>
      </c>
      <c r="G618" s="134">
        <v>89.7</v>
      </c>
      <c r="H618" s="135">
        <v>4.42</v>
      </c>
      <c r="I618" s="134">
        <v>56.22</v>
      </c>
      <c r="J618" s="135">
        <v>2.77</v>
      </c>
      <c r="K618" s="135">
        <v>0.59</v>
      </c>
      <c r="L618" s="135">
        <v>0.52</v>
      </c>
      <c r="M618" s="133">
        <v>50.0</v>
      </c>
      <c r="N618" s="133">
        <v>49.0</v>
      </c>
      <c r="O618" s="135">
        <v>0.49</v>
      </c>
      <c r="P618" s="135">
        <v>0.29</v>
      </c>
      <c r="Q618" s="135">
        <v>2.06</v>
      </c>
      <c r="R618" s="136" t="str">
        <f t="shared" si="1"/>
        <v>OptionStrat</v>
      </c>
      <c r="S618" s="132" t="s">
        <v>787</v>
      </c>
      <c r="T618" s="137"/>
      <c r="U618" s="138">
        <v>0.55</v>
      </c>
    </row>
    <row r="619">
      <c r="A619" s="125" t="s">
        <v>28</v>
      </c>
      <c r="B619" s="125" t="s">
        <v>171</v>
      </c>
      <c r="C619" s="126">
        <v>590.0</v>
      </c>
      <c r="D619" s="126">
        <v>650.0</v>
      </c>
      <c r="E619" s="126">
        <v>60.0</v>
      </c>
      <c r="F619" s="127">
        <v>12.1</v>
      </c>
      <c r="G619" s="127">
        <v>47.9</v>
      </c>
      <c r="H619" s="128">
        <v>3.96</v>
      </c>
      <c r="I619" s="127">
        <v>31.79</v>
      </c>
      <c r="J619" s="128">
        <v>2.63</v>
      </c>
      <c r="K619" s="128">
        <v>0.59</v>
      </c>
      <c r="L619" s="128">
        <v>0.54</v>
      </c>
      <c r="M619" s="126">
        <v>15.0</v>
      </c>
      <c r="N619" s="126">
        <v>220.0</v>
      </c>
      <c r="O619" s="128">
        <v>0.57</v>
      </c>
      <c r="P619" s="128">
        <v>0.4</v>
      </c>
      <c r="Q619" s="128">
        <v>2.06</v>
      </c>
      <c r="R619" s="129" t="str">
        <f t="shared" si="1"/>
        <v>OptionStrat</v>
      </c>
      <c r="S619" s="125" t="s">
        <v>788</v>
      </c>
      <c r="T619" s="130"/>
      <c r="U619" s="131">
        <v>0.55</v>
      </c>
    </row>
    <row r="620">
      <c r="A620" s="132" t="s">
        <v>28</v>
      </c>
      <c r="B620" s="132" t="s">
        <v>169</v>
      </c>
      <c r="C620" s="133">
        <v>380.0</v>
      </c>
      <c r="D620" s="133">
        <v>460.0</v>
      </c>
      <c r="E620" s="133">
        <v>80.0</v>
      </c>
      <c r="F620" s="134">
        <v>28.22</v>
      </c>
      <c r="G620" s="134">
        <v>51.78</v>
      </c>
      <c r="H620" s="135">
        <v>1.83</v>
      </c>
      <c r="I620" s="134">
        <v>37.94</v>
      </c>
      <c r="J620" s="135">
        <v>1.34</v>
      </c>
      <c r="K620" s="135">
        <v>0.74</v>
      </c>
      <c r="L620" s="135">
        <v>0.66</v>
      </c>
      <c r="M620" s="133">
        <v>106.0</v>
      </c>
      <c r="N620" s="133">
        <v>419.0</v>
      </c>
      <c r="O620" s="135">
        <v>2.11</v>
      </c>
      <c r="P620" s="135">
        <v>0.45</v>
      </c>
      <c r="Q620" s="135">
        <v>2.05</v>
      </c>
      <c r="R620" s="136" t="str">
        <f t="shared" si="1"/>
        <v>OptionStrat</v>
      </c>
      <c r="S620" s="132" t="s">
        <v>789</v>
      </c>
      <c r="T620" s="137"/>
      <c r="U620" s="138">
        <v>0.55</v>
      </c>
    </row>
    <row r="621">
      <c r="A621" s="125" t="s">
        <v>28</v>
      </c>
      <c r="B621" s="125" t="s">
        <v>169</v>
      </c>
      <c r="C621" s="126">
        <v>390.0</v>
      </c>
      <c r="D621" s="126">
        <v>460.0</v>
      </c>
      <c r="E621" s="126">
        <v>70.0</v>
      </c>
      <c r="F621" s="127">
        <v>24.43</v>
      </c>
      <c r="G621" s="127">
        <v>45.57</v>
      </c>
      <c r="H621" s="128">
        <v>1.87</v>
      </c>
      <c r="I621" s="127">
        <v>33.42</v>
      </c>
      <c r="J621" s="128">
        <v>1.37</v>
      </c>
      <c r="K621" s="128">
        <v>0.73</v>
      </c>
      <c r="L621" s="128">
        <v>0.66</v>
      </c>
      <c r="M621" s="126">
        <v>92.0</v>
      </c>
      <c r="N621" s="126">
        <v>419.0</v>
      </c>
      <c r="O621" s="128">
        <v>1.96</v>
      </c>
      <c r="P621" s="128">
        <v>0.44</v>
      </c>
      <c r="Q621" s="128">
        <v>2.05</v>
      </c>
      <c r="R621" s="129" t="str">
        <f t="shared" si="1"/>
        <v>OptionStrat</v>
      </c>
      <c r="S621" s="125" t="s">
        <v>790</v>
      </c>
      <c r="T621" s="130"/>
      <c r="U621" s="131">
        <v>0.55</v>
      </c>
    </row>
    <row r="622">
      <c r="A622" s="132" t="s">
        <v>28</v>
      </c>
      <c r="B622" s="132" t="s">
        <v>171</v>
      </c>
      <c r="C622" s="133">
        <v>380.0</v>
      </c>
      <c r="D622" s="133">
        <v>460.0</v>
      </c>
      <c r="E622" s="133">
        <v>80.0</v>
      </c>
      <c r="F622" s="134">
        <v>27.02</v>
      </c>
      <c r="G622" s="134">
        <v>52.98</v>
      </c>
      <c r="H622" s="135">
        <v>1.96</v>
      </c>
      <c r="I622" s="134">
        <v>38.91</v>
      </c>
      <c r="J622" s="135">
        <v>1.44</v>
      </c>
      <c r="K622" s="135">
        <v>0.75</v>
      </c>
      <c r="L622" s="135">
        <v>0.68</v>
      </c>
      <c r="M622" s="133">
        <v>97.0</v>
      </c>
      <c r="N622" s="133">
        <v>90.0</v>
      </c>
      <c r="O622" s="135">
        <v>0.93</v>
      </c>
      <c r="P622" s="135">
        <v>0.27</v>
      </c>
      <c r="Q622" s="135">
        <v>2.05</v>
      </c>
      <c r="R622" s="136" t="str">
        <f t="shared" si="1"/>
        <v>OptionStrat</v>
      </c>
      <c r="S622" s="132" t="s">
        <v>791</v>
      </c>
      <c r="T622" s="137"/>
      <c r="U622" s="138">
        <v>0.55</v>
      </c>
    </row>
    <row r="623">
      <c r="A623" s="125" t="s">
        <v>28</v>
      </c>
      <c r="B623" s="125" t="s">
        <v>171</v>
      </c>
      <c r="C623" s="126">
        <v>400.0</v>
      </c>
      <c r="D623" s="126">
        <v>420.0</v>
      </c>
      <c r="E623" s="126">
        <v>20.0</v>
      </c>
      <c r="F623" s="127">
        <v>7.45</v>
      </c>
      <c r="G623" s="127">
        <v>12.55</v>
      </c>
      <c r="H623" s="128">
        <v>1.68</v>
      </c>
      <c r="I623" s="127">
        <v>9.17</v>
      </c>
      <c r="J623" s="128">
        <v>1.23</v>
      </c>
      <c r="K623" s="128">
        <v>0.74</v>
      </c>
      <c r="L623" s="128">
        <v>0.72</v>
      </c>
      <c r="M623" s="126">
        <v>369.0</v>
      </c>
      <c r="N623" s="126">
        <v>131.0</v>
      </c>
      <c r="O623" s="128">
        <v>2.2</v>
      </c>
      <c r="P623" s="128">
        <v>0.32</v>
      </c>
      <c r="Q623" s="128">
        <v>2.05</v>
      </c>
      <c r="R623" s="129" t="str">
        <f t="shared" si="1"/>
        <v>OptionStrat</v>
      </c>
      <c r="S623" s="125" t="s">
        <v>792</v>
      </c>
      <c r="T623" s="130"/>
      <c r="U623" s="131">
        <v>0.55</v>
      </c>
    </row>
    <row r="624">
      <c r="A624" s="132" t="s">
        <v>28</v>
      </c>
      <c r="B624" s="132" t="s">
        <v>171</v>
      </c>
      <c r="C624" s="133">
        <v>470.0</v>
      </c>
      <c r="D624" s="133">
        <v>560.0</v>
      </c>
      <c r="E624" s="133">
        <v>90.0</v>
      </c>
      <c r="F624" s="134">
        <v>23.07</v>
      </c>
      <c r="G624" s="134">
        <v>66.93</v>
      </c>
      <c r="H624" s="135">
        <v>2.9</v>
      </c>
      <c r="I624" s="134">
        <v>49.71</v>
      </c>
      <c r="J624" s="135">
        <v>2.15</v>
      </c>
      <c r="K624" s="135">
        <v>0.68</v>
      </c>
      <c r="L624" s="135">
        <v>0.61</v>
      </c>
      <c r="M624" s="133">
        <v>68.0</v>
      </c>
      <c r="N624" s="133">
        <v>18.0</v>
      </c>
      <c r="O624" s="135">
        <v>0.35</v>
      </c>
      <c r="P624" s="135">
        <v>0.28</v>
      </c>
      <c r="Q624" s="135">
        <v>2.05</v>
      </c>
      <c r="R624" s="136" t="str">
        <f t="shared" si="1"/>
        <v>OptionStrat</v>
      </c>
      <c r="S624" s="132" t="s">
        <v>793</v>
      </c>
      <c r="T624" s="137"/>
      <c r="U624" s="138">
        <v>0.55</v>
      </c>
    </row>
    <row r="625">
      <c r="A625" s="125" t="s">
        <v>28</v>
      </c>
      <c r="B625" s="125" t="s">
        <v>171</v>
      </c>
      <c r="C625" s="126">
        <v>570.0</v>
      </c>
      <c r="D625" s="126">
        <v>610.0</v>
      </c>
      <c r="E625" s="126">
        <v>40.0</v>
      </c>
      <c r="F625" s="127">
        <v>8.32</v>
      </c>
      <c r="G625" s="127">
        <v>31.68</v>
      </c>
      <c r="H625" s="128">
        <v>3.81</v>
      </c>
      <c r="I625" s="127">
        <v>22.39</v>
      </c>
      <c r="J625" s="128">
        <v>2.69</v>
      </c>
      <c r="K625" s="128">
        <v>0.6</v>
      </c>
      <c r="L625" s="128">
        <v>0.57</v>
      </c>
      <c r="M625" s="126">
        <v>110.0</v>
      </c>
      <c r="N625" s="126">
        <v>26.0</v>
      </c>
      <c r="O625" s="128">
        <v>0.53</v>
      </c>
      <c r="P625" s="128">
        <v>0.3</v>
      </c>
      <c r="Q625" s="128">
        <v>2.05</v>
      </c>
      <c r="R625" s="129" t="str">
        <f t="shared" si="1"/>
        <v>OptionStrat</v>
      </c>
      <c r="S625" s="125" t="s">
        <v>794</v>
      </c>
      <c r="T625" s="130"/>
      <c r="U625" s="131">
        <v>0.55</v>
      </c>
    </row>
    <row r="626">
      <c r="A626" s="132" t="s">
        <v>28</v>
      </c>
      <c r="B626" s="132" t="s">
        <v>169</v>
      </c>
      <c r="C626" s="133">
        <v>360.0</v>
      </c>
      <c r="D626" s="133">
        <v>460.0</v>
      </c>
      <c r="E626" s="133">
        <v>100.0</v>
      </c>
      <c r="F626" s="134">
        <v>36.52</v>
      </c>
      <c r="G626" s="134">
        <v>63.48</v>
      </c>
      <c r="H626" s="135">
        <v>1.74</v>
      </c>
      <c r="I626" s="134">
        <v>46.41</v>
      </c>
      <c r="J626" s="135">
        <v>1.27</v>
      </c>
      <c r="K626" s="135">
        <v>0.76</v>
      </c>
      <c r="L626" s="135">
        <v>0.66</v>
      </c>
      <c r="M626" s="133">
        <v>183.0</v>
      </c>
      <c r="N626" s="133">
        <v>419.0</v>
      </c>
      <c r="O626" s="135">
        <v>2.77</v>
      </c>
      <c r="P626" s="135">
        <v>0.44</v>
      </c>
      <c r="Q626" s="135">
        <v>2.04</v>
      </c>
      <c r="R626" s="136" t="str">
        <f t="shared" si="1"/>
        <v>OptionStrat</v>
      </c>
      <c r="S626" s="132" t="s">
        <v>795</v>
      </c>
      <c r="T626" s="137"/>
      <c r="U626" s="138">
        <v>0.55</v>
      </c>
    </row>
    <row r="627">
      <c r="A627" s="125" t="s">
        <v>28</v>
      </c>
      <c r="B627" s="125" t="s">
        <v>171</v>
      </c>
      <c r="C627" s="126">
        <v>380.0</v>
      </c>
      <c r="D627" s="126">
        <v>430.0</v>
      </c>
      <c r="E627" s="126">
        <v>50.0</v>
      </c>
      <c r="F627" s="127">
        <v>17.63</v>
      </c>
      <c r="G627" s="127">
        <v>32.37</v>
      </c>
      <c r="H627" s="128">
        <v>1.84</v>
      </c>
      <c r="I627" s="127">
        <v>23.72</v>
      </c>
      <c r="J627" s="128">
        <v>1.35</v>
      </c>
      <c r="K627" s="128">
        <v>0.75</v>
      </c>
      <c r="L627" s="128">
        <v>0.71</v>
      </c>
      <c r="M627" s="126">
        <v>97.0</v>
      </c>
      <c r="N627" s="126">
        <v>213.0</v>
      </c>
      <c r="O627" s="128">
        <v>1.44</v>
      </c>
      <c r="P627" s="128">
        <v>0.28</v>
      </c>
      <c r="Q627" s="128">
        <v>2.04</v>
      </c>
      <c r="R627" s="129" t="str">
        <f t="shared" si="1"/>
        <v>OptionStrat</v>
      </c>
      <c r="S627" s="125" t="s">
        <v>796</v>
      </c>
      <c r="T627" s="130"/>
      <c r="U627" s="131">
        <v>0.55</v>
      </c>
    </row>
    <row r="628">
      <c r="A628" s="132" t="s">
        <v>28</v>
      </c>
      <c r="B628" s="132" t="s">
        <v>171</v>
      </c>
      <c r="C628" s="133">
        <v>460.0</v>
      </c>
      <c r="D628" s="133">
        <v>610.0</v>
      </c>
      <c r="E628" s="133">
        <v>150.0</v>
      </c>
      <c r="F628" s="134">
        <v>36.53</v>
      </c>
      <c r="G628" s="134">
        <v>113.47</v>
      </c>
      <c r="H628" s="135">
        <v>3.11</v>
      </c>
      <c r="I628" s="134">
        <v>79.64</v>
      </c>
      <c r="J628" s="135">
        <v>2.18</v>
      </c>
      <c r="K628" s="135">
        <v>0.68</v>
      </c>
      <c r="L628" s="135">
        <v>0.57</v>
      </c>
      <c r="M628" s="133">
        <v>90.0</v>
      </c>
      <c r="N628" s="133">
        <v>26.0</v>
      </c>
      <c r="O628" s="135">
        <v>0.48</v>
      </c>
      <c r="P628" s="135">
        <v>0.29</v>
      </c>
      <c r="Q628" s="135">
        <v>2.04</v>
      </c>
      <c r="R628" s="136" t="str">
        <f t="shared" si="1"/>
        <v>OptionStrat</v>
      </c>
      <c r="S628" s="132" t="s">
        <v>797</v>
      </c>
      <c r="T628" s="137"/>
      <c r="U628" s="138">
        <v>0.55</v>
      </c>
    </row>
    <row r="629">
      <c r="A629" s="125" t="s">
        <v>28</v>
      </c>
      <c r="B629" s="125" t="s">
        <v>171</v>
      </c>
      <c r="C629" s="126">
        <v>540.0</v>
      </c>
      <c r="D629" s="126">
        <v>560.0</v>
      </c>
      <c r="E629" s="126">
        <v>20.0</v>
      </c>
      <c r="F629" s="127">
        <v>4.65</v>
      </c>
      <c r="G629" s="127">
        <v>15.35</v>
      </c>
      <c r="H629" s="128">
        <v>3.3</v>
      </c>
      <c r="I629" s="127">
        <v>11.43</v>
      </c>
      <c r="J629" s="128">
        <v>2.46</v>
      </c>
      <c r="K629" s="128">
        <v>0.62</v>
      </c>
      <c r="L629" s="128">
        <v>0.61</v>
      </c>
      <c r="M629" s="126">
        <v>58.0</v>
      </c>
      <c r="N629" s="126">
        <v>18.0</v>
      </c>
      <c r="O629" s="128">
        <v>0.32</v>
      </c>
      <c r="P629" s="128">
        <v>0.27</v>
      </c>
      <c r="Q629" s="128">
        <v>2.04</v>
      </c>
      <c r="R629" s="129" t="str">
        <f t="shared" si="1"/>
        <v>OptionStrat</v>
      </c>
      <c r="S629" s="125" t="s">
        <v>798</v>
      </c>
      <c r="T629" s="130"/>
      <c r="U629" s="131">
        <v>0.55</v>
      </c>
    </row>
    <row r="630">
      <c r="A630" s="132" t="s">
        <v>28</v>
      </c>
      <c r="B630" s="132" t="s">
        <v>171</v>
      </c>
      <c r="C630" s="133">
        <v>550.0</v>
      </c>
      <c r="D630" s="133">
        <v>590.0</v>
      </c>
      <c r="E630" s="133">
        <v>40.0</v>
      </c>
      <c r="F630" s="134">
        <v>8.23</v>
      </c>
      <c r="G630" s="134">
        <v>31.77</v>
      </c>
      <c r="H630" s="135">
        <v>3.86</v>
      </c>
      <c r="I630" s="134">
        <v>23.28</v>
      </c>
      <c r="J630" s="135">
        <v>2.83</v>
      </c>
      <c r="K630" s="135">
        <v>0.61</v>
      </c>
      <c r="L630" s="135">
        <v>0.59</v>
      </c>
      <c r="M630" s="133">
        <v>78.0</v>
      </c>
      <c r="N630" s="133">
        <v>15.0</v>
      </c>
      <c r="O630" s="135">
        <v>0.34</v>
      </c>
      <c r="P630" s="135">
        <v>0.37</v>
      </c>
      <c r="Q630" s="135">
        <v>2.04</v>
      </c>
      <c r="R630" s="136" t="str">
        <f t="shared" si="1"/>
        <v>OptionStrat</v>
      </c>
      <c r="S630" s="132" t="s">
        <v>799</v>
      </c>
      <c r="T630" s="132" t="s">
        <v>181</v>
      </c>
      <c r="U630" s="138">
        <v>0.55</v>
      </c>
    </row>
    <row r="631">
      <c r="A631" s="125" t="s">
        <v>28</v>
      </c>
      <c r="B631" s="125" t="s">
        <v>171</v>
      </c>
      <c r="C631" s="126">
        <v>660.0</v>
      </c>
      <c r="D631" s="126">
        <v>680.0</v>
      </c>
      <c r="E631" s="126">
        <v>20.0</v>
      </c>
      <c r="F631" s="127">
        <v>3.38</v>
      </c>
      <c r="G631" s="127">
        <v>16.62</v>
      </c>
      <c r="H631" s="128">
        <v>4.92</v>
      </c>
      <c r="I631" s="127">
        <v>10.64</v>
      </c>
      <c r="J631" s="128">
        <v>3.15</v>
      </c>
      <c r="K631" s="128">
        <v>0.54</v>
      </c>
      <c r="L631" s="128">
        <v>0.53</v>
      </c>
      <c r="M631" s="126">
        <v>14.0</v>
      </c>
      <c r="N631" s="126">
        <v>77.0</v>
      </c>
      <c r="O631" s="128">
        <v>0.33</v>
      </c>
      <c r="P631" s="128">
        <v>0.32</v>
      </c>
      <c r="Q631" s="128">
        <v>2.04</v>
      </c>
      <c r="R631" s="129" t="str">
        <f t="shared" si="1"/>
        <v>OptionStrat</v>
      </c>
      <c r="S631" s="125" t="s">
        <v>800</v>
      </c>
      <c r="T631" s="130"/>
      <c r="U631" s="131">
        <v>0.55</v>
      </c>
    </row>
    <row r="632">
      <c r="A632" s="132" t="s">
        <v>28</v>
      </c>
      <c r="B632" s="132" t="s">
        <v>169</v>
      </c>
      <c r="C632" s="133">
        <v>410.0</v>
      </c>
      <c r="D632" s="133">
        <v>440.0</v>
      </c>
      <c r="E632" s="133">
        <v>30.0</v>
      </c>
      <c r="F632" s="134">
        <v>10.42</v>
      </c>
      <c r="G632" s="134">
        <v>19.58</v>
      </c>
      <c r="H632" s="135">
        <v>1.88</v>
      </c>
      <c r="I632" s="134">
        <v>14.36</v>
      </c>
      <c r="J632" s="135">
        <v>1.38</v>
      </c>
      <c r="K632" s="135">
        <v>0.71</v>
      </c>
      <c r="L632" s="135">
        <v>0.68</v>
      </c>
      <c r="M632" s="133">
        <v>194.0</v>
      </c>
      <c r="N632" s="133">
        <v>208.0</v>
      </c>
      <c r="O632" s="135">
        <v>2.01</v>
      </c>
      <c r="P632" s="135">
        <v>0.43</v>
      </c>
      <c r="Q632" s="135">
        <v>2.03</v>
      </c>
      <c r="R632" s="136" t="str">
        <f t="shared" si="1"/>
        <v>OptionStrat</v>
      </c>
      <c r="S632" s="132" t="s">
        <v>801</v>
      </c>
      <c r="T632" s="137"/>
      <c r="U632" s="138">
        <v>0.55</v>
      </c>
    </row>
    <row r="633">
      <c r="A633" s="125" t="s">
        <v>28</v>
      </c>
      <c r="B633" s="125" t="s">
        <v>171</v>
      </c>
      <c r="C633" s="126">
        <v>540.0</v>
      </c>
      <c r="D633" s="126">
        <v>690.0</v>
      </c>
      <c r="E633" s="126">
        <v>150.0</v>
      </c>
      <c r="F633" s="127">
        <v>29.33</v>
      </c>
      <c r="G633" s="127">
        <v>120.67</v>
      </c>
      <c r="H633" s="128">
        <v>4.11</v>
      </c>
      <c r="I633" s="127">
        <v>75.29</v>
      </c>
      <c r="J633" s="128">
        <v>2.57</v>
      </c>
      <c r="K633" s="128">
        <v>0.62</v>
      </c>
      <c r="L633" s="128">
        <v>0.52</v>
      </c>
      <c r="M633" s="126">
        <v>58.0</v>
      </c>
      <c r="N633" s="126">
        <v>49.0</v>
      </c>
      <c r="O633" s="128">
        <v>0.53</v>
      </c>
      <c r="P633" s="128">
        <v>0.29</v>
      </c>
      <c r="Q633" s="128">
        <v>2.03</v>
      </c>
      <c r="R633" s="129" t="str">
        <f t="shared" si="1"/>
        <v>OptionStrat</v>
      </c>
      <c r="S633" s="125" t="s">
        <v>802</v>
      </c>
      <c r="T633" s="130"/>
      <c r="U633" s="131">
        <v>0.55</v>
      </c>
    </row>
    <row r="634">
      <c r="A634" s="132" t="s">
        <v>28</v>
      </c>
      <c r="B634" s="132" t="s">
        <v>171</v>
      </c>
      <c r="C634" s="133">
        <v>550.0</v>
      </c>
      <c r="D634" s="133">
        <v>580.0</v>
      </c>
      <c r="E634" s="133">
        <v>30.0</v>
      </c>
      <c r="F634" s="134">
        <v>6.73</v>
      </c>
      <c r="G634" s="134">
        <v>23.27</v>
      </c>
      <c r="H634" s="135">
        <v>3.46</v>
      </c>
      <c r="I634" s="134">
        <v>17.25</v>
      </c>
      <c r="J634" s="135">
        <v>2.56</v>
      </c>
      <c r="K634" s="135">
        <v>0.61</v>
      </c>
      <c r="L634" s="135">
        <v>0.59</v>
      </c>
      <c r="M634" s="133">
        <v>78.0</v>
      </c>
      <c r="N634" s="133">
        <v>50.0</v>
      </c>
      <c r="O634" s="135">
        <v>0.62</v>
      </c>
      <c r="P634" s="135">
        <v>0.28</v>
      </c>
      <c r="Q634" s="135">
        <v>2.03</v>
      </c>
      <c r="R634" s="136" t="str">
        <f t="shared" si="1"/>
        <v>OptionStrat</v>
      </c>
      <c r="S634" s="132" t="s">
        <v>803</v>
      </c>
      <c r="T634" s="132" t="s">
        <v>181</v>
      </c>
      <c r="U634" s="138">
        <v>0.55</v>
      </c>
    </row>
    <row r="635">
      <c r="A635" s="125" t="s">
        <v>28</v>
      </c>
      <c r="B635" s="125" t="s">
        <v>171</v>
      </c>
      <c r="C635" s="126">
        <v>570.0</v>
      </c>
      <c r="D635" s="126">
        <v>670.0</v>
      </c>
      <c r="E635" s="126">
        <v>100.0</v>
      </c>
      <c r="F635" s="127">
        <v>19.32</v>
      </c>
      <c r="G635" s="127">
        <v>80.68</v>
      </c>
      <c r="H635" s="128">
        <v>4.18</v>
      </c>
      <c r="I635" s="127">
        <v>51.97</v>
      </c>
      <c r="J635" s="128">
        <v>2.69</v>
      </c>
      <c r="K635" s="128">
        <v>0.6</v>
      </c>
      <c r="L635" s="128">
        <v>0.53</v>
      </c>
      <c r="M635" s="126">
        <v>110.0</v>
      </c>
      <c r="N635" s="126">
        <v>24.0</v>
      </c>
      <c r="O635" s="128">
        <v>0.51</v>
      </c>
      <c r="P635" s="128">
        <v>0.29</v>
      </c>
      <c r="Q635" s="128">
        <v>2.02</v>
      </c>
      <c r="R635" s="129" t="str">
        <f t="shared" si="1"/>
        <v>OptionStrat</v>
      </c>
      <c r="S635" s="125" t="s">
        <v>804</v>
      </c>
      <c r="T635" s="130"/>
      <c r="U635" s="131">
        <v>0.55</v>
      </c>
    </row>
    <row r="636">
      <c r="A636" s="132" t="s">
        <v>28</v>
      </c>
      <c r="B636" s="132" t="s">
        <v>169</v>
      </c>
      <c r="C636" s="133">
        <v>370.0</v>
      </c>
      <c r="D636" s="133">
        <v>400.0</v>
      </c>
      <c r="E636" s="133">
        <v>30.0</v>
      </c>
      <c r="F636" s="134">
        <v>11.85</v>
      </c>
      <c r="G636" s="134">
        <v>18.15</v>
      </c>
      <c r="H636" s="135">
        <v>1.53</v>
      </c>
      <c r="I636" s="134">
        <v>13.2</v>
      </c>
      <c r="J636" s="135">
        <v>1.11</v>
      </c>
      <c r="K636" s="135">
        <v>0.75</v>
      </c>
      <c r="L636" s="135">
        <v>0.72</v>
      </c>
      <c r="M636" s="133">
        <v>326.0</v>
      </c>
      <c r="N636" s="133">
        <v>1326.0</v>
      </c>
      <c r="O636" s="135">
        <v>6.57</v>
      </c>
      <c r="P636" s="135">
        <v>0.43</v>
      </c>
      <c r="Q636" s="135">
        <v>2.01</v>
      </c>
      <c r="R636" s="136" t="str">
        <f t="shared" si="1"/>
        <v>OptionStrat</v>
      </c>
      <c r="S636" s="132" t="s">
        <v>805</v>
      </c>
      <c r="T636" s="137"/>
      <c r="U636" s="138">
        <v>0.55</v>
      </c>
    </row>
    <row r="637">
      <c r="A637" s="125" t="s">
        <v>28</v>
      </c>
      <c r="B637" s="125" t="s">
        <v>169</v>
      </c>
      <c r="C637" s="126">
        <v>440.0</v>
      </c>
      <c r="D637" s="126">
        <v>590.0</v>
      </c>
      <c r="E637" s="126">
        <v>150.0</v>
      </c>
      <c r="F637" s="127">
        <v>39.6</v>
      </c>
      <c r="G637" s="127">
        <v>110.4</v>
      </c>
      <c r="H637" s="128">
        <v>2.79</v>
      </c>
      <c r="I637" s="127">
        <v>72.76</v>
      </c>
      <c r="J637" s="128">
        <v>1.84</v>
      </c>
      <c r="K637" s="128">
        <v>0.68</v>
      </c>
      <c r="L637" s="128">
        <v>0.55</v>
      </c>
      <c r="M637" s="126">
        <v>208.0</v>
      </c>
      <c r="N637" s="126">
        <v>72.0</v>
      </c>
      <c r="O637" s="128">
        <v>1.22</v>
      </c>
      <c r="P637" s="128">
        <v>0.62</v>
      </c>
      <c r="Q637" s="128">
        <v>2.01</v>
      </c>
      <c r="R637" s="129" t="str">
        <f t="shared" si="1"/>
        <v>OptionStrat</v>
      </c>
      <c r="S637" s="125" t="s">
        <v>806</v>
      </c>
      <c r="T637" s="130"/>
      <c r="U637" s="131">
        <v>0.55</v>
      </c>
    </row>
    <row r="638">
      <c r="A638" s="132" t="s">
        <v>28</v>
      </c>
      <c r="B638" s="132" t="s">
        <v>171</v>
      </c>
      <c r="C638" s="133">
        <v>380.0</v>
      </c>
      <c r="D638" s="133">
        <v>440.0</v>
      </c>
      <c r="E638" s="133">
        <v>60.0</v>
      </c>
      <c r="F638" s="134">
        <v>21.07</v>
      </c>
      <c r="G638" s="134">
        <v>38.93</v>
      </c>
      <c r="H638" s="135">
        <v>1.85</v>
      </c>
      <c r="I638" s="134">
        <v>28.53</v>
      </c>
      <c r="J638" s="135">
        <v>1.35</v>
      </c>
      <c r="K638" s="135">
        <v>0.75</v>
      </c>
      <c r="L638" s="135">
        <v>0.7</v>
      </c>
      <c r="M638" s="133">
        <v>97.0</v>
      </c>
      <c r="N638" s="133">
        <v>144.0</v>
      </c>
      <c r="O638" s="135">
        <v>1.18</v>
      </c>
      <c r="P638" s="135">
        <v>0.3</v>
      </c>
      <c r="Q638" s="135">
        <v>2.01</v>
      </c>
      <c r="R638" s="136" t="str">
        <f t="shared" si="1"/>
        <v>OptionStrat</v>
      </c>
      <c r="S638" s="132" t="s">
        <v>807</v>
      </c>
      <c r="T638" s="137"/>
      <c r="U638" s="138">
        <v>0.55</v>
      </c>
    </row>
    <row r="639">
      <c r="A639" s="125" t="s">
        <v>28</v>
      </c>
      <c r="B639" s="125" t="s">
        <v>171</v>
      </c>
      <c r="C639" s="126">
        <v>410.0</v>
      </c>
      <c r="D639" s="126">
        <v>440.0</v>
      </c>
      <c r="E639" s="126">
        <v>30.0</v>
      </c>
      <c r="F639" s="127">
        <v>10.18</v>
      </c>
      <c r="G639" s="127">
        <v>19.82</v>
      </c>
      <c r="H639" s="128">
        <v>1.95</v>
      </c>
      <c r="I639" s="127">
        <v>14.56</v>
      </c>
      <c r="J639" s="128">
        <v>1.43</v>
      </c>
      <c r="K639" s="128">
        <v>0.73</v>
      </c>
      <c r="L639" s="128">
        <v>0.7</v>
      </c>
      <c r="M639" s="126">
        <v>54.0</v>
      </c>
      <c r="N639" s="126">
        <v>144.0</v>
      </c>
      <c r="O639" s="128">
        <v>0.88</v>
      </c>
      <c r="P639" s="128">
        <v>0.31</v>
      </c>
      <c r="Q639" s="128">
        <v>2.01</v>
      </c>
      <c r="R639" s="129" t="str">
        <f t="shared" si="1"/>
        <v>OptionStrat</v>
      </c>
      <c r="S639" s="125" t="s">
        <v>808</v>
      </c>
      <c r="T639" s="130"/>
      <c r="U639" s="131">
        <v>0.56</v>
      </c>
    </row>
    <row r="640">
      <c r="A640" s="132" t="s">
        <v>28</v>
      </c>
      <c r="B640" s="132" t="s">
        <v>171</v>
      </c>
      <c r="C640" s="133">
        <v>470.0</v>
      </c>
      <c r="D640" s="133">
        <v>610.0</v>
      </c>
      <c r="E640" s="133">
        <v>140.0</v>
      </c>
      <c r="F640" s="134">
        <v>33.62</v>
      </c>
      <c r="G640" s="134">
        <v>106.38</v>
      </c>
      <c r="H640" s="135">
        <v>3.16</v>
      </c>
      <c r="I640" s="134">
        <v>74.71</v>
      </c>
      <c r="J640" s="135">
        <v>2.22</v>
      </c>
      <c r="K640" s="135">
        <v>0.68</v>
      </c>
      <c r="L640" s="135">
        <v>0.57</v>
      </c>
      <c r="M640" s="133">
        <v>68.0</v>
      </c>
      <c r="N640" s="133">
        <v>26.0</v>
      </c>
      <c r="O640" s="135">
        <v>0.42</v>
      </c>
      <c r="P640" s="135">
        <v>0.3</v>
      </c>
      <c r="Q640" s="135">
        <v>2.01</v>
      </c>
      <c r="R640" s="136" t="str">
        <f t="shared" si="1"/>
        <v>OptionStrat</v>
      </c>
      <c r="S640" s="132" t="s">
        <v>809</v>
      </c>
      <c r="T640" s="137"/>
      <c r="U640" s="138">
        <v>0.55</v>
      </c>
    </row>
    <row r="641">
      <c r="A641" s="125" t="s">
        <v>28</v>
      </c>
      <c r="B641" s="125" t="s">
        <v>171</v>
      </c>
      <c r="C641" s="126">
        <v>610.0</v>
      </c>
      <c r="D641" s="126">
        <v>690.0</v>
      </c>
      <c r="E641" s="126">
        <v>80.0</v>
      </c>
      <c r="F641" s="127">
        <v>14.13</v>
      </c>
      <c r="G641" s="127">
        <v>65.87</v>
      </c>
      <c r="H641" s="128">
        <v>4.66</v>
      </c>
      <c r="I641" s="127">
        <v>41.42</v>
      </c>
      <c r="J641" s="128">
        <v>2.93</v>
      </c>
      <c r="K641" s="128">
        <v>0.57</v>
      </c>
      <c r="L641" s="128">
        <v>0.52</v>
      </c>
      <c r="M641" s="126">
        <v>26.0</v>
      </c>
      <c r="N641" s="126">
        <v>49.0</v>
      </c>
      <c r="O641" s="128">
        <v>0.36</v>
      </c>
      <c r="P641" s="128">
        <v>0.31</v>
      </c>
      <c r="Q641" s="128">
        <v>2.01</v>
      </c>
      <c r="R641" s="129" t="str">
        <f t="shared" si="1"/>
        <v>OptionStrat</v>
      </c>
      <c r="S641" s="125" t="s">
        <v>810</v>
      </c>
      <c r="T641" s="130"/>
      <c r="U641" s="131">
        <v>0.55</v>
      </c>
    </row>
    <row r="642">
      <c r="A642" s="132" t="s">
        <v>28</v>
      </c>
      <c r="B642" s="132" t="s">
        <v>171</v>
      </c>
      <c r="C642" s="133">
        <v>370.0</v>
      </c>
      <c r="D642" s="133">
        <v>400.0</v>
      </c>
      <c r="E642" s="133">
        <v>30.0</v>
      </c>
      <c r="F642" s="134">
        <v>10.8</v>
      </c>
      <c r="G642" s="134">
        <v>19.2</v>
      </c>
      <c r="H642" s="135">
        <v>1.78</v>
      </c>
      <c r="I642" s="134">
        <v>14.05</v>
      </c>
      <c r="J642" s="135">
        <v>1.3</v>
      </c>
      <c r="K642" s="135">
        <v>0.76</v>
      </c>
      <c r="L642" s="135">
        <v>0.74</v>
      </c>
      <c r="M642" s="133">
        <v>74.0</v>
      </c>
      <c r="N642" s="133">
        <v>369.0</v>
      </c>
      <c r="O642" s="135">
        <v>1.65</v>
      </c>
      <c r="P642" s="135">
        <v>0.31</v>
      </c>
      <c r="Q642" s="135">
        <v>2.0</v>
      </c>
      <c r="R642" s="136" t="str">
        <f t="shared" si="1"/>
        <v>OptionStrat</v>
      </c>
      <c r="S642" s="132" t="s">
        <v>811</v>
      </c>
      <c r="T642" s="137"/>
      <c r="U642" s="138">
        <v>0.55</v>
      </c>
    </row>
    <row r="643">
      <c r="A643" s="125" t="s">
        <v>28</v>
      </c>
      <c r="B643" s="125" t="s">
        <v>171</v>
      </c>
      <c r="C643" s="126">
        <v>420.0</v>
      </c>
      <c r="D643" s="126">
        <v>560.0</v>
      </c>
      <c r="E643" s="126">
        <v>140.0</v>
      </c>
      <c r="F643" s="127">
        <v>38.62</v>
      </c>
      <c r="G643" s="127">
        <v>101.38</v>
      </c>
      <c r="H643" s="128">
        <v>2.63</v>
      </c>
      <c r="I643" s="127">
        <v>75.11</v>
      </c>
      <c r="J643" s="128">
        <v>1.94</v>
      </c>
      <c r="K643" s="128">
        <v>0.72</v>
      </c>
      <c r="L643" s="128">
        <v>0.61</v>
      </c>
      <c r="M643" s="126">
        <v>131.0</v>
      </c>
      <c r="N643" s="126">
        <v>18.0</v>
      </c>
      <c r="O643" s="128">
        <v>0.49</v>
      </c>
      <c r="P643" s="128">
        <v>0.28</v>
      </c>
      <c r="Q643" s="128">
        <v>2.0</v>
      </c>
      <c r="R643" s="129" t="str">
        <f t="shared" si="1"/>
        <v>OptionStrat</v>
      </c>
      <c r="S643" s="125" t="s">
        <v>812</v>
      </c>
      <c r="T643" s="130"/>
      <c r="U643" s="131">
        <v>0.55</v>
      </c>
    </row>
    <row r="644">
      <c r="A644" s="132" t="s">
        <v>28</v>
      </c>
      <c r="B644" s="132" t="s">
        <v>171</v>
      </c>
      <c r="C644" s="133">
        <v>390.0</v>
      </c>
      <c r="D644" s="133">
        <v>430.0</v>
      </c>
      <c r="E644" s="133">
        <v>40.0</v>
      </c>
      <c r="F644" s="134">
        <v>13.78</v>
      </c>
      <c r="G644" s="134">
        <v>26.22</v>
      </c>
      <c r="H644" s="135">
        <v>1.9</v>
      </c>
      <c r="I644" s="134">
        <v>19.24</v>
      </c>
      <c r="J644" s="135">
        <v>1.4</v>
      </c>
      <c r="K644" s="135">
        <v>0.75</v>
      </c>
      <c r="L644" s="135">
        <v>0.71</v>
      </c>
      <c r="M644" s="133">
        <v>48.0</v>
      </c>
      <c r="N644" s="133">
        <v>213.0</v>
      </c>
      <c r="O644" s="135">
        <v>1.01</v>
      </c>
      <c r="P644" s="135">
        <v>0.28</v>
      </c>
      <c r="Q644" s="135">
        <v>1.98</v>
      </c>
      <c r="R644" s="136" t="str">
        <f t="shared" si="1"/>
        <v>OptionStrat</v>
      </c>
      <c r="S644" s="132" t="s">
        <v>813</v>
      </c>
      <c r="T644" s="137"/>
      <c r="U644" s="138">
        <v>0.55</v>
      </c>
    </row>
    <row r="645">
      <c r="A645" s="125" t="s">
        <v>28</v>
      </c>
      <c r="B645" s="125" t="s">
        <v>171</v>
      </c>
      <c r="C645" s="126">
        <v>390.0</v>
      </c>
      <c r="D645" s="126">
        <v>470.0</v>
      </c>
      <c r="E645" s="126">
        <v>80.0</v>
      </c>
      <c r="F645" s="127">
        <v>26.08</v>
      </c>
      <c r="G645" s="127">
        <v>53.92</v>
      </c>
      <c r="H645" s="128">
        <v>2.07</v>
      </c>
      <c r="I645" s="127">
        <v>39.68</v>
      </c>
      <c r="J645" s="128">
        <v>1.52</v>
      </c>
      <c r="K645" s="128">
        <v>0.75</v>
      </c>
      <c r="L645" s="128">
        <v>0.68</v>
      </c>
      <c r="M645" s="126">
        <v>48.0</v>
      </c>
      <c r="N645" s="126">
        <v>68.0</v>
      </c>
      <c r="O645" s="128">
        <v>0.57</v>
      </c>
      <c r="P645" s="128">
        <v>0.27</v>
      </c>
      <c r="Q645" s="128">
        <v>1.98</v>
      </c>
      <c r="R645" s="129" t="str">
        <f t="shared" si="1"/>
        <v>OptionStrat</v>
      </c>
      <c r="S645" s="125" t="s">
        <v>814</v>
      </c>
      <c r="T645" s="130"/>
      <c r="U645" s="131">
        <v>0.55</v>
      </c>
    </row>
    <row r="646">
      <c r="A646" s="132" t="s">
        <v>28</v>
      </c>
      <c r="B646" s="132" t="s">
        <v>171</v>
      </c>
      <c r="C646" s="133">
        <v>480.0</v>
      </c>
      <c r="D646" s="133">
        <v>630.0</v>
      </c>
      <c r="E646" s="133">
        <v>150.0</v>
      </c>
      <c r="F646" s="134">
        <v>34.45</v>
      </c>
      <c r="G646" s="134">
        <v>115.55</v>
      </c>
      <c r="H646" s="135">
        <v>3.35</v>
      </c>
      <c r="I646" s="134">
        <v>78.65</v>
      </c>
      <c r="J646" s="135">
        <v>2.28</v>
      </c>
      <c r="K646" s="135">
        <v>0.67</v>
      </c>
      <c r="L646" s="135">
        <v>0.56</v>
      </c>
      <c r="M646" s="133">
        <v>139.0</v>
      </c>
      <c r="N646" s="133">
        <v>12.0</v>
      </c>
      <c r="O646" s="135">
        <v>0.41</v>
      </c>
      <c r="P646" s="135">
        <v>0.29</v>
      </c>
      <c r="Q646" s="135">
        <v>1.98</v>
      </c>
      <c r="R646" s="136" t="str">
        <f t="shared" si="1"/>
        <v>OptionStrat</v>
      </c>
      <c r="S646" s="132" t="s">
        <v>815</v>
      </c>
      <c r="T646" s="137"/>
      <c r="U646" s="138">
        <v>0.55</v>
      </c>
    </row>
    <row r="647">
      <c r="A647" s="125" t="s">
        <v>28</v>
      </c>
      <c r="B647" s="125" t="s">
        <v>169</v>
      </c>
      <c r="C647" s="126">
        <v>410.0</v>
      </c>
      <c r="D647" s="126">
        <v>430.0</v>
      </c>
      <c r="E647" s="126">
        <v>20.0</v>
      </c>
      <c r="F647" s="127">
        <v>7.1</v>
      </c>
      <c r="G647" s="127">
        <v>12.9</v>
      </c>
      <c r="H647" s="128">
        <v>1.82</v>
      </c>
      <c r="I647" s="127">
        <v>9.45</v>
      </c>
      <c r="J647" s="128">
        <v>1.33</v>
      </c>
      <c r="K647" s="128">
        <v>0.71</v>
      </c>
      <c r="L647" s="128">
        <v>0.69</v>
      </c>
      <c r="M647" s="126">
        <v>194.0</v>
      </c>
      <c r="N647" s="126">
        <v>230.0</v>
      </c>
      <c r="O647" s="128">
        <v>2.11</v>
      </c>
      <c r="P647" s="128">
        <v>0.43</v>
      </c>
      <c r="Q647" s="128">
        <v>1.97</v>
      </c>
      <c r="R647" s="129" t="str">
        <f t="shared" si="1"/>
        <v>OptionStrat</v>
      </c>
      <c r="S647" s="125" t="s">
        <v>816</v>
      </c>
      <c r="T647" s="130"/>
      <c r="U647" s="131">
        <v>0.55</v>
      </c>
    </row>
    <row r="648">
      <c r="A648" s="132" t="s">
        <v>28</v>
      </c>
      <c r="B648" s="132" t="s">
        <v>171</v>
      </c>
      <c r="C648" s="133">
        <v>390.0</v>
      </c>
      <c r="D648" s="133">
        <v>460.0</v>
      </c>
      <c r="E648" s="133">
        <v>70.0</v>
      </c>
      <c r="F648" s="134">
        <v>23.17</v>
      </c>
      <c r="G648" s="134">
        <v>46.83</v>
      </c>
      <c r="H648" s="135">
        <v>2.02</v>
      </c>
      <c r="I648" s="134">
        <v>34.43</v>
      </c>
      <c r="J648" s="135">
        <v>1.49</v>
      </c>
      <c r="K648" s="135">
        <v>0.75</v>
      </c>
      <c r="L648" s="135">
        <v>0.68</v>
      </c>
      <c r="M648" s="133">
        <v>48.0</v>
      </c>
      <c r="N648" s="133">
        <v>90.0</v>
      </c>
      <c r="O648" s="135">
        <v>0.66</v>
      </c>
      <c r="P648" s="135">
        <v>0.27</v>
      </c>
      <c r="Q648" s="135">
        <v>1.97</v>
      </c>
      <c r="R648" s="136" t="str">
        <f t="shared" si="1"/>
        <v>OptionStrat</v>
      </c>
      <c r="S648" s="132" t="s">
        <v>817</v>
      </c>
      <c r="T648" s="137"/>
      <c r="U648" s="138">
        <v>0.55</v>
      </c>
    </row>
    <row r="649">
      <c r="A649" s="125" t="s">
        <v>28</v>
      </c>
      <c r="B649" s="125" t="s">
        <v>171</v>
      </c>
      <c r="C649" s="126">
        <v>510.0</v>
      </c>
      <c r="D649" s="126">
        <v>610.0</v>
      </c>
      <c r="E649" s="126">
        <v>100.0</v>
      </c>
      <c r="F649" s="127">
        <v>22.63</v>
      </c>
      <c r="G649" s="127">
        <v>77.37</v>
      </c>
      <c r="H649" s="128">
        <v>3.42</v>
      </c>
      <c r="I649" s="127">
        <v>54.5</v>
      </c>
      <c r="J649" s="128">
        <v>2.41</v>
      </c>
      <c r="K649" s="128">
        <v>0.64</v>
      </c>
      <c r="L649" s="128">
        <v>0.57</v>
      </c>
      <c r="M649" s="126">
        <v>45.0</v>
      </c>
      <c r="N649" s="126">
        <v>26.0</v>
      </c>
      <c r="O649" s="128">
        <v>0.34</v>
      </c>
      <c r="P649" s="128">
        <v>0.29</v>
      </c>
      <c r="Q649" s="128">
        <v>1.97</v>
      </c>
      <c r="R649" s="129" t="str">
        <f t="shared" si="1"/>
        <v>OptionStrat</v>
      </c>
      <c r="S649" s="125" t="s">
        <v>818</v>
      </c>
      <c r="T649" s="130"/>
      <c r="U649" s="131">
        <v>0.55</v>
      </c>
    </row>
    <row r="650">
      <c r="A650" s="132" t="s">
        <v>28</v>
      </c>
      <c r="B650" s="132" t="s">
        <v>171</v>
      </c>
      <c r="C650" s="133">
        <v>560.0</v>
      </c>
      <c r="D650" s="133">
        <v>640.0</v>
      </c>
      <c r="E650" s="133">
        <v>80.0</v>
      </c>
      <c r="F650" s="134">
        <v>16.15</v>
      </c>
      <c r="G650" s="134">
        <v>63.85</v>
      </c>
      <c r="H650" s="135">
        <v>3.95</v>
      </c>
      <c r="I650" s="134">
        <v>43.07</v>
      </c>
      <c r="J650" s="135">
        <v>2.67</v>
      </c>
      <c r="K650" s="135">
        <v>0.61</v>
      </c>
      <c r="L650" s="135">
        <v>0.55</v>
      </c>
      <c r="M650" s="133">
        <v>18.0</v>
      </c>
      <c r="N650" s="133">
        <v>112.0</v>
      </c>
      <c r="O650" s="135">
        <v>0.45</v>
      </c>
      <c r="P650" s="135">
        <v>0.3</v>
      </c>
      <c r="Q650" s="135">
        <v>1.97</v>
      </c>
      <c r="R650" s="136" t="str">
        <f t="shared" si="1"/>
        <v>OptionStrat</v>
      </c>
      <c r="S650" s="132" t="s">
        <v>819</v>
      </c>
      <c r="T650" s="137"/>
      <c r="U650" s="138">
        <v>0.55</v>
      </c>
    </row>
    <row r="651">
      <c r="A651" s="125" t="s">
        <v>28</v>
      </c>
      <c r="B651" s="125" t="s">
        <v>171</v>
      </c>
      <c r="C651" s="126">
        <v>620.0</v>
      </c>
      <c r="D651" s="126">
        <v>640.0</v>
      </c>
      <c r="E651" s="126">
        <v>20.0</v>
      </c>
      <c r="F651" s="127">
        <v>3.75</v>
      </c>
      <c r="G651" s="127">
        <v>16.25</v>
      </c>
      <c r="H651" s="128">
        <v>4.33</v>
      </c>
      <c r="I651" s="127">
        <v>11.0</v>
      </c>
      <c r="J651" s="128">
        <v>2.93</v>
      </c>
      <c r="K651" s="128">
        <v>0.56</v>
      </c>
      <c r="L651" s="128">
        <v>0.55</v>
      </c>
      <c r="M651" s="126">
        <v>10.0</v>
      </c>
      <c r="N651" s="126">
        <v>112.0</v>
      </c>
      <c r="O651" s="128">
        <v>0.33</v>
      </c>
      <c r="P651" s="128">
        <v>0.32</v>
      </c>
      <c r="Q651" s="128">
        <v>1.97</v>
      </c>
      <c r="R651" s="129" t="str">
        <f t="shared" si="1"/>
        <v>OptionStrat</v>
      </c>
      <c r="S651" s="125" t="s">
        <v>820</v>
      </c>
      <c r="T651" s="130"/>
      <c r="U651" s="131">
        <v>0.55</v>
      </c>
    </row>
    <row r="652">
      <c r="A652" s="132" t="s">
        <v>28</v>
      </c>
      <c r="B652" s="132" t="s">
        <v>171</v>
      </c>
      <c r="C652" s="133">
        <v>660.0</v>
      </c>
      <c r="D652" s="133">
        <v>690.0</v>
      </c>
      <c r="E652" s="133">
        <v>30.0</v>
      </c>
      <c r="F652" s="134">
        <v>4.97</v>
      </c>
      <c r="G652" s="134">
        <v>25.03</v>
      </c>
      <c r="H652" s="135">
        <v>5.04</v>
      </c>
      <c r="I652" s="134">
        <v>15.8</v>
      </c>
      <c r="J652" s="135">
        <v>3.18</v>
      </c>
      <c r="K652" s="135">
        <v>0.54</v>
      </c>
      <c r="L652" s="135">
        <v>0.52</v>
      </c>
      <c r="M652" s="133">
        <v>14.0</v>
      </c>
      <c r="N652" s="133">
        <v>49.0</v>
      </c>
      <c r="O652" s="135">
        <v>0.26</v>
      </c>
      <c r="P652" s="135">
        <v>0.31</v>
      </c>
      <c r="Q652" s="135">
        <v>1.97</v>
      </c>
      <c r="R652" s="136" t="str">
        <f t="shared" si="1"/>
        <v>OptionStrat</v>
      </c>
      <c r="S652" s="132" t="s">
        <v>821</v>
      </c>
      <c r="T652" s="137"/>
      <c r="U652" s="138">
        <v>0.55</v>
      </c>
    </row>
    <row r="653">
      <c r="A653" s="125" t="s">
        <v>28</v>
      </c>
      <c r="B653" s="125" t="s">
        <v>171</v>
      </c>
      <c r="C653" s="126">
        <v>370.0</v>
      </c>
      <c r="D653" s="126">
        <v>470.0</v>
      </c>
      <c r="E653" s="126">
        <v>100.0</v>
      </c>
      <c r="F653" s="127">
        <v>33.8</v>
      </c>
      <c r="G653" s="127">
        <v>66.2</v>
      </c>
      <c r="H653" s="128">
        <v>1.96</v>
      </c>
      <c r="I653" s="127">
        <v>48.62</v>
      </c>
      <c r="J653" s="128">
        <v>1.44</v>
      </c>
      <c r="K653" s="128">
        <v>0.76</v>
      </c>
      <c r="L653" s="128">
        <v>0.68</v>
      </c>
      <c r="M653" s="126">
        <v>74.0</v>
      </c>
      <c r="N653" s="126">
        <v>68.0</v>
      </c>
      <c r="O653" s="128">
        <v>0.71</v>
      </c>
      <c r="P653" s="128">
        <v>0.27</v>
      </c>
      <c r="Q653" s="128">
        <v>1.96</v>
      </c>
      <c r="R653" s="129" t="str">
        <f t="shared" si="1"/>
        <v>OptionStrat</v>
      </c>
      <c r="S653" s="125" t="s">
        <v>822</v>
      </c>
      <c r="T653" s="130"/>
      <c r="U653" s="131">
        <v>0.55</v>
      </c>
    </row>
    <row r="654">
      <c r="A654" s="132" t="s">
        <v>28</v>
      </c>
      <c r="B654" s="132" t="s">
        <v>171</v>
      </c>
      <c r="C654" s="133">
        <v>480.0</v>
      </c>
      <c r="D654" s="133">
        <v>620.0</v>
      </c>
      <c r="E654" s="133">
        <v>140.0</v>
      </c>
      <c r="F654" s="134">
        <v>32.58</v>
      </c>
      <c r="G654" s="134">
        <v>107.42</v>
      </c>
      <c r="H654" s="135">
        <v>3.3</v>
      </c>
      <c r="I654" s="134">
        <v>74.32</v>
      </c>
      <c r="J654" s="135">
        <v>2.28</v>
      </c>
      <c r="K654" s="135">
        <v>0.67</v>
      </c>
      <c r="L654" s="135">
        <v>0.56</v>
      </c>
      <c r="M654" s="133">
        <v>139.0</v>
      </c>
      <c r="N654" s="133">
        <v>10.0</v>
      </c>
      <c r="O654" s="135">
        <v>0.37</v>
      </c>
      <c r="P654" s="135">
        <v>0.29</v>
      </c>
      <c r="Q654" s="135">
        <v>1.96</v>
      </c>
      <c r="R654" s="136" t="str">
        <f t="shared" si="1"/>
        <v>OptionStrat</v>
      </c>
      <c r="S654" s="132" t="s">
        <v>823</v>
      </c>
      <c r="T654" s="137"/>
      <c r="U654" s="138">
        <v>0.55</v>
      </c>
    </row>
    <row r="655">
      <c r="A655" s="125" t="s">
        <v>28</v>
      </c>
      <c r="B655" s="125" t="s">
        <v>171</v>
      </c>
      <c r="C655" s="126">
        <v>520.0</v>
      </c>
      <c r="D655" s="126">
        <v>670.0</v>
      </c>
      <c r="E655" s="126">
        <v>150.0</v>
      </c>
      <c r="F655" s="127">
        <v>31.07</v>
      </c>
      <c r="G655" s="127">
        <v>118.93</v>
      </c>
      <c r="H655" s="128">
        <v>3.83</v>
      </c>
      <c r="I655" s="127">
        <v>76.22</v>
      </c>
      <c r="J655" s="128">
        <v>2.45</v>
      </c>
      <c r="K655" s="128">
        <v>0.64</v>
      </c>
      <c r="L655" s="128">
        <v>0.53</v>
      </c>
      <c r="M655" s="126">
        <v>82.0</v>
      </c>
      <c r="N655" s="126">
        <v>24.0</v>
      </c>
      <c r="O655" s="128">
        <v>0.44</v>
      </c>
      <c r="P655" s="128">
        <v>0.28</v>
      </c>
      <c r="Q655" s="128">
        <v>1.96</v>
      </c>
      <c r="R655" s="129" t="str">
        <f t="shared" si="1"/>
        <v>OptionStrat</v>
      </c>
      <c r="S655" s="125" t="s">
        <v>824</v>
      </c>
      <c r="T655" s="130"/>
      <c r="U655" s="131">
        <v>0.55</v>
      </c>
    </row>
    <row r="656">
      <c r="A656" s="132" t="s">
        <v>28</v>
      </c>
      <c r="B656" s="132" t="s">
        <v>171</v>
      </c>
      <c r="C656" s="133">
        <v>370.0</v>
      </c>
      <c r="D656" s="133">
        <v>460.0</v>
      </c>
      <c r="E656" s="133">
        <v>90.0</v>
      </c>
      <c r="F656" s="134">
        <v>30.9</v>
      </c>
      <c r="G656" s="134">
        <v>59.1</v>
      </c>
      <c r="H656" s="135">
        <v>1.91</v>
      </c>
      <c r="I656" s="134">
        <v>43.37</v>
      </c>
      <c r="J656" s="135">
        <v>1.4</v>
      </c>
      <c r="K656" s="135">
        <v>0.76</v>
      </c>
      <c r="L656" s="135">
        <v>0.68</v>
      </c>
      <c r="M656" s="133">
        <v>74.0</v>
      </c>
      <c r="N656" s="133">
        <v>90.0</v>
      </c>
      <c r="O656" s="135">
        <v>0.82</v>
      </c>
      <c r="P656" s="135">
        <v>0.27</v>
      </c>
      <c r="Q656" s="135">
        <v>1.95</v>
      </c>
      <c r="R656" s="136" t="str">
        <f t="shared" si="1"/>
        <v>OptionStrat</v>
      </c>
      <c r="S656" s="132" t="s">
        <v>825</v>
      </c>
      <c r="T656" s="137"/>
      <c r="U656" s="138">
        <v>0.55</v>
      </c>
    </row>
    <row r="657">
      <c r="A657" s="125" t="s">
        <v>28</v>
      </c>
      <c r="B657" s="125" t="s">
        <v>171</v>
      </c>
      <c r="C657" s="126">
        <v>530.0</v>
      </c>
      <c r="D657" s="126">
        <v>670.0</v>
      </c>
      <c r="E657" s="126">
        <v>140.0</v>
      </c>
      <c r="F657" s="127">
        <v>28.28</v>
      </c>
      <c r="G657" s="127">
        <v>111.72</v>
      </c>
      <c r="H657" s="128">
        <v>3.95</v>
      </c>
      <c r="I657" s="127">
        <v>71.74</v>
      </c>
      <c r="J657" s="128">
        <v>2.54</v>
      </c>
      <c r="K657" s="128">
        <v>0.63</v>
      </c>
      <c r="L657" s="128">
        <v>0.53</v>
      </c>
      <c r="M657" s="126">
        <v>60.0</v>
      </c>
      <c r="N657" s="126">
        <v>24.0</v>
      </c>
      <c r="O657" s="128">
        <v>0.38</v>
      </c>
      <c r="P657" s="128">
        <v>0.33</v>
      </c>
      <c r="Q657" s="128">
        <v>1.95</v>
      </c>
      <c r="R657" s="129" t="str">
        <f t="shared" si="1"/>
        <v>OptionStrat</v>
      </c>
      <c r="S657" s="125" t="s">
        <v>826</v>
      </c>
      <c r="T657" s="130"/>
      <c r="U657" s="131">
        <v>0.55</v>
      </c>
    </row>
    <row r="658">
      <c r="A658" s="132" t="s">
        <v>28</v>
      </c>
      <c r="B658" s="132" t="s">
        <v>171</v>
      </c>
      <c r="C658" s="133">
        <v>630.0</v>
      </c>
      <c r="D658" s="133">
        <v>680.0</v>
      </c>
      <c r="E658" s="133">
        <v>50.0</v>
      </c>
      <c r="F658" s="134">
        <v>8.8</v>
      </c>
      <c r="G658" s="134">
        <v>41.2</v>
      </c>
      <c r="H658" s="135">
        <v>4.68</v>
      </c>
      <c r="I658" s="134">
        <v>26.31</v>
      </c>
      <c r="J658" s="135">
        <v>2.99</v>
      </c>
      <c r="K658" s="135">
        <v>0.56</v>
      </c>
      <c r="L658" s="135">
        <v>0.53</v>
      </c>
      <c r="M658" s="133">
        <v>12.0</v>
      </c>
      <c r="N658" s="133">
        <v>77.0</v>
      </c>
      <c r="O658" s="135">
        <v>0.3</v>
      </c>
      <c r="P658" s="135">
        <v>0.32</v>
      </c>
      <c r="Q658" s="135">
        <v>1.95</v>
      </c>
      <c r="R658" s="136" t="str">
        <f t="shared" si="1"/>
        <v>OptionStrat</v>
      </c>
      <c r="S658" s="132" t="s">
        <v>827</v>
      </c>
      <c r="T658" s="137"/>
      <c r="U658" s="138">
        <v>0.55</v>
      </c>
    </row>
    <row r="659">
      <c r="A659" s="125" t="s">
        <v>28</v>
      </c>
      <c r="B659" s="125" t="s">
        <v>171</v>
      </c>
      <c r="C659" s="126">
        <v>370.0</v>
      </c>
      <c r="D659" s="126">
        <v>430.0</v>
      </c>
      <c r="E659" s="126">
        <v>60.0</v>
      </c>
      <c r="F659" s="127">
        <v>21.5</v>
      </c>
      <c r="G659" s="127">
        <v>38.5</v>
      </c>
      <c r="H659" s="128">
        <v>1.79</v>
      </c>
      <c r="I659" s="127">
        <v>28.18</v>
      </c>
      <c r="J659" s="128">
        <v>1.31</v>
      </c>
      <c r="K659" s="128">
        <v>0.76</v>
      </c>
      <c r="L659" s="128">
        <v>0.71</v>
      </c>
      <c r="M659" s="126">
        <v>74.0</v>
      </c>
      <c r="N659" s="126">
        <v>213.0</v>
      </c>
      <c r="O659" s="128">
        <v>1.26</v>
      </c>
      <c r="P659" s="128">
        <v>0.28</v>
      </c>
      <c r="Q659" s="128">
        <v>1.94</v>
      </c>
      <c r="R659" s="129" t="str">
        <f t="shared" si="1"/>
        <v>OptionStrat</v>
      </c>
      <c r="S659" s="125" t="s">
        <v>828</v>
      </c>
      <c r="T659" s="130"/>
      <c r="U659" s="131">
        <v>0.55</v>
      </c>
    </row>
    <row r="660">
      <c r="A660" s="132" t="s">
        <v>28</v>
      </c>
      <c r="B660" s="132" t="s">
        <v>171</v>
      </c>
      <c r="C660" s="133">
        <v>540.0</v>
      </c>
      <c r="D660" s="133">
        <v>610.0</v>
      </c>
      <c r="E660" s="133">
        <v>70.0</v>
      </c>
      <c r="F660" s="134">
        <v>15.2</v>
      </c>
      <c r="G660" s="134">
        <v>54.8</v>
      </c>
      <c r="H660" s="135">
        <v>3.61</v>
      </c>
      <c r="I660" s="134">
        <v>38.67</v>
      </c>
      <c r="J660" s="135">
        <v>2.54</v>
      </c>
      <c r="K660" s="135">
        <v>0.62</v>
      </c>
      <c r="L660" s="135">
        <v>0.57</v>
      </c>
      <c r="M660" s="133">
        <v>58.0</v>
      </c>
      <c r="N660" s="133">
        <v>26.0</v>
      </c>
      <c r="O660" s="135">
        <v>0.39</v>
      </c>
      <c r="P660" s="135">
        <v>0.29</v>
      </c>
      <c r="Q660" s="135">
        <v>1.94</v>
      </c>
      <c r="R660" s="136" t="str">
        <f t="shared" si="1"/>
        <v>OptionStrat</v>
      </c>
      <c r="S660" s="132" t="s">
        <v>829</v>
      </c>
      <c r="T660" s="137"/>
      <c r="U660" s="138">
        <v>0.55</v>
      </c>
    </row>
    <row r="661">
      <c r="A661" s="125" t="s">
        <v>28</v>
      </c>
      <c r="B661" s="125" t="s">
        <v>171</v>
      </c>
      <c r="C661" s="126">
        <v>570.0</v>
      </c>
      <c r="D661" s="126">
        <v>660.0</v>
      </c>
      <c r="E661" s="126">
        <v>90.0</v>
      </c>
      <c r="F661" s="127">
        <v>17.47</v>
      </c>
      <c r="G661" s="127">
        <v>72.53</v>
      </c>
      <c r="H661" s="128">
        <v>4.15</v>
      </c>
      <c r="I661" s="127">
        <v>47.49</v>
      </c>
      <c r="J661" s="128">
        <v>2.72</v>
      </c>
      <c r="K661" s="128">
        <v>0.6</v>
      </c>
      <c r="L661" s="128">
        <v>0.54</v>
      </c>
      <c r="M661" s="126">
        <v>110.0</v>
      </c>
      <c r="N661" s="126">
        <v>14.0</v>
      </c>
      <c r="O661" s="128">
        <v>0.39</v>
      </c>
      <c r="P661" s="128">
        <v>0.3</v>
      </c>
      <c r="Q661" s="128">
        <v>1.94</v>
      </c>
      <c r="R661" s="129" t="str">
        <f t="shared" si="1"/>
        <v>OptionStrat</v>
      </c>
      <c r="S661" s="125" t="s">
        <v>830</v>
      </c>
      <c r="T661" s="130"/>
      <c r="U661" s="131">
        <v>0.55</v>
      </c>
    </row>
    <row r="662">
      <c r="A662" s="132" t="s">
        <v>28</v>
      </c>
      <c r="B662" s="132" t="s">
        <v>171</v>
      </c>
      <c r="C662" s="133">
        <v>390.0</v>
      </c>
      <c r="D662" s="133">
        <v>440.0</v>
      </c>
      <c r="E662" s="133">
        <v>50.0</v>
      </c>
      <c r="F662" s="134">
        <v>17.22</v>
      </c>
      <c r="G662" s="134">
        <v>32.78</v>
      </c>
      <c r="H662" s="135">
        <v>1.9</v>
      </c>
      <c r="I662" s="134">
        <v>24.05</v>
      </c>
      <c r="J662" s="135">
        <v>1.4</v>
      </c>
      <c r="K662" s="135">
        <v>0.75</v>
      </c>
      <c r="L662" s="135">
        <v>0.7</v>
      </c>
      <c r="M662" s="133">
        <v>48.0</v>
      </c>
      <c r="N662" s="133">
        <v>144.0</v>
      </c>
      <c r="O662" s="135">
        <v>0.83</v>
      </c>
      <c r="P662" s="135">
        <v>0.3</v>
      </c>
      <c r="Q662" s="135">
        <v>1.93</v>
      </c>
      <c r="R662" s="136" t="str">
        <f t="shared" si="1"/>
        <v>OptionStrat</v>
      </c>
      <c r="S662" s="132" t="s">
        <v>831</v>
      </c>
      <c r="T662" s="137"/>
      <c r="U662" s="138">
        <v>0.55</v>
      </c>
    </row>
    <row r="663">
      <c r="A663" s="125" t="s">
        <v>28</v>
      </c>
      <c r="B663" s="125" t="s">
        <v>171</v>
      </c>
      <c r="C663" s="126">
        <v>550.0</v>
      </c>
      <c r="D663" s="126">
        <v>610.0</v>
      </c>
      <c r="E663" s="126">
        <v>60.0</v>
      </c>
      <c r="F663" s="127">
        <v>12.9</v>
      </c>
      <c r="G663" s="127">
        <v>47.1</v>
      </c>
      <c r="H663" s="128">
        <v>3.65</v>
      </c>
      <c r="I663" s="127">
        <v>33.25</v>
      </c>
      <c r="J663" s="128">
        <v>2.58</v>
      </c>
      <c r="K663" s="128">
        <v>0.61</v>
      </c>
      <c r="L663" s="128">
        <v>0.57</v>
      </c>
      <c r="M663" s="126">
        <v>78.0</v>
      </c>
      <c r="N663" s="126">
        <v>26.0</v>
      </c>
      <c r="O663" s="128">
        <v>0.45</v>
      </c>
      <c r="P663" s="128">
        <v>0.3</v>
      </c>
      <c r="Q663" s="128">
        <v>1.93</v>
      </c>
      <c r="R663" s="129" t="str">
        <f t="shared" si="1"/>
        <v>OptionStrat</v>
      </c>
      <c r="S663" s="125" t="s">
        <v>832</v>
      </c>
      <c r="T663" s="125" t="s">
        <v>181</v>
      </c>
      <c r="U663" s="131">
        <v>0.55</v>
      </c>
    </row>
    <row r="664">
      <c r="A664" s="132" t="s">
        <v>28</v>
      </c>
      <c r="B664" s="132" t="s">
        <v>169</v>
      </c>
      <c r="C664" s="133">
        <v>370.0</v>
      </c>
      <c r="D664" s="133">
        <v>440.0</v>
      </c>
      <c r="E664" s="133">
        <v>70.0</v>
      </c>
      <c r="F664" s="134">
        <v>25.97</v>
      </c>
      <c r="G664" s="134">
        <v>44.03</v>
      </c>
      <c r="H664" s="135">
        <v>1.7</v>
      </c>
      <c r="I664" s="134">
        <v>32.16</v>
      </c>
      <c r="J664" s="135">
        <v>1.24</v>
      </c>
      <c r="K664" s="135">
        <v>0.75</v>
      </c>
      <c r="L664" s="135">
        <v>0.68</v>
      </c>
      <c r="M664" s="133">
        <v>326.0</v>
      </c>
      <c r="N664" s="133">
        <v>208.0</v>
      </c>
      <c r="O664" s="135">
        <v>2.6</v>
      </c>
      <c r="P664" s="135">
        <v>0.42</v>
      </c>
      <c r="Q664" s="135">
        <v>1.92</v>
      </c>
      <c r="R664" s="136" t="str">
        <f t="shared" si="1"/>
        <v>OptionStrat</v>
      </c>
      <c r="S664" s="132" t="s">
        <v>833</v>
      </c>
      <c r="T664" s="137"/>
      <c r="U664" s="138">
        <v>0.55</v>
      </c>
    </row>
    <row r="665">
      <c r="A665" s="125" t="s">
        <v>28</v>
      </c>
      <c r="B665" s="125" t="s">
        <v>171</v>
      </c>
      <c r="C665" s="126">
        <v>360.0</v>
      </c>
      <c r="D665" s="126">
        <v>420.0</v>
      </c>
      <c r="E665" s="126">
        <v>60.0</v>
      </c>
      <c r="F665" s="127">
        <v>22.18</v>
      </c>
      <c r="G665" s="127">
        <v>37.82</v>
      </c>
      <c r="H665" s="128">
        <v>1.71</v>
      </c>
      <c r="I665" s="127">
        <v>27.64</v>
      </c>
      <c r="J665" s="128">
        <v>1.25</v>
      </c>
      <c r="K665" s="128">
        <v>0.77</v>
      </c>
      <c r="L665" s="128">
        <v>0.72</v>
      </c>
      <c r="M665" s="126">
        <v>212.0</v>
      </c>
      <c r="N665" s="126">
        <v>131.0</v>
      </c>
      <c r="O665" s="128">
        <v>1.67</v>
      </c>
      <c r="P665" s="128">
        <v>0.27</v>
      </c>
      <c r="Q665" s="128">
        <v>1.92</v>
      </c>
      <c r="R665" s="129" t="str">
        <f t="shared" si="1"/>
        <v>OptionStrat</v>
      </c>
      <c r="S665" s="125" t="s">
        <v>834</v>
      </c>
      <c r="T665" s="130"/>
      <c r="U665" s="131">
        <v>0.55</v>
      </c>
    </row>
    <row r="666">
      <c r="A666" s="132" t="s">
        <v>28</v>
      </c>
      <c r="B666" s="132" t="s">
        <v>171</v>
      </c>
      <c r="C666" s="133">
        <v>570.0</v>
      </c>
      <c r="D666" s="133">
        <v>630.0</v>
      </c>
      <c r="E666" s="133">
        <v>60.0</v>
      </c>
      <c r="F666" s="134">
        <v>12.05</v>
      </c>
      <c r="G666" s="134">
        <v>47.95</v>
      </c>
      <c r="H666" s="135">
        <v>3.98</v>
      </c>
      <c r="I666" s="134">
        <v>32.88</v>
      </c>
      <c r="J666" s="135">
        <v>2.73</v>
      </c>
      <c r="K666" s="135">
        <v>0.6</v>
      </c>
      <c r="L666" s="135">
        <v>0.56</v>
      </c>
      <c r="M666" s="133">
        <v>110.0</v>
      </c>
      <c r="N666" s="133">
        <v>12.0</v>
      </c>
      <c r="O666" s="135">
        <v>0.36</v>
      </c>
      <c r="P666" s="135">
        <v>0.29</v>
      </c>
      <c r="Q666" s="135">
        <v>1.92</v>
      </c>
      <c r="R666" s="136" t="str">
        <f t="shared" si="1"/>
        <v>OptionStrat</v>
      </c>
      <c r="S666" s="132" t="s">
        <v>835</v>
      </c>
      <c r="T666" s="137"/>
      <c r="U666" s="138">
        <v>0.55</v>
      </c>
    </row>
    <row r="667">
      <c r="A667" s="125" t="s">
        <v>28</v>
      </c>
      <c r="B667" s="125" t="s">
        <v>169</v>
      </c>
      <c r="C667" s="126">
        <v>380.0</v>
      </c>
      <c r="D667" s="126">
        <v>400.0</v>
      </c>
      <c r="E667" s="126">
        <v>20.0</v>
      </c>
      <c r="F667" s="127">
        <v>7.63</v>
      </c>
      <c r="G667" s="127">
        <v>12.37</v>
      </c>
      <c r="H667" s="128">
        <v>1.62</v>
      </c>
      <c r="I667" s="127">
        <v>9.02</v>
      </c>
      <c r="J667" s="128">
        <v>1.18</v>
      </c>
      <c r="K667" s="128">
        <v>0.74</v>
      </c>
      <c r="L667" s="128">
        <v>0.72</v>
      </c>
      <c r="M667" s="126">
        <v>106.0</v>
      </c>
      <c r="N667" s="126">
        <v>1326.0</v>
      </c>
      <c r="O667" s="128">
        <v>3.75</v>
      </c>
      <c r="P667" s="128">
        <v>0.44</v>
      </c>
      <c r="Q667" s="128">
        <v>1.91</v>
      </c>
      <c r="R667" s="129" t="str">
        <f t="shared" si="1"/>
        <v>OptionStrat</v>
      </c>
      <c r="S667" s="125" t="s">
        <v>836</v>
      </c>
      <c r="T667" s="130"/>
      <c r="U667" s="131">
        <v>0.55</v>
      </c>
    </row>
    <row r="668">
      <c r="A668" s="132" t="s">
        <v>28</v>
      </c>
      <c r="B668" s="132" t="s">
        <v>171</v>
      </c>
      <c r="C668" s="133">
        <v>350.0</v>
      </c>
      <c r="D668" s="133">
        <v>400.0</v>
      </c>
      <c r="E668" s="133">
        <v>50.0</v>
      </c>
      <c r="F668" s="134">
        <v>18.8</v>
      </c>
      <c r="G668" s="134">
        <v>31.2</v>
      </c>
      <c r="H668" s="135">
        <v>1.66</v>
      </c>
      <c r="I668" s="134">
        <v>22.77</v>
      </c>
      <c r="J668" s="135">
        <v>1.21</v>
      </c>
      <c r="K668" s="135">
        <v>0.78</v>
      </c>
      <c r="L668" s="135">
        <v>0.74</v>
      </c>
      <c r="M668" s="133">
        <v>96.0</v>
      </c>
      <c r="N668" s="133">
        <v>369.0</v>
      </c>
      <c r="O668" s="135">
        <v>1.88</v>
      </c>
      <c r="P668" s="135">
        <v>0.31</v>
      </c>
      <c r="Q668" s="135">
        <v>1.91</v>
      </c>
      <c r="R668" s="136" t="str">
        <f t="shared" si="1"/>
        <v>OptionStrat</v>
      </c>
      <c r="S668" s="132" t="s">
        <v>837</v>
      </c>
      <c r="T668" s="137"/>
      <c r="U668" s="138">
        <v>0.56</v>
      </c>
    </row>
    <row r="669">
      <c r="A669" s="125" t="s">
        <v>28</v>
      </c>
      <c r="B669" s="125" t="s">
        <v>171</v>
      </c>
      <c r="C669" s="126">
        <v>350.0</v>
      </c>
      <c r="D669" s="126">
        <v>470.0</v>
      </c>
      <c r="E669" s="126">
        <v>120.0</v>
      </c>
      <c r="F669" s="127">
        <v>41.8</v>
      </c>
      <c r="G669" s="127">
        <v>78.2</v>
      </c>
      <c r="H669" s="128">
        <v>1.87</v>
      </c>
      <c r="I669" s="127">
        <v>57.34</v>
      </c>
      <c r="J669" s="128">
        <v>1.37</v>
      </c>
      <c r="K669" s="128">
        <v>0.78</v>
      </c>
      <c r="L669" s="128">
        <v>0.68</v>
      </c>
      <c r="M669" s="126">
        <v>96.0</v>
      </c>
      <c r="N669" s="126">
        <v>68.0</v>
      </c>
      <c r="O669" s="128">
        <v>0.81</v>
      </c>
      <c r="P669" s="128">
        <v>0.27</v>
      </c>
      <c r="Q669" s="128">
        <v>1.91</v>
      </c>
      <c r="R669" s="129" t="str">
        <f t="shared" si="1"/>
        <v>OptionStrat</v>
      </c>
      <c r="S669" s="125" t="s">
        <v>838</v>
      </c>
      <c r="T669" s="130"/>
      <c r="U669" s="131">
        <v>0.56</v>
      </c>
    </row>
    <row r="670">
      <c r="A670" s="132" t="s">
        <v>28</v>
      </c>
      <c r="B670" s="132" t="s">
        <v>171</v>
      </c>
      <c r="C670" s="133">
        <v>370.0</v>
      </c>
      <c r="D670" s="133">
        <v>440.0</v>
      </c>
      <c r="E670" s="133">
        <v>70.0</v>
      </c>
      <c r="F670" s="134">
        <v>24.95</v>
      </c>
      <c r="G670" s="134">
        <v>45.05</v>
      </c>
      <c r="H670" s="135">
        <v>1.81</v>
      </c>
      <c r="I670" s="134">
        <v>32.99</v>
      </c>
      <c r="J670" s="135">
        <v>1.32</v>
      </c>
      <c r="K670" s="135">
        <v>0.76</v>
      </c>
      <c r="L670" s="135">
        <v>0.7</v>
      </c>
      <c r="M670" s="133">
        <v>74.0</v>
      </c>
      <c r="N670" s="133">
        <v>144.0</v>
      </c>
      <c r="O670" s="135">
        <v>1.03</v>
      </c>
      <c r="P670" s="135">
        <v>0.3</v>
      </c>
      <c r="Q670" s="135">
        <v>1.91</v>
      </c>
      <c r="R670" s="136" t="str">
        <f t="shared" si="1"/>
        <v>OptionStrat</v>
      </c>
      <c r="S670" s="132" t="s">
        <v>839</v>
      </c>
      <c r="T670" s="137"/>
      <c r="U670" s="138">
        <v>0.55</v>
      </c>
    </row>
    <row r="671">
      <c r="A671" s="125" t="s">
        <v>28</v>
      </c>
      <c r="B671" s="125" t="s">
        <v>171</v>
      </c>
      <c r="C671" s="126">
        <v>490.0</v>
      </c>
      <c r="D671" s="126">
        <v>630.0</v>
      </c>
      <c r="E671" s="126">
        <v>140.0</v>
      </c>
      <c r="F671" s="127">
        <v>31.7</v>
      </c>
      <c r="G671" s="127">
        <v>108.3</v>
      </c>
      <c r="H671" s="128">
        <v>3.42</v>
      </c>
      <c r="I671" s="127">
        <v>73.78</v>
      </c>
      <c r="J671" s="128">
        <v>2.33</v>
      </c>
      <c r="K671" s="128">
        <v>0.66</v>
      </c>
      <c r="L671" s="128">
        <v>0.56</v>
      </c>
      <c r="M671" s="126">
        <v>93.0</v>
      </c>
      <c r="N671" s="126">
        <v>12.0</v>
      </c>
      <c r="O671" s="128">
        <v>0.33</v>
      </c>
      <c r="P671" s="128">
        <v>0.29</v>
      </c>
      <c r="Q671" s="128">
        <v>1.91</v>
      </c>
      <c r="R671" s="129" t="str">
        <f t="shared" si="1"/>
        <v>OptionStrat</v>
      </c>
      <c r="S671" s="125" t="s">
        <v>840</v>
      </c>
      <c r="T671" s="125" t="s">
        <v>181</v>
      </c>
      <c r="U671" s="131">
        <v>0.55</v>
      </c>
    </row>
    <row r="672">
      <c r="A672" s="132" t="s">
        <v>28</v>
      </c>
      <c r="B672" s="132" t="s">
        <v>171</v>
      </c>
      <c r="C672" s="133">
        <v>550.0</v>
      </c>
      <c r="D672" s="133">
        <v>670.0</v>
      </c>
      <c r="E672" s="133">
        <v>120.0</v>
      </c>
      <c r="F672" s="134">
        <v>23.9</v>
      </c>
      <c r="G672" s="134">
        <v>96.1</v>
      </c>
      <c r="H672" s="135">
        <v>4.02</v>
      </c>
      <c r="I672" s="134">
        <v>61.77</v>
      </c>
      <c r="J672" s="135">
        <v>2.58</v>
      </c>
      <c r="K672" s="135">
        <v>0.61</v>
      </c>
      <c r="L672" s="135">
        <v>0.53</v>
      </c>
      <c r="M672" s="133">
        <v>78.0</v>
      </c>
      <c r="N672" s="133">
        <v>24.0</v>
      </c>
      <c r="O672" s="135">
        <v>0.43</v>
      </c>
      <c r="P672" s="135">
        <v>0.29</v>
      </c>
      <c r="Q672" s="135">
        <v>1.91</v>
      </c>
      <c r="R672" s="136" t="str">
        <f t="shared" si="1"/>
        <v>OptionStrat</v>
      </c>
      <c r="S672" s="132" t="s">
        <v>841</v>
      </c>
      <c r="T672" s="132" t="s">
        <v>181</v>
      </c>
      <c r="U672" s="138">
        <v>0.55</v>
      </c>
    </row>
    <row r="673">
      <c r="A673" s="125" t="s">
        <v>28</v>
      </c>
      <c r="B673" s="125" t="s">
        <v>171</v>
      </c>
      <c r="C673" s="126">
        <v>590.0</v>
      </c>
      <c r="D673" s="126">
        <v>640.0</v>
      </c>
      <c r="E673" s="126">
        <v>50.0</v>
      </c>
      <c r="F673" s="127">
        <v>10.27</v>
      </c>
      <c r="G673" s="127">
        <v>39.73</v>
      </c>
      <c r="H673" s="128">
        <v>3.87</v>
      </c>
      <c r="I673" s="127">
        <v>26.77</v>
      </c>
      <c r="J673" s="128">
        <v>2.61</v>
      </c>
      <c r="K673" s="128">
        <v>0.59</v>
      </c>
      <c r="L673" s="128">
        <v>0.55</v>
      </c>
      <c r="M673" s="126">
        <v>15.0</v>
      </c>
      <c r="N673" s="126">
        <v>112.0</v>
      </c>
      <c r="O673" s="128">
        <v>0.41</v>
      </c>
      <c r="P673" s="128">
        <v>0.4</v>
      </c>
      <c r="Q673" s="128">
        <v>1.91</v>
      </c>
      <c r="R673" s="129" t="str">
        <f t="shared" si="1"/>
        <v>OptionStrat</v>
      </c>
      <c r="S673" s="125" t="s">
        <v>842</v>
      </c>
      <c r="T673" s="130"/>
      <c r="U673" s="131">
        <v>0.55</v>
      </c>
    </row>
    <row r="674">
      <c r="A674" s="132" t="s">
        <v>28</v>
      </c>
      <c r="B674" s="132" t="s">
        <v>171</v>
      </c>
      <c r="C674" s="133">
        <v>350.0</v>
      </c>
      <c r="D674" s="133">
        <v>460.0</v>
      </c>
      <c r="E674" s="133">
        <v>110.0</v>
      </c>
      <c r="F674" s="134">
        <v>38.9</v>
      </c>
      <c r="G674" s="134">
        <v>71.1</v>
      </c>
      <c r="H674" s="135">
        <v>1.83</v>
      </c>
      <c r="I674" s="134">
        <v>52.09</v>
      </c>
      <c r="J674" s="135">
        <v>1.34</v>
      </c>
      <c r="K674" s="135">
        <v>0.78</v>
      </c>
      <c r="L674" s="135">
        <v>0.68</v>
      </c>
      <c r="M674" s="133">
        <v>96.0</v>
      </c>
      <c r="N674" s="133">
        <v>90.0</v>
      </c>
      <c r="O674" s="135">
        <v>0.93</v>
      </c>
      <c r="P674" s="135">
        <v>0.26</v>
      </c>
      <c r="Q674" s="135">
        <v>1.9</v>
      </c>
      <c r="R674" s="136" t="str">
        <f t="shared" si="1"/>
        <v>OptionStrat</v>
      </c>
      <c r="S674" s="132" t="s">
        <v>843</v>
      </c>
      <c r="T674" s="137"/>
      <c r="U674" s="138">
        <v>0.56</v>
      </c>
    </row>
    <row r="675">
      <c r="A675" s="125" t="s">
        <v>28</v>
      </c>
      <c r="B675" s="125" t="s">
        <v>171</v>
      </c>
      <c r="C675" s="126">
        <v>520.0</v>
      </c>
      <c r="D675" s="126">
        <v>630.0</v>
      </c>
      <c r="E675" s="126">
        <v>110.0</v>
      </c>
      <c r="F675" s="127">
        <v>23.8</v>
      </c>
      <c r="G675" s="127">
        <v>86.2</v>
      </c>
      <c r="H675" s="128">
        <v>3.62</v>
      </c>
      <c r="I675" s="127">
        <v>58.88</v>
      </c>
      <c r="J675" s="128">
        <v>2.47</v>
      </c>
      <c r="K675" s="128">
        <v>0.64</v>
      </c>
      <c r="L675" s="128">
        <v>0.56</v>
      </c>
      <c r="M675" s="126">
        <v>82.0</v>
      </c>
      <c r="N675" s="126">
        <v>12.0</v>
      </c>
      <c r="O675" s="128">
        <v>0.31</v>
      </c>
      <c r="P675" s="128">
        <v>0.29</v>
      </c>
      <c r="Q675" s="128">
        <v>1.9</v>
      </c>
      <c r="R675" s="129" t="str">
        <f t="shared" si="1"/>
        <v>OptionStrat</v>
      </c>
      <c r="S675" s="125" t="s">
        <v>844</v>
      </c>
      <c r="T675" s="130"/>
      <c r="U675" s="131">
        <v>0.55</v>
      </c>
    </row>
    <row r="676">
      <c r="A676" s="132" t="s">
        <v>28</v>
      </c>
      <c r="B676" s="132" t="s">
        <v>171</v>
      </c>
      <c r="C676" s="133">
        <v>560.0</v>
      </c>
      <c r="D676" s="133">
        <v>680.0</v>
      </c>
      <c r="E676" s="133">
        <v>120.0</v>
      </c>
      <c r="F676" s="134">
        <v>23.08</v>
      </c>
      <c r="G676" s="134">
        <v>96.92</v>
      </c>
      <c r="H676" s="135">
        <v>4.2</v>
      </c>
      <c r="I676" s="134">
        <v>61.51</v>
      </c>
      <c r="J676" s="135">
        <v>2.66</v>
      </c>
      <c r="K676" s="135">
        <v>0.61</v>
      </c>
      <c r="L676" s="135">
        <v>0.53</v>
      </c>
      <c r="M676" s="133">
        <v>18.0</v>
      </c>
      <c r="N676" s="133">
        <v>77.0</v>
      </c>
      <c r="O676" s="135">
        <v>0.37</v>
      </c>
      <c r="P676" s="135">
        <v>0.3</v>
      </c>
      <c r="Q676" s="135">
        <v>1.9</v>
      </c>
      <c r="R676" s="136" t="str">
        <f t="shared" si="1"/>
        <v>OptionStrat</v>
      </c>
      <c r="S676" s="132" t="s">
        <v>845</v>
      </c>
      <c r="T676" s="137"/>
      <c r="U676" s="138">
        <v>0.55</v>
      </c>
    </row>
    <row r="677">
      <c r="A677" s="125" t="s">
        <v>28</v>
      </c>
      <c r="B677" s="125" t="s">
        <v>171</v>
      </c>
      <c r="C677" s="126">
        <v>580.0</v>
      </c>
      <c r="D677" s="126">
        <v>610.0</v>
      </c>
      <c r="E677" s="126">
        <v>30.0</v>
      </c>
      <c r="F677" s="127">
        <v>6.17</v>
      </c>
      <c r="G677" s="127">
        <v>23.83</v>
      </c>
      <c r="H677" s="128">
        <v>3.86</v>
      </c>
      <c r="I677" s="127">
        <v>16.85</v>
      </c>
      <c r="J677" s="128">
        <v>2.73</v>
      </c>
      <c r="K677" s="128">
        <v>0.59</v>
      </c>
      <c r="L677" s="128">
        <v>0.57</v>
      </c>
      <c r="M677" s="126">
        <v>50.0</v>
      </c>
      <c r="N677" s="126">
        <v>26.0</v>
      </c>
      <c r="O677" s="128">
        <v>0.36</v>
      </c>
      <c r="P677" s="128">
        <v>0.3</v>
      </c>
      <c r="Q677" s="128">
        <v>1.9</v>
      </c>
      <c r="R677" s="129" t="str">
        <f t="shared" si="1"/>
        <v>OptionStrat</v>
      </c>
      <c r="S677" s="125" t="s">
        <v>846</v>
      </c>
      <c r="T677" s="130"/>
      <c r="U677" s="131">
        <v>0.55</v>
      </c>
    </row>
    <row r="678">
      <c r="A678" s="132" t="s">
        <v>28</v>
      </c>
      <c r="B678" s="132" t="s">
        <v>171</v>
      </c>
      <c r="C678" s="133">
        <v>620.0</v>
      </c>
      <c r="D678" s="133">
        <v>680.0</v>
      </c>
      <c r="E678" s="133">
        <v>60.0</v>
      </c>
      <c r="F678" s="134">
        <v>10.67</v>
      </c>
      <c r="G678" s="134">
        <v>49.33</v>
      </c>
      <c r="H678" s="135">
        <v>4.62</v>
      </c>
      <c r="I678" s="134">
        <v>31.47</v>
      </c>
      <c r="J678" s="135">
        <v>2.95</v>
      </c>
      <c r="K678" s="135">
        <v>0.56</v>
      </c>
      <c r="L678" s="135">
        <v>0.53</v>
      </c>
      <c r="M678" s="133">
        <v>10.0</v>
      </c>
      <c r="N678" s="133">
        <v>77.0</v>
      </c>
      <c r="O678" s="135">
        <v>0.28</v>
      </c>
      <c r="P678" s="135">
        <v>0.31</v>
      </c>
      <c r="Q678" s="135">
        <v>1.9</v>
      </c>
      <c r="R678" s="136" t="str">
        <f t="shared" si="1"/>
        <v>OptionStrat</v>
      </c>
      <c r="S678" s="132" t="s">
        <v>847</v>
      </c>
      <c r="T678" s="137"/>
      <c r="U678" s="138">
        <v>0.55</v>
      </c>
    </row>
    <row r="679">
      <c r="A679" s="125" t="s">
        <v>28</v>
      </c>
      <c r="B679" s="125" t="s">
        <v>171</v>
      </c>
      <c r="C679" s="126">
        <v>350.0</v>
      </c>
      <c r="D679" s="126">
        <v>430.0</v>
      </c>
      <c r="E679" s="126">
        <v>80.0</v>
      </c>
      <c r="F679" s="127">
        <v>29.5</v>
      </c>
      <c r="G679" s="127">
        <v>50.5</v>
      </c>
      <c r="H679" s="128">
        <v>1.71</v>
      </c>
      <c r="I679" s="127">
        <v>36.91</v>
      </c>
      <c r="J679" s="128">
        <v>1.25</v>
      </c>
      <c r="K679" s="128">
        <v>0.78</v>
      </c>
      <c r="L679" s="128">
        <v>0.71</v>
      </c>
      <c r="M679" s="126">
        <v>96.0</v>
      </c>
      <c r="N679" s="126">
        <v>213.0</v>
      </c>
      <c r="O679" s="128">
        <v>1.43</v>
      </c>
      <c r="P679" s="128">
        <v>0.27</v>
      </c>
      <c r="Q679" s="128">
        <v>1.89</v>
      </c>
      <c r="R679" s="129" t="str">
        <f t="shared" si="1"/>
        <v>OptionStrat</v>
      </c>
      <c r="S679" s="125" t="s">
        <v>848</v>
      </c>
      <c r="T679" s="130"/>
      <c r="U679" s="131">
        <v>0.56</v>
      </c>
    </row>
    <row r="680">
      <c r="A680" s="132" t="s">
        <v>28</v>
      </c>
      <c r="B680" s="132" t="s">
        <v>171</v>
      </c>
      <c r="C680" s="133">
        <v>490.0</v>
      </c>
      <c r="D680" s="133">
        <v>620.0</v>
      </c>
      <c r="E680" s="133">
        <v>130.0</v>
      </c>
      <c r="F680" s="134">
        <v>29.83</v>
      </c>
      <c r="G680" s="134">
        <v>100.17</v>
      </c>
      <c r="H680" s="135">
        <v>3.36</v>
      </c>
      <c r="I680" s="134">
        <v>69.35</v>
      </c>
      <c r="J680" s="135">
        <v>2.32</v>
      </c>
      <c r="K680" s="135">
        <v>0.66</v>
      </c>
      <c r="L680" s="135">
        <v>0.56</v>
      </c>
      <c r="M680" s="133">
        <v>93.0</v>
      </c>
      <c r="N680" s="133">
        <v>10.0</v>
      </c>
      <c r="O680" s="135">
        <v>0.3</v>
      </c>
      <c r="P680" s="135">
        <v>0.29</v>
      </c>
      <c r="Q680" s="135">
        <v>1.89</v>
      </c>
      <c r="R680" s="136" t="str">
        <f t="shared" si="1"/>
        <v>OptionStrat</v>
      </c>
      <c r="S680" s="132" t="s">
        <v>849</v>
      </c>
      <c r="T680" s="132" t="s">
        <v>181</v>
      </c>
      <c r="U680" s="138">
        <v>0.55</v>
      </c>
    </row>
    <row r="681">
      <c r="A681" s="125" t="s">
        <v>28</v>
      </c>
      <c r="B681" s="125" t="s">
        <v>171</v>
      </c>
      <c r="C681" s="126">
        <v>520.0</v>
      </c>
      <c r="D681" s="126">
        <v>660.0</v>
      </c>
      <c r="E681" s="126">
        <v>140.0</v>
      </c>
      <c r="F681" s="127">
        <v>29.22</v>
      </c>
      <c r="G681" s="127">
        <v>110.78</v>
      </c>
      <c r="H681" s="128">
        <v>3.79</v>
      </c>
      <c r="I681" s="127">
        <v>72.18</v>
      </c>
      <c r="J681" s="128">
        <v>2.47</v>
      </c>
      <c r="K681" s="128">
        <v>0.64</v>
      </c>
      <c r="L681" s="128">
        <v>0.54</v>
      </c>
      <c r="M681" s="126">
        <v>82.0</v>
      </c>
      <c r="N681" s="126">
        <v>14.0</v>
      </c>
      <c r="O681" s="128">
        <v>0.34</v>
      </c>
      <c r="P681" s="128">
        <v>0.29</v>
      </c>
      <c r="Q681" s="128">
        <v>1.89</v>
      </c>
      <c r="R681" s="129" t="str">
        <f t="shared" si="1"/>
        <v>OptionStrat</v>
      </c>
      <c r="S681" s="125" t="s">
        <v>850</v>
      </c>
      <c r="T681" s="130"/>
      <c r="U681" s="131">
        <v>0.55</v>
      </c>
    </row>
    <row r="682">
      <c r="A682" s="132" t="s">
        <v>28</v>
      </c>
      <c r="B682" s="132" t="s">
        <v>171</v>
      </c>
      <c r="C682" s="133">
        <v>530.0</v>
      </c>
      <c r="D682" s="133">
        <v>630.0</v>
      </c>
      <c r="E682" s="133">
        <v>100.0</v>
      </c>
      <c r="F682" s="134">
        <v>21.0</v>
      </c>
      <c r="G682" s="134">
        <v>79.0</v>
      </c>
      <c r="H682" s="135">
        <v>3.76</v>
      </c>
      <c r="I682" s="134">
        <v>54.05</v>
      </c>
      <c r="J682" s="135">
        <v>2.57</v>
      </c>
      <c r="K682" s="135">
        <v>0.63</v>
      </c>
      <c r="L682" s="135">
        <v>0.56</v>
      </c>
      <c r="M682" s="133">
        <v>60.0</v>
      </c>
      <c r="N682" s="133">
        <v>12.0</v>
      </c>
      <c r="O682" s="135">
        <v>0.27</v>
      </c>
      <c r="P682" s="135">
        <v>0.33</v>
      </c>
      <c r="Q682" s="135">
        <v>1.89</v>
      </c>
      <c r="R682" s="136" t="str">
        <f t="shared" si="1"/>
        <v>OptionStrat</v>
      </c>
      <c r="S682" s="132" t="s">
        <v>851</v>
      </c>
      <c r="T682" s="137"/>
      <c r="U682" s="138">
        <v>0.55</v>
      </c>
    </row>
    <row r="683">
      <c r="A683" s="125" t="s">
        <v>28</v>
      </c>
      <c r="B683" s="125" t="s">
        <v>171</v>
      </c>
      <c r="C683" s="126">
        <v>580.0</v>
      </c>
      <c r="D683" s="126">
        <v>670.0</v>
      </c>
      <c r="E683" s="126">
        <v>90.0</v>
      </c>
      <c r="F683" s="127">
        <v>17.17</v>
      </c>
      <c r="G683" s="127">
        <v>72.83</v>
      </c>
      <c r="H683" s="128">
        <v>4.24</v>
      </c>
      <c r="I683" s="127">
        <v>46.95</v>
      </c>
      <c r="J683" s="128">
        <v>2.73</v>
      </c>
      <c r="K683" s="128">
        <v>0.59</v>
      </c>
      <c r="L683" s="128">
        <v>0.53</v>
      </c>
      <c r="M683" s="126">
        <v>50.0</v>
      </c>
      <c r="N683" s="126">
        <v>24.0</v>
      </c>
      <c r="O683" s="128">
        <v>0.35</v>
      </c>
      <c r="P683" s="128">
        <v>0.29</v>
      </c>
      <c r="Q683" s="128">
        <v>1.89</v>
      </c>
      <c r="R683" s="129" t="str">
        <f t="shared" si="1"/>
        <v>OptionStrat</v>
      </c>
      <c r="S683" s="125" t="s">
        <v>852</v>
      </c>
      <c r="T683" s="130"/>
      <c r="U683" s="131">
        <v>0.55</v>
      </c>
    </row>
    <row r="684">
      <c r="A684" s="132" t="s">
        <v>28</v>
      </c>
      <c r="B684" s="132" t="s">
        <v>171</v>
      </c>
      <c r="C684" s="133">
        <v>590.0</v>
      </c>
      <c r="D684" s="133">
        <v>680.0</v>
      </c>
      <c r="E684" s="133">
        <v>90.0</v>
      </c>
      <c r="F684" s="134">
        <v>17.2</v>
      </c>
      <c r="G684" s="134">
        <v>72.8</v>
      </c>
      <c r="H684" s="135">
        <v>4.23</v>
      </c>
      <c r="I684" s="134">
        <v>46.22</v>
      </c>
      <c r="J684" s="135">
        <v>2.69</v>
      </c>
      <c r="K684" s="135">
        <v>0.59</v>
      </c>
      <c r="L684" s="135">
        <v>0.53</v>
      </c>
      <c r="M684" s="133">
        <v>15.0</v>
      </c>
      <c r="N684" s="133">
        <v>77.0</v>
      </c>
      <c r="O684" s="135">
        <v>0.34</v>
      </c>
      <c r="P684" s="135">
        <v>0.4</v>
      </c>
      <c r="Q684" s="135">
        <v>1.89</v>
      </c>
      <c r="R684" s="136" t="str">
        <f t="shared" si="1"/>
        <v>OptionStrat</v>
      </c>
      <c r="S684" s="132" t="s">
        <v>853</v>
      </c>
      <c r="T684" s="137"/>
      <c r="U684" s="138">
        <v>0.55</v>
      </c>
    </row>
    <row r="685">
      <c r="A685" s="125" t="s">
        <v>28</v>
      </c>
      <c r="B685" s="125" t="s">
        <v>171</v>
      </c>
      <c r="C685" s="126">
        <v>520.0</v>
      </c>
      <c r="D685" s="126">
        <v>620.0</v>
      </c>
      <c r="E685" s="126">
        <v>100.0</v>
      </c>
      <c r="F685" s="127">
        <v>21.92</v>
      </c>
      <c r="G685" s="127">
        <v>78.08</v>
      </c>
      <c r="H685" s="128">
        <v>3.56</v>
      </c>
      <c r="I685" s="127">
        <v>54.18</v>
      </c>
      <c r="J685" s="128">
        <v>2.47</v>
      </c>
      <c r="K685" s="128">
        <v>0.64</v>
      </c>
      <c r="L685" s="128">
        <v>0.56</v>
      </c>
      <c r="M685" s="126">
        <v>82.0</v>
      </c>
      <c r="N685" s="126">
        <v>10.0</v>
      </c>
      <c r="O685" s="128">
        <v>0.29</v>
      </c>
      <c r="P685" s="128">
        <v>0.29</v>
      </c>
      <c r="Q685" s="128">
        <v>1.88</v>
      </c>
      <c r="R685" s="129" t="str">
        <f t="shared" si="1"/>
        <v>OptionStrat</v>
      </c>
      <c r="S685" s="125" t="s">
        <v>854</v>
      </c>
      <c r="T685" s="130"/>
      <c r="U685" s="131">
        <v>0.55</v>
      </c>
    </row>
    <row r="686">
      <c r="A686" s="132" t="s">
        <v>28</v>
      </c>
      <c r="B686" s="132" t="s">
        <v>171</v>
      </c>
      <c r="C686" s="133">
        <v>530.0</v>
      </c>
      <c r="D686" s="133">
        <v>660.0</v>
      </c>
      <c r="E686" s="133">
        <v>130.0</v>
      </c>
      <c r="F686" s="134">
        <v>26.43</v>
      </c>
      <c r="G686" s="134">
        <v>103.57</v>
      </c>
      <c r="H686" s="135">
        <v>3.92</v>
      </c>
      <c r="I686" s="134">
        <v>67.61</v>
      </c>
      <c r="J686" s="135">
        <v>2.56</v>
      </c>
      <c r="K686" s="135">
        <v>0.63</v>
      </c>
      <c r="L686" s="135">
        <v>0.54</v>
      </c>
      <c r="M686" s="133">
        <v>60.0</v>
      </c>
      <c r="N686" s="133">
        <v>14.0</v>
      </c>
      <c r="O686" s="135">
        <v>0.29</v>
      </c>
      <c r="P686" s="135">
        <v>0.34</v>
      </c>
      <c r="Q686" s="135">
        <v>1.88</v>
      </c>
      <c r="R686" s="136" t="str">
        <f t="shared" si="1"/>
        <v>OptionStrat</v>
      </c>
      <c r="S686" s="132" t="s">
        <v>855</v>
      </c>
      <c r="T686" s="137"/>
      <c r="U686" s="138">
        <v>0.55</v>
      </c>
    </row>
    <row r="687">
      <c r="A687" s="125" t="s">
        <v>28</v>
      </c>
      <c r="B687" s="125" t="s">
        <v>171</v>
      </c>
      <c r="C687" s="126">
        <v>540.0</v>
      </c>
      <c r="D687" s="126">
        <v>670.0</v>
      </c>
      <c r="E687" s="126">
        <v>130.0</v>
      </c>
      <c r="F687" s="127">
        <v>26.2</v>
      </c>
      <c r="G687" s="127">
        <v>103.8</v>
      </c>
      <c r="H687" s="128">
        <v>3.96</v>
      </c>
      <c r="I687" s="127">
        <v>66.66</v>
      </c>
      <c r="J687" s="128">
        <v>2.54</v>
      </c>
      <c r="K687" s="128">
        <v>0.62</v>
      </c>
      <c r="L687" s="128">
        <v>0.53</v>
      </c>
      <c r="M687" s="126">
        <v>58.0</v>
      </c>
      <c r="N687" s="126">
        <v>24.0</v>
      </c>
      <c r="O687" s="128">
        <v>0.37</v>
      </c>
      <c r="P687" s="128">
        <v>0.29</v>
      </c>
      <c r="Q687" s="128">
        <v>1.88</v>
      </c>
      <c r="R687" s="129" t="str">
        <f t="shared" si="1"/>
        <v>OptionStrat</v>
      </c>
      <c r="S687" s="125" t="s">
        <v>856</v>
      </c>
      <c r="T687" s="130"/>
      <c r="U687" s="131">
        <v>0.55</v>
      </c>
    </row>
    <row r="688">
      <c r="A688" s="132" t="s">
        <v>28</v>
      </c>
      <c r="B688" s="132" t="s">
        <v>171</v>
      </c>
      <c r="C688" s="133">
        <v>570.0</v>
      </c>
      <c r="D688" s="133">
        <v>620.0</v>
      </c>
      <c r="E688" s="133">
        <v>50.0</v>
      </c>
      <c r="F688" s="134">
        <v>10.17</v>
      </c>
      <c r="G688" s="134">
        <v>39.83</v>
      </c>
      <c r="H688" s="135">
        <v>3.92</v>
      </c>
      <c r="I688" s="134">
        <v>27.74</v>
      </c>
      <c r="J688" s="135">
        <v>2.73</v>
      </c>
      <c r="K688" s="135">
        <v>0.6</v>
      </c>
      <c r="L688" s="135">
        <v>0.56</v>
      </c>
      <c r="M688" s="133">
        <v>110.0</v>
      </c>
      <c r="N688" s="133">
        <v>10.0</v>
      </c>
      <c r="O688" s="135">
        <v>0.33</v>
      </c>
      <c r="P688" s="135">
        <v>0.29</v>
      </c>
      <c r="Q688" s="135">
        <v>1.88</v>
      </c>
      <c r="R688" s="136" t="str">
        <f t="shared" si="1"/>
        <v>OptionStrat</v>
      </c>
      <c r="S688" s="132" t="s">
        <v>857</v>
      </c>
      <c r="T688" s="137"/>
      <c r="U688" s="138">
        <v>0.55</v>
      </c>
    </row>
    <row r="689">
      <c r="A689" s="125" t="s">
        <v>28</v>
      </c>
      <c r="B689" s="125" t="s">
        <v>169</v>
      </c>
      <c r="C689" s="126">
        <v>360.0</v>
      </c>
      <c r="D689" s="126">
        <v>400.0</v>
      </c>
      <c r="E689" s="126">
        <v>40.0</v>
      </c>
      <c r="F689" s="127">
        <v>15.92</v>
      </c>
      <c r="G689" s="127">
        <v>24.08</v>
      </c>
      <c r="H689" s="128">
        <v>1.51</v>
      </c>
      <c r="I689" s="127">
        <v>17.5</v>
      </c>
      <c r="J689" s="128">
        <v>1.1</v>
      </c>
      <c r="K689" s="128">
        <v>0.76</v>
      </c>
      <c r="L689" s="128">
        <v>0.72</v>
      </c>
      <c r="M689" s="126">
        <v>183.0</v>
      </c>
      <c r="N689" s="126">
        <v>1326.0</v>
      </c>
      <c r="O689" s="128">
        <v>4.93</v>
      </c>
      <c r="P689" s="128">
        <v>0.43</v>
      </c>
      <c r="Q689" s="128">
        <v>1.87</v>
      </c>
      <c r="R689" s="129" t="str">
        <f t="shared" si="1"/>
        <v>OptionStrat</v>
      </c>
      <c r="S689" s="125" t="s">
        <v>858</v>
      </c>
      <c r="T689" s="130"/>
      <c r="U689" s="131">
        <v>0.55</v>
      </c>
    </row>
    <row r="690">
      <c r="A690" s="132" t="s">
        <v>28</v>
      </c>
      <c r="B690" s="132" t="s">
        <v>169</v>
      </c>
      <c r="C690" s="133">
        <v>370.0</v>
      </c>
      <c r="D690" s="133">
        <v>430.0</v>
      </c>
      <c r="E690" s="133">
        <v>60.0</v>
      </c>
      <c r="F690" s="134">
        <v>22.65</v>
      </c>
      <c r="G690" s="134">
        <v>37.35</v>
      </c>
      <c r="H690" s="135">
        <v>1.65</v>
      </c>
      <c r="I690" s="134">
        <v>27.25</v>
      </c>
      <c r="J690" s="135">
        <v>1.2</v>
      </c>
      <c r="K690" s="135">
        <v>0.75</v>
      </c>
      <c r="L690" s="135">
        <v>0.69</v>
      </c>
      <c r="M690" s="133">
        <v>326.0</v>
      </c>
      <c r="N690" s="133">
        <v>230.0</v>
      </c>
      <c r="O690" s="135">
        <v>2.74</v>
      </c>
      <c r="P690" s="135">
        <v>0.43</v>
      </c>
      <c r="Q690" s="135">
        <v>1.87</v>
      </c>
      <c r="R690" s="136" t="str">
        <f t="shared" si="1"/>
        <v>OptionStrat</v>
      </c>
      <c r="S690" s="132" t="s">
        <v>859</v>
      </c>
      <c r="T690" s="137"/>
      <c r="U690" s="138">
        <v>0.55</v>
      </c>
    </row>
    <row r="691">
      <c r="A691" s="125" t="s">
        <v>28</v>
      </c>
      <c r="B691" s="125" t="s">
        <v>171</v>
      </c>
      <c r="C691" s="126">
        <v>350.0</v>
      </c>
      <c r="D691" s="126">
        <v>440.0</v>
      </c>
      <c r="E691" s="126">
        <v>90.0</v>
      </c>
      <c r="F691" s="127">
        <v>32.95</v>
      </c>
      <c r="G691" s="127">
        <v>57.05</v>
      </c>
      <c r="H691" s="128">
        <v>1.73</v>
      </c>
      <c r="I691" s="127">
        <v>41.71</v>
      </c>
      <c r="J691" s="128">
        <v>1.27</v>
      </c>
      <c r="K691" s="128">
        <v>0.78</v>
      </c>
      <c r="L691" s="128">
        <v>0.7</v>
      </c>
      <c r="M691" s="126">
        <v>96.0</v>
      </c>
      <c r="N691" s="126">
        <v>144.0</v>
      </c>
      <c r="O691" s="128">
        <v>1.18</v>
      </c>
      <c r="P691" s="128">
        <v>0.29</v>
      </c>
      <c r="Q691" s="128">
        <v>1.87</v>
      </c>
      <c r="R691" s="129" t="str">
        <f t="shared" si="1"/>
        <v>OptionStrat</v>
      </c>
      <c r="S691" s="125" t="s">
        <v>860</v>
      </c>
      <c r="T691" s="130"/>
      <c r="U691" s="131">
        <v>0.56</v>
      </c>
    </row>
    <row r="692">
      <c r="A692" s="132" t="s">
        <v>28</v>
      </c>
      <c r="B692" s="132" t="s">
        <v>171</v>
      </c>
      <c r="C692" s="133">
        <v>380.0</v>
      </c>
      <c r="D692" s="133">
        <v>420.0</v>
      </c>
      <c r="E692" s="133">
        <v>40.0</v>
      </c>
      <c r="F692" s="134">
        <v>14.38</v>
      </c>
      <c r="G692" s="134">
        <v>25.62</v>
      </c>
      <c r="H692" s="135">
        <v>1.78</v>
      </c>
      <c r="I692" s="134">
        <v>18.76</v>
      </c>
      <c r="J692" s="135">
        <v>1.3</v>
      </c>
      <c r="K692" s="135">
        <v>0.75</v>
      </c>
      <c r="L692" s="135">
        <v>0.72</v>
      </c>
      <c r="M692" s="133">
        <v>97.0</v>
      </c>
      <c r="N692" s="133">
        <v>131.0</v>
      </c>
      <c r="O692" s="135">
        <v>1.13</v>
      </c>
      <c r="P692" s="135">
        <v>0.27</v>
      </c>
      <c r="Q692" s="135">
        <v>1.87</v>
      </c>
      <c r="R692" s="136" t="str">
        <f t="shared" si="1"/>
        <v>OptionStrat</v>
      </c>
      <c r="S692" s="132" t="s">
        <v>861</v>
      </c>
      <c r="T692" s="137"/>
      <c r="U692" s="138">
        <v>0.55</v>
      </c>
    </row>
    <row r="693">
      <c r="A693" s="125" t="s">
        <v>28</v>
      </c>
      <c r="B693" s="125" t="s">
        <v>171</v>
      </c>
      <c r="C693" s="126">
        <v>530.0</v>
      </c>
      <c r="D693" s="126">
        <v>620.0</v>
      </c>
      <c r="E693" s="126">
        <v>90.0</v>
      </c>
      <c r="F693" s="127">
        <v>19.13</v>
      </c>
      <c r="G693" s="127">
        <v>70.87</v>
      </c>
      <c r="H693" s="128">
        <v>3.7</v>
      </c>
      <c r="I693" s="127">
        <v>49.26</v>
      </c>
      <c r="J693" s="128">
        <v>2.58</v>
      </c>
      <c r="K693" s="128">
        <v>0.63</v>
      </c>
      <c r="L693" s="128">
        <v>0.56</v>
      </c>
      <c r="M693" s="126">
        <v>60.0</v>
      </c>
      <c r="N693" s="126">
        <v>10.0</v>
      </c>
      <c r="O693" s="128">
        <v>0.24</v>
      </c>
      <c r="P693" s="128">
        <v>0.33</v>
      </c>
      <c r="Q693" s="128">
        <v>1.87</v>
      </c>
      <c r="R693" s="129" t="str">
        <f t="shared" si="1"/>
        <v>OptionStrat</v>
      </c>
      <c r="S693" s="125" t="s">
        <v>862</v>
      </c>
      <c r="T693" s="130"/>
      <c r="U693" s="131">
        <v>0.55</v>
      </c>
    </row>
    <row r="694">
      <c r="A694" s="132" t="s">
        <v>28</v>
      </c>
      <c r="B694" s="132" t="s">
        <v>171</v>
      </c>
      <c r="C694" s="133">
        <v>630.0</v>
      </c>
      <c r="D694" s="133">
        <v>690.0</v>
      </c>
      <c r="E694" s="133">
        <v>60.0</v>
      </c>
      <c r="F694" s="134">
        <v>10.4</v>
      </c>
      <c r="G694" s="134">
        <v>49.6</v>
      </c>
      <c r="H694" s="135">
        <v>4.77</v>
      </c>
      <c r="I694" s="134">
        <v>31.23</v>
      </c>
      <c r="J694" s="135">
        <v>3.0</v>
      </c>
      <c r="K694" s="135">
        <v>0.56</v>
      </c>
      <c r="L694" s="135">
        <v>0.52</v>
      </c>
      <c r="M694" s="133">
        <v>12.0</v>
      </c>
      <c r="N694" s="133">
        <v>49.0</v>
      </c>
      <c r="O694" s="135">
        <v>0.24</v>
      </c>
      <c r="P694" s="135">
        <v>0.31</v>
      </c>
      <c r="Q694" s="135">
        <v>1.87</v>
      </c>
      <c r="R694" s="136" t="str">
        <f t="shared" si="1"/>
        <v>OptionStrat</v>
      </c>
      <c r="S694" s="132" t="s">
        <v>863</v>
      </c>
      <c r="T694" s="137"/>
      <c r="U694" s="138">
        <v>0.55</v>
      </c>
    </row>
    <row r="695">
      <c r="A695" s="125" t="s">
        <v>28</v>
      </c>
      <c r="B695" s="125" t="s">
        <v>171</v>
      </c>
      <c r="C695" s="126">
        <v>560.0</v>
      </c>
      <c r="D695" s="126">
        <v>590.0</v>
      </c>
      <c r="E695" s="126">
        <v>30.0</v>
      </c>
      <c r="F695" s="127">
        <v>5.88</v>
      </c>
      <c r="G695" s="127">
        <v>24.12</v>
      </c>
      <c r="H695" s="128">
        <v>4.1</v>
      </c>
      <c r="I695" s="127">
        <v>17.7</v>
      </c>
      <c r="J695" s="128">
        <v>3.01</v>
      </c>
      <c r="K695" s="128">
        <v>0.61</v>
      </c>
      <c r="L695" s="128">
        <v>0.59</v>
      </c>
      <c r="M695" s="126">
        <v>18.0</v>
      </c>
      <c r="N695" s="126">
        <v>15.0</v>
      </c>
      <c r="O695" s="128">
        <v>0.16</v>
      </c>
      <c r="P695" s="128">
        <v>0.36</v>
      </c>
      <c r="Q695" s="128">
        <v>1.86</v>
      </c>
      <c r="R695" s="129" t="str">
        <f t="shared" si="1"/>
        <v>OptionStrat</v>
      </c>
      <c r="S695" s="125" t="s">
        <v>864</v>
      </c>
      <c r="T695" s="130"/>
      <c r="U695" s="131">
        <v>0.55</v>
      </c>
    </row>
    <row r="696">
      <c r="A696" s="132" t="s">
        <v>28</v>
      </c>
      <c r="B696" s="132" t="s">
        <v>169</v>
      </c>
      <c r="C696" s="133">
        <v>370.0</v>
      </c>
      <c r="D696" s="133">
        <v>420.0</v>
      </c>
      <c r="E696" s="133">
        <v>50.0</v>
      </c>
      <c r="F696" s="134">
        <v>19.15</v>
      </c>
      <c r="G696" s="134">
        <v>30.85</v>
      </c>
      <c r="H696" s="135">
        <v>1.61</v>
      </c>
      <c r="I696" s="134">
        <v>22.49</v>
      </c>
      <c r="J696" s="135">
        <v>1.17</v>
      </c>
      <c r="K696" s="135">
        <v>0.75</v>
      </c>
      <c r="L696" s="135">
        <v>0.7</v>
      </c>
      <c r="M696" s="133">
        <v>326.0</v>
      </c>
      <c r="N696" s="133">
        <v>290.0</v>
      </c>
      <c r="O696" s="135">
        <v>3.07</v>
      </c>
      <c r="P696" s="135">
        <v>0.43</v>
      </c>
      <c r="Q696" s="135">
        <v>1.85</v>
      </c>
      <c r="R696" s="136" t="str">
        <f t="shared" si="1"/>
        <v>OptionStrat</v>
      </c>
      <c r="S696" s="132" t="s">
        <v>865</v>
      </c>
      <c r="T696" s="137"/>
      <c r="U696" s="138">
        <v>0.55</v>
      </c>
    </row>
    <row r="697">
      <c r="A697" s="125" t="s">
        <v>28</v>
      </c>
      <c r="B697" s="125" t="s">
        <v>171</v>
      </c>
      <c r="C697" s="126">
        <v>550.0</v>
      </c>
      <c r="D697" s="126">
        <v>660.0</v>
      </c>
      <c r="E697" s="126">
        <v>110.0</v>
      </c>
      <c r="F697" s="127">
        <v>22.05</v>
      </c>
      <c r="G697" s="127">
        <v>87.95</v>
      </c>
      <c r="H697" s="128">
        <v>3.99</v>
      </c>
      <c r="I697" s="127">
        <v>57.47</v>
      </c>
      <c r="J697" s="128">
        <v>2.61</v>
      </c>
      <c r="K697" s="128">
        <v>0.61</v>
      </c>
      <c r="L697" s="128">
        <v>0.54</v>
      </c>
      <c r="M697" s="126">
        <v>78.0</v>
      </c>
      <c r="N697" s="126">
        <v>14.0</v>
      </c>
      <c r="O697" s="128">
        <v>0.33</v>
      </c>
      <c r="P697" s="128">
        <v>0.3</v>
      </c>
      <c r="Q697" s="128">
        <v>1.83</v>
      </c>
      <c r="R697" s="129" t="str">
        <f t="shared" si="1"/>
        <v>OptionStrat</v>
      </c>
      <c r="S697" s="125" t="s">
        <v>866</v>
      </c>
      <c r="T697" s="125" t="s">
        <v>181</v>
      </c>
      <c r="U697" s="131">
        <v>0.55</v>
      </c>
    </row>
    <row r="698">
      <c r="A698" s="132" t="s">
        <v>28</v>
      </c>
      <c r="B698" s="132" t="s">
        <v>171</v>
      </c>
      <c r="C698" s="133">
        <v>610.0</v>
      </c>
      <c r="D698" s="133">
        <v>670.0</v>
      </c>
      <c r="E698" s="133">
        <v>60.0</v>
      </c>
      <c r="F698" s="134">
        <v>11.0</v>
      </c>
      <c r="G698" s="134">
        <v>49.0</v>
      </c>
      <c r="H698" s="135">
        <v>4.45</v>
      </c>
      <c r="I698" s="134">
        <v>31.67</v>
      </c>
      <c r="J698" s="135">
        <v>2.88</v>
      </c>
      <c r="K698" s="135">
        <v>0.57</v>
      </c>
      <c r="L698" s="135">
        <v>0.53</v>
      </c>
      <c r="M698" s="133">
        <v>26.0</v>
      </c>
      <c r="N698" s="133">
        <v>24.0</v>
      </c>
      <c r="O698" s="135">
        <v>0.25</v>
      </c>
      <c r="P698" s="135">
        <v>0.31</v>
      </c>
      <c r="Q698" s="135">
        <v>1.83</v>
      </c>
      <c r="R698" s="136" t="str">
        <f t="shared" si="1"/>
        <v>OptionStrat</v>
      </c>
      <c r="S698" s="132" t="s">
        <v>867</v>
      </c>
      <c r="T698" s="137"/>
      <c r="U698" s="138">
        <v>0.55</v>
      </c>
    </row>
    <row r="699">
      <c r="A699" s="125" t="s">
        <v>28</v>
      </c>
      <c r="B699" s="125" t="s">
        <v>171</v>
      </c>
      <c r="C699" s="126">
        <v>590.0</v>
      </c>
      <c r="D699" s="126">
        <v>690.0</v>
      </c>
      <c r="E699" s="126">
        <v>100.0</v>
      </c>
      <c r="F699" s="127">
        <v>18.8</v>
      </c>
      <c r="G699" s="127">
        <v>81.2</v>
      </c>
      <c r="H699" s="128">
        <v>4.32</v>
      </c>
      <c r="I699" s="127">
        <v>50.82</v>
      </c>
      <c r="J699" s="128">
        <v>2.7</v>
      </c>
      <c r="K699" s="128">
        <v>0.59</v>
      </c>
      <c r="L699" s="128">
        <v>0.52</v>
      </c>
      <c r="M699" s="126">
        <v>15.0</v>
      </c>
      <c r="N699" s="126">
        <v>49.0</v>
      </c>
      <c r="O699" s="128">
        <v>0.27</v>
      </c>
      <c r="P699" s="128">
        <v>0.39</v>
      </c>
      <c r="Q699" s="128">
        <v>1.82</v>
      </c>
      <c r="R699" s="129" t="str">
        <f t="shared" si="1"/>
        <v>OptionStrat</v>
      </c>
      <c r="S699" s="125" t="s">
        <v>868</v>
      </c>
      <c r="T699" s="130"/>
      <c r="U699" s="131">
        <v>0.55</v>
      </c>
    </row>
    <row r="700">
      <c r="A700" s="132" t="s">
        <v>28</v>
      </c>
      <c r="B700" s="132" t="s">
        <v>171</v>
      </c>
      <c r="C700" s="133">
        <v>620.0</v>
      </c>
      <c r="D700" s="133">
        <v>690.0</v>
      </c>
      <c r="E700" s="133">
        <v>70.0</v>
      </c>
      <c r="F700" s="134">
        <v>12.27</v>
      </c>
      <c r="G700" s="134">
        <v>57.73</v>
      </c>
      <c r="H700" s="135">
        <v>4.7</v>
      </c>
      <c r="I700" s="134">
        <v>36.31</v>
      </c>
      <c r="J700" s="135">
        <v>2.96</v>
      </c>
      <c r="K700" s="135">
        <v>0.56</v>
      </c>
      <c r="L700" s="135">
        <v>0.52</v>
      </c>
      <c r="M700" s="133">
        <v>10.0</v>
      </c>
      <c r="N700" s="133">
        <v>49.0</v>
      </c>
      <c r="O700" s="135">
        <v>0.22</v>
      </c>
      <c r="P700" s="135">
        <v>0.31</v>
      </c>
      <c r="Q700" s="135">
        <v>1.82</v>
      </c>
      <c r="R700" s="136" t="str">
        <f t="shared" si="1"/>
        <v>OptionStrat</v>
      </c>
      <c r="S700" s="132" t="s">
        <v>869</v>
      </c>
      <c r="T700" s="137"/>
      <c r="U700" s="138">
        <v>0.55</v>
      </c>
    </row>
    <row r="701">
      <c r="A701" s="125" t="s">
        <v>28</v>
      </c>
      <c r="B701" s="125" t="s">
        <v>171</v>
      </c>
      <c r="C701" s="126">
        <v>390.0</v>
      </c>
      <c r="D701" s="126">
        <v>420.0</v>
      </c>
      <c r="E701" s="126">
        <v>30.0</v>
      </c>
      <c r="F701" s="127">
        <v>10.53</v>
      </c>
      <c r="G701" s="127">
        <v>19.47</v>
      </c>
      <c r="H701" s="128">
        <v>1.85</v>
      </c>
      <c r="I701" s="127">
        <v>14.27</v>
      </c>
      <c r="J701" s="128">
        <v>1.36</v>
      </c>
      <c r="K701" s="128">
        <v>0.75</v>
      </c>
      <c r="L701" s="128">
        <v>0.72</v>
      </c>
      <c r="M701" s="126">
        <v>48.0</v>
      </c>
      <c r="N701" s="126">
        <v>131.0</v>
      </c>
      <c r="O701" s="128">
        <v>0.79</v>
      </c>
      <c r="P701" s="128">
        <v>0.27</v>
      </c>
      <c r="Q701" s="128">
        <v>1.81</v>
      </c>
      <c r="R701" s="129" t="str">
        <f t="shared" si="1"/>
        <v>OptionStrat</v>
      </c>
      <c r="S701" s="125" t="s">
        <v>870</v>
      </c>
      <c r="T701" s="130"/>
      <c r="U701" s="131">
        <v>0.55</v>
      </c>
    </row>
    <row r="702">
      <c r="A702" s="132" t="s">
        <v>28</v>
      </c>
      <c r="B702" s="132" t="s">
        <v>171</v>
      </c>
      <c r="C702" s="133">
        <v>470.0</v>
      </c>
      <c r="D702" s="133">
        <v>620.0</v>
      </c>
      <c r="E702" s="133">
        <v>150.0</v>
      </c>
      <c r="F702" s="134">
        <v>35.47</v>
      </c>
      <c r="G702" s="134">
        <v>114.53</v>
      </c>
      <c r="H702" s="135">
        <v>3.23</v>
      </c>
      <c r="I702" s="134">
        <v>79.15</v>
      </c>
      <c r="J702" s="135">
        <v>2.23</v>
      </c>
      <c r="K702" s="135">
        <v>0.68</v>
      </c>
      <c r="L702" s="135">
        <v>0.56</v>
      </c>
      <c r="M702" s="133">
        <v>68.0</v>
      </c>
      <c r="N702" s="133">
        <v>10.0</v>
      </c>
      <c r="O702" s="135">
        <v>0.26</v>
      </c>
      <c r="P702" s="135">
        <v>0.29</v>
      </c>
      <c r="Q702" s="135">
        <v>1.81</v>
      </c>
      <c r="R702" s="136" t="str">
        <f t="shared" si="1"/>
        <v>OptionStrat</v>
      </c>
      <c r="S702" s="132" t="s">
        <v>871</v>
      </c>
      <c r="T702" s="137"/>
      <c r="U702" s="138">
        <v>0.55</v>
      </c>
    </row>
    <row r="703">
      <c r="A703" s="125" t="s">
        <v>28</v>
      </c>
      <c r="B703" s="125" t="s">
        <v>171</v>
      </c>
      <c r="C703" s="126">
        <v>560.0</v>
      </c>
      <c r="D703" s="126">
        <v>690.0</v>
      </c>
      <c r="E703" s="126">
        <v>130.0</v>
      </c>
      <c r="F703" s="127">
        <v>24.67</v>
      </c>
      <c r="G703" s="127">
        <v>105.33</v>
      </c>
      <c r="H703" s="128">
        <v>4.27</v>
      </c>
      <c r="I703" s="127">
        <v>65.87</v>
      </c>
      <c r="J703" s="128">
        <v>2.67</v>
      </c>
      <c r="K703" s="128">
        <v>0.61</v>
      </c>
      <c r="L703" s="128">
        <v>0.52</v>
      </c>
      <c r="M703" s="126">
        <v>18.0</v>
      </c>
      <c r="N703" s="126">
        <v>49.0</v>
      </c>
      <c r="O703" s="128">
        <v>0.3</v>
      </c>
      <c r="P703" s="128">
        <v>0.29</v>
      </c>
      <c r="Q703" s="128">
        <v>1.81</v>
      </c>
      <c r="R703" s="129" t="str">
        <f t="shared" si="1"/>
        <v>OptionStrat</v>
      </c>
      <c r="S703" s="125" t="s">
        <v>872</v>
      </c>
      <c r="T703" s="130"/>
      <c r="U703" s="131">
        <v>0.55</v>
      </c>
    </row>
    <row r="704">
      <c r="A704" s="132" t="s">
        <v>28</v>
      </c>
      <c r="B704" s="132" t="s">
        <v>171</v>
      </c>
      <c r="C704" s="133">
        <v>580.0</v>
      </c>
      <c r="D704" s="133">
        <v>660.0</v>
      </c>
      <c r="E704" s="133">
        <v>80.0</v>
      </c>
      <c r="F704" s="134">
        <v>15.33</v>
      </c>
      <c r="G704" s="134">
        <v>64.67</v>
      </c>
      <c r="H704" s="135">
        <v>4.22</v>
      </c>
      <c r="I704" s="134">
        <v>42.38</v>
      </c>
      <c r="J704" s="135">
        <v>2.76</v>
      </c>
      <c r="K704" s="135">
        <v>0.59</v>
      </c>
      <c r="L704" s="135">
        <v>0.54</v>
      </c>
      <c r="M704" s="133">
        <v>50.0</v>
      </c>
      <c r="N704" s="133">
        <v>14.0</v>
      </c>
      <c r="O704" s="135">
        <v>0.26</v>
      </c>
      <c r="P704" s="135">
        <v>0.3</v>
      </c>
      <c r="Q704" s="135">
        <v>1.81</v>
      </c>
      <c r="R704" s="136" t="str">
        <f t="shared" si="1"/>
        <v>OptionStrat</v>
      </c>
      <c r="S704" s="132" t="s">
        <v>873</v>
      </c>
      <c r="T704" s="137"/>
      <c r="U704" s="138">
        <v>0.55</v>
      </c>
    </row>
    <row r="705">
      <c r="A705" s="125" t="s">
        <v>28</v>
      </c>
      <c r="B705" s="125" t="s">
        <v>171</v>
      </c>
      <c r="C705" s="126">
        <v>540.0</v>
      </c>
      <c r="D705" s="126">
        <v>660.0</v>
      </c>
      <c r="E705" s="126">
        <v>120.0</v>
      </c>
      <c r="F705" s="127">
        <v>24.35</v>
      </c>
      <c r="G705" s="127">
        <v>95.65</v>
      </c>
      <c r="H705" s="128">
        <v>3.93</v>
      </c>
      <c r="I705" s="127">
        <v>62.45</v>
      </c>
      <c r="J705" s="128">
        <v>2.56</v>
      </c>
      <c r="K705" s="128">
        <v>0.62</v>
      </c>
      <c r="L705" s="128">
        <v>0.54</v>
      </c>
      <c r="M705" s="126">
        <v>58.0</v>
      </c>
      <c r="N705" s="126">
        <v>14.0</v>
      </c>
      <c r="O705" s="128">
        <v>0.28</v>
      </c>
      <c r="P705" s="128">
        <v>0.29</v>
      </c>
      <c r="Q705" s="128">
        <v>1.8</v>
      </c>
      <c r="R705" s="129" t="str">
        <f t="shared" si="1"/>
        <v>OptionStrat</v>
      </c>
      <c r="S705" s="125" t="s">
        <v>874</v>
      </c>
      <c r="T705" s="130"/>
      <c r="U705" s="131">
        <v>0.55</v>
      </c>
    </row>
    <row r="706">
      <c r="A706" s="132" t="s">
        <v>28</v>
      </c>
      <c r="B706" s="132" t="s">
        <v>171</v>
      </c>
      <c r="C706" s="133">
        <v>550.0</v>
      </c>
      <c r="D706" s="133">
        <v>630.0</v>
      </c>
      <c r="E706" s="133">
        <v>80.0</v>
      </c>
      <c r="F706" s="134">
        <v>16.63</v>
      </c>
      <c r="G706" s="134">
        <v>63.37</v>
      </c>
      <c r="H706" s="135">
        <v>3.81</v>
      </c>
      <c r="I706" s="134">
        <v>43.39</v>
      </c>
      <c r="J706" s="135">
        <v>2.61</v>
      </c>
      <c r="K706" s="135">
        <v>0.61</v>
      </c>
      <c r="L706" s="135">
        <v>0.56</v>
      </c>
      <c r="M706" s="133">
        <v>78.0</v>
      </c>
      <c r="N706" s="133">
        <v>12.0</v>
      </c>
      <c r="O706" s="135">
        <v>0.31</v>
      </c>
      <c r="P706" s="135">
        <v>0.3</v>
      </c>
      <c r="Q706" s="135">
        <v>1.8</v>
      </c>
      <c r="R706" s="136" t="str">
        <f t="shared" si="1"/>
        <v>OptionStrat</v>
      </c>
      <c r="S706" s="132" t="s">
        <v>875</v>
      </c>
      <c r="T706" s="132" t="s">
        <v>181</v>
      </c>
      <c r="U706" s="138">
        <v>0.55</v>
      </c>
    </row>
    <row r="707">
      <c r="A707" s="125" t="s">
        <v>28</v>
      </c>
      <c r="B707" s="125" t="s">
        <v>169</v>
      </c>
      <c r="C707" s="126">
        <v>350.0</v>
      </c>
      <c r="D707" s="126">
        <v>440.0</v>
      </c>
      <c r="E707" s="126">
        <v>90.0</v>
      </c>
      <c r="F707" s="127">
        <v>34.38</v>
      </c>
      <c r="G707" s="127">
        <v>55.62</v>
      </c>
      <c r="H707" s="128">
        <v>1.62</v>
      </c>
      <c r="I707" s="127">
        <v>40.56</v>
      </c>
      <c r="J707" s="128">
        <v>1.18</v>
      </c>
      <c r="K707" s="128">
        <v>0.77</v>
      </c>
      <c r="L707" s="128">
        <v>0.68</v>
      </c>
      <c r="M707" s="126">
        <v>270.0</v>
      </c>
      <c r="N707" s="126">
        <v>208.0</v>
      </c>
      <c r="O707" s="128">
        <v>2.37</v>
      </c>
      <c r="P707" s="128">
        <v>0.42</v>
      </c>
      <c r="Q707" s="128">
        <v>1.79</v>
      </c>
      <c r="R707" s="129" t="str">
        <f t="shared" si="1"/>
        <v>OptionStrat</v>
      </c>
      <c r="S707" s="125" t="s">
        <v>876</v>
      </c>
      <c r="T707" s="130"/>
      <c r="U707" s="131">
        <v>0.55</v>
      </c>
    </row>
    <row r="708">
      <c r="A708" s="132" t="s">
        <v>28</v>
      </c>
      <c r="B708" s="132" t="s">
        <v>169</v>
      </c>
      <c r="C708" s="133">
        <v>380.0</v>
      </c>
      <c r="D708" s="133">
        <v>440.0</v>
      </c>
      <c r="E708" s="133">
        <v>60.0</v>
      </c>
      <c r="F708" s="134">
        <v>21.75</v>
      </c>
      <c r="G708" s="134">
        <v>38.25</v>
      </c>
      <c r="H708" s="135">
        <v>1.76</v>
      </c>
      <c r="I708" s="134">
        <v>27.98</v>
      </c>
      <c r="J708" s="135">
        <v>1.29</v>
      </c>
      <c r="K708" s="135">
        <v>0.74</v>
      </c>
      <c r="L708" s="135">
        <v>0.68</v>
      </c>
      <c r="M708" s="133">
        <v>106.0</v>
      </c>
      <c r="N708" s="133">
        <v>208.0</v>
      </c>
      <c r="O708" s="135">
        <v>1.48</v>
      </c>
      <c r="P708" s="135">
        <v>0.43</v>
      </c>
      <c r="Q708" s="135">
        <v>1.79</v>
      </c>
      <c r="R708" s="136" t="str">
        <f t="shared" si="1"/>
        <v>OptionStrat</v>
      </c>
      <c r="S708" s="132" t="s">
        <v>877</v>
      </c>
      <c r="T708" s="137"/>
      <c r="U708" s="138">
        <v>0.55</v>
      </c>
    </row>
    <row r="709">
      <c r="A709" s="125" t="s">
        <v>28</v>
      </c>
      <c r="B709" s="125" t="s">
        <v>169</v>
      </c>
      <c r="C709" s="126">
        <v>390.0</v>
      </c>
      <c r="D709" s="126">
        <v>440.0</v>
      </c>
      <c r="E709" s="126">
        <v>50.0</v>
      </c>
      <c r="F709" s="127">
        <v>17.95</v>
      </c>
      <c r="G709" s="127">
        <v>32.05</v>
      </c>
      <c r="H709" s="128">
        <v>1.79</v>
      </c>
      <c r="I709" s="127">
        <v>23.46</v>
      </c>
      <c r="J709" s="128">
        <v>1.31</v>
      </c>
      <c r="K709" s="128">
        <v>0.73</v>
      </c>
      <c r="L709" s="128">
        <v>0.68</v>
      </c>
      <c r="M709" s="126">
        <v>92.0</v>
      </c>
      <c r="N709" s="126">
        <v>208.0</v>
      </c>
      <c r="O709" s="128">
        <v>1.38</v>
      </c>
      <c r="P709" s="128">
        <v>0.43</v>
      </c>
      <c r="Q709" s="128">
        <v>1.79</v>
      </c>
      <c r="R709" s="129" t="str">
        <f t="shared" si="1"/>
        <v>OptionStrat</v>
      </c>
      <c r="S709" s="125" t="s">
        <v>878</v>
      </c>
      <c r="T709" s="130"/>
      <c r="U709" s="131">
        <v>0.55</v>
      </c>
    </row>
    <row r="710">
      <c r="A710" s="132" t="s">
        <v>28</v>
      </c>
      <c r="B710" s="132" t="s">
        <v>171</v>
      </c>
      <c r="C710" s="133">
        <v>410.0</v>
      </c>
      <c r="D710" s="133">
        <v>560.0</v>
      </c>
      <c r="E710" s="133">
        <v>150.0</v>
      </c>
      <c r="F710" s="134">
        <v>42.1</v>
      </c>
      <c r="G710" s="134">
        <v>107.9</v>
      </c>
      <c r="H710" s="135">
        <v>2.56</v>
      </c>
      <c r="I710" s="134">
        <v>79.9</v>
      </c>
      <c r="J710" s="135">
        <v>1.9</v>
      </c>
      <c r="K710" s="135">
        <v>0.73</v>
      </c>
      <c r="L710" s="135">
        <v>0.61</v>
      </c>
      <c r="M710" s="133">
        <v>54.0</v>
      </c>
      <c r="N710" s="133">
        <v>18.0</v>
      </c>
      <c r="O710" s="135">
        <v>0.31</v>
      </c>
      <c r="P710" s="135">
        <v>0.27</v>
      </c>
      <c r="Q710" s="135">
        <v>1.79</v>
      </c>
      <c r="R710" s="136" t="str">
        <f t="shared" si="1"/>
        <v>OptionStrat</v>
      </c>
      <c r="S710" s="132" t="s">
        <v>879</v>
      </c>
      <c r="T710" s="137"/>
      <c r="U710" s="138">
        <v>0.56</v>
      </c>
    </row>
    <row r="711">
      <c r="A711" s="125" t="s">
        <v>28</v>
      </c>
      <c r="B711" s="125" t="s">
        <v>171</v>
      </c>
      <c r="C711" s="126">
        <v>510.0</v>
      </c>
      <c r="D711" s="126">
        <v>630.0</v>
      </c>
      <c r="E711" s="126">
        <v>120.0</v>
      </c>
      <c r="F711" s="127">
        <v>26.35</v>
      </c>
      <c r="G711" s="127">
        <v>93.65</v>
      </c>
      <c r="H711" s="128">
        <v>3.55</v>
      </c>
      <c r="I711" s="127">
        <v>63.92</v>
      </c>
      <c r="J711" s="128">
        <v>2.43</v>
      </c>
      <c r="K711" s="128">
        <v>0.64</v>
      </c>
      <c r="L711" s="128">
        <v>0.56</v>
      </c>
      <c r="M711" s="126">
        <v>45.0</v>
      </c>
      <c r="N711" s="126">
        <v>12.0</v>
      </c>
      <c r="O711" s="128">
        <v>0.23</v>
      </c>
      <c r="P711" s="128">
        <v>0.29</v>
      </c>
      <c r="Q711" s="128">
        <v>1.79</v>
      </c>
      <c r="R711" s="129" t="str">
        <f t="shared" si="1"/>
        <v>OptionStrat</v>
      </c>
      <c r="S711" s="125" t="s">
        <v>880</v>
      </c>
      <c r="T711" s="130"/>
      <c r="U711" s="131">
        <v>0.55</v>
      </c>
    </row>
    <row r="712">
      <c r="A712" s="132" t="s">
        <v>28</v>
      </c>
      <c r="B712" s="132" t="s">
        <v>171</v>
      </c>
      <c r="C712" s="133">
        <v>540.0</v>
      </c>
      <c r="D712" s="133">
        <v>630.0</v>
      </c>
      <c r="E712" s="133">
        <v>90.0</v>
      </c>
      <c r="F712" s="134">
        <v>18.93</v>
      </c>
      <c r="G712" s="134">
        <v>71.07</v>
      </c>
      <c r="H712" s="135">
        <v>3.75</v>
      </c>
      <c r="I712" s="134">
        <v>48.63</v>
      </c>
      <c r="J712" s="135">
        <v>2.57</v>
      </c>
      <c r="K712" s="135">
        <v>0.62</v>
      </c>
      <c r="L712" s="135">
        <v>0.56</v>
      </c>
      <c r="M712" s="133">
        <v>58.0</v>
      </c>
      <c r="N712" s="133">
        <v>12.0</v>
      </c>
      <c r="O712" s="135">
        <v>0.26</v>
      </c>
      <c r="P712" s="135">
        <v>0.29</v>
      </c>
      <c r="Q712" s="135">
        <v>1.79</v>
      </c>
      <c r="R712" s="136" t="str">
        <f t="shared" si="1"/>
        <v>OptionStrat</v>
      </c>
      <c r="S712" s="132" t="s">
        <v>881</v>
      </c>
      <c r="T712" s="137"/>
      <c r="U712" s="138">
        <v>0.55</v>
      </c>
    </row>
    <row r="713">
      <c r="A713" s="125" t="s">
        <v>28</v>
      </c>
      <c r="B713" s="125" t="s">
        <v>171</v>
      </c>
      <c r="C713" s="126">
        <v>560.0</v>
      </c>
      <c r="D713" s="126">
        <v>580.0</v>
      </c>
      <c r="E713" s="126">
        <v>20.0</v>
      </c>
      <c r="F713" s="127">
        <v>4.38</v>
      </c>
      <c r="G713" s="127">
        <v>15.62</v>
      </c>
      <c r="H713" s="128">
        <v>3.57</v>
      </c>
      <c r="I713" s="127">
        <v>11.59</v>
      </c>
      <c r="J713" s="128">
        <v>2.65</v>
      </c>
      <c r="K713" s="128">
        <v>0.61</v>
      </c>
      <c r="L713" s="128">
        <v>0.59</v>
      </c>
      <c r="M713" s="126">
        <v>18.0</v>
      </c>
      <c r="N713" s="126">
        <v>50.0</v>
      </c>
      <c r="O713" s="128">
        <v>0.3</v>
      </c>
      <c r="P713" s="128">
        <v>0.28</v>
      </c>
      <c r="Q713" s="128">
        <v>1.79</v>
      </c>
      <c r="R713" s="129" t="str">
        <f t="shared" si="1"/>
        <v>OptionStrat</v>
      </c>
      <c r="S713" s="125" t="s">
        <v>882</v>
      </c>
      <c r="T713" s="130"/>
      <c r="U713" s="131">
        <v>0.55</v>
      </c>
    </row>
    <row r="714">
      <c r="A714" s="132" t="s">
        <v>28</v>
      </c>
      <c r="B714" s="132" t="s">
        <v>171</v>
      </c>
      <c r="C714" s="133">
        <v>580.0</v>
      </c>
      <c r="D714" s="133">
        <v>630.0</v>
      </c>
      <c r="E714" s="133">
        <v>50.0</v>
      </c>
      <c r="F714" s="134">
        <v>9.9</v>
      </c>
      <c r="G714" s="134">
        <v>40.1</v>
      </c>
      <c r="H714" s="135">
        <v>4.05</v>
      </c>
      <c r="I714" s="134">
        <v>27.52</v>
      </c>
      <c r="J714" s="135">
        <v>2.78</v>
      </c>
      <c r="K714" s="135">
        <v>0.59</v>
      </c>
      <c r="L714" s="135">
        <v>0.56</v>
      </c>
      <c r="M714" s="133">
        <v>50.0</v>
      </c>
      <c r="N714" s="133">
        <v>12.0</v>
      </c>
      <c r="O714" s="135">
        <v>0.24</v>
      </c>
      <c r="P714" s="135">
        <v>0.29</v>
      </c>
      <c r="Q714" s="135">
        <v>1.79</v>
      </c>
      <c r="R714" s="136" t="str">
        <f t="shared" si="1"/>
        <v>OptionStrat</v>
      </c>
      <c r="S714" s="132" t="s">
        <v>883</v>
      </c>
      <c r="T714" s="137"/>
      <c r="U714" s="138">
        <v>0.55</v>
      </c>
    </row>
    <row r="715">
      <c r="A715" s="125" t="s">
        <v>28</v>
      </c>
      <c r="B715" s="125" t="s">
        <v>171</v>
      </c>
      <c r="C715" s="126">
        <v>610.0</v>
      </c>
      <c r="D715" s="126">
        <v>630.0</v>
      </c>
      <c r="E715" s="126">
        <v>20.0</v>
      </c>
      <c r="F715" s="127">
        <v>3.72</v>
      </c>
      <c r="G715" s="127">
        <v>16.28</v>
      </c>
      <c r="H715" s="128">
        <v>4.38</v>
      </c>
      <c r="I715" s="127">
        <v>11.2</v>
      </c>
      <c r="J715" s="128">
        <v>3.01</v>
      </c>
      <c r="K715" s="128">
        <v>0.57</v>
      </c>
      <c r="L715" s="128">
        <v>0.56</v>
      </c>
      <c r="M715" s="126">
        <v>26.0</v>
      </c>
      <c r="N715" s="126">
        <v>12.0</v>
      </c>
      <c r="O715" s="128">
        <v>0.18</v>
      </c>
      <c r="P715" s="128">
        <v>0.31</v>
      </c>
      <c r="Q715" s="128">
        <v>1.79</v>
      </c>
      <c r="R715" s="129" t="str">
        <f t="shared" si="1"/>
        <v>OptionStrat</v>
      </c>
      <c r="S715" s="125" t="s">
        <v>884</v>
      </c>
      <c r="T715" s="130"/>
      <c r="U715" s="131">
        <v>0.55</v>
      </c>
    </row>
    <row r="716">
      <c r="A716" s="132" t="s">
        <v>28</v>
      </c>
      <c r="B716" s="132" t="s">
        <v>169</v>
      </c>
      <c r="C716" s="133">
        <v>360.0</v>
      </c>
      <c r="D716" s="133">
        <v>440.0</v>
      </c>
      <c r="E716" s="133">
        <v>80.0</v>
      </c>
      <c r="F716" s="134">
        <v>30.05</v>
      </c>
      <c r="G716" s="134">
        <v>49.95</v>
      </c>
      <c r="H716" s="135">
        <v>1.66</v>
      </c>
      <c r="I716" s="134">
        <v>36.46</v>
      </c>
      <c r="J716" s="135">
        <v>1.21</v>
      </c>
      <c r="K716" s="135">
        <v>0.76</v>
      </c>
      <c r="L716" s="135">
        <v>0.68</v>
      </c>
      <c r="M716" s="133">
        <v>183.0</v>
      </c>
      <c r="N716" s="133">
        <v>208.0</v>
      </c>
      <c r="O716" s="135">
        <v>1.95</v>
      </c>
      <c r="P716" s="135">
        <v>0.43</v>
      </c>
      <c r="Q716" s="135">
        <v>1.78</v>
      </c>
      <c r="R716" s="136" t="str">
        <f t="shared" si="1"/>
        <v>OptionStrat</v>
      </c>
      <c r="S716" s="132" t="s">
        <v>885</v>
      </c>
      <c r="T716" s="137"/>
      <c r="U716" s="138">
        <v>0.55</v>
      </c>
    </row>
    <row r="717">
      <c r="A717" s="125" t="s">
        <v>28</v>
      </c>
      <c r="B717" s="125" t="s">
        <v>171</v>
      </c>
      <c r="C717" s="126">
        <v>370.0</v>
      </c>
      <c r="D717" s="126">
        <v>420.0</v>
      </c>
      <c r="E717" s="126">
        <v>50.0</v>
      </c>
      <c r="F717" s="127">
        <v>18.25</v>
      </c>
      <c r="G717" s="127">
        <v>31.75</v>
      </c>
      <c r="H717" s="128">
        <v>1.74</v>
      </c>
      <c r="I717" s="127">
        <v>23.22</v>
      </c>
      <c r="J717" s="128">
        <v>1.27</v>
      </c>
      <c r="K717" s="128">
        <v>0.76</v>
      </c>
      <c r="L717" s="128">
        <v>0.72</v>
      </c>
      <c r="M717" s="126">
        <v>74.0</v>
      </c>
      <c r="N717" s="126">
        <v>131.0</v>
      </c>
      <c r="O717" s="128">
        <v>0.98</v>
      </c>
      <c r="P717" s="128">
        <v>0.27</v>
      </c>
      <c r="Q717" s="128">
        <v>1.77</v>
      </c>
      <c r="R717" s="129" t="str">
        <f t="shared" si="1"/>
        <v>OptionStrat</v>
      </c>
      <c r="S717" s="125" t="s">
        <v>886</v>
      </c>
      <c r="T717" s="130"/>
      <c r="U717" s="131">
        <v>0.55</v>
      </c>
    </row>
    <row r="718">
      <c r="A718" s="132" t="s">
        <v>28</v>
      </c>
      <c r="B718" s="132" t="s">
        <v>171</v>
      </c>
      <c r="C718" s="133">
        <v>510.0</v>
      </c>
      <c r="D718" s="133">
        <v>620.0</v>
      </c>
      <c r="E718" s="133">
        <v>110.0</v>
      </c>
      <c r="F718" s="134">
        <v>24.48</v>
      </c>
      <c r="G718" s="134">
        <v>85.52</v>
      </c>
      <c r="H718" s="135">
        <v>3.49</v>
      </c>
      <c r="I718" s="134">
        <v>59.31</v>
      </c>
      <c r="J718" s="135">
        <v>2.42</v>
      </c>
      <c r="K718" s="135">
        <v>0.64</v>
      </c>
      <c r="L718" s="135">
        <v>0.56</v>
      </c>
      <c r="M718" s="133">
        <v>45.0</v>
      </c>
      <c r="N718" s="133">
        <v>10.0</v>
      </c>
      <c r="O718" s="135">
        <v>0.21</v>
      </c>
      <c r="P718" s="135">
        <v>0.29</v>
      </c>
      <c r="Q718" s="135">
        <v>1.77</v>
      </c>
      <c r="R718" s="136" t="str">
        <f t="shared" si="1"/>
        <v>OptionStrat</v>
      </c>
      <c r="S718" s="132" t="s">
        <v>887</v>
      </c>
      <c r="T718" s="137"/>
      <c r="U718" s="138">
        <v>0.55</v>
      </c>
    </row>
    <row r="719">
      <c r="A719" s="125" t="s">
        <v>28</v>
      </c>
      <c r="B719" s="125" t="s">
        <v>171</v>
      </c>
      <c r="C719" s="126">
        <v>510.0</v>
      </c>
      <c r="D719" s="126">
        <v>660.0</v>
      </c>
      <c r="E719" s="126">
        <v>150.0</v>
      </c>
      <c r="F719" s="127">
        <v>31.78</v>
      </c>
      <c r="G719" s="127">
        <v>118.22</v>
      </c>
      <c r="H719" s="128">
        <v>3.72</v>
      </c>
      <c r="I719" s="127">
        <v>76.95</v>
      </c>
      <c r="J719" s="128">
        <v>2.42</v>
      </c>
      <c r="K719" s="128">
        <v>0.64</v>
      </c>
      <c r="L719" s="128">
        <v>0.54</v>
      </c>
      <c r="M719" s="126">
        <v>45.0</v>
      </c>
      <c r="N719" s="126">
        <v>14.0</v>
      </c>
      <c r="O719" s="128">
        <v>0.25</v>
      </c>
      <c r="P719" s="128">
        <v>0.29</v>
      </c>
      <c r="Q719" s="128">
        <v>1.77</v>
      </c>
      <c r="R719" s="129" t="str">
        <f t="shared" si="1"/>
        <v>OptionStrat</v>
      </c>
      <c r="S719" s="125" t="s">
        <v>888</v>
      </c>
      <c r="T719" s="130"/>
      <c r="U719" s="131">
        <v>0.55</v>
      </c>
    </row>
    <row r="720">
      <c r="A720" s="132" t="s">
        <v>28</v>
      </c>
      <c r="B720" s="132" t="s">
        <v>171</v>
      </c>
      <c r="C720" s="133">
        <v>540.0</v>
      </c>
      <c r="D720" s="133">
        <v>620.0</v>
      </c>
      <c r="E720" s="133">
        <v>80.0</v>
      </c>
      <c r="F720" s="134">
        <v>17.05</v>
      </c>
      <c r="G720" s="134">
        <v>62.95</v>
      </c>
      <c r="H720" s="135">
        <v>3.69</v>
      </c>
      <c r="I720" s="134">
        <v>43.75</v>
      </c>
      <c r="J720" s="135">
        <v>2.57</v>
      </c>
      <c r="K720" s="135">
        <v>0.62</v>
      </c>
      <c r="L720" s="135">
        <v>0.56</v>
      </c>
      <c r="M720" s="133">
        <v>58.0</v>
      </c>
      <c r="N720" s="133">
        <v>10.0</v>
      </c>
      <c r="O720" s="135">
        <v>0.24</v>
      </c>
      <c r="P720" s="135">
        <v>0.29</v>
      </c>
      <c r="Q720" s="135">
        <v>1.77</v>
      </c>
      <c r="R720" s="136" t="str">
        <f t="shared" si="1"/>
        <v>OptionStrat</v>
      </c>
      <c r="S720" s="132" t="s">
        <v>889</v>
      </c>
      <c r="T720" s="137"/>
      <c r="U720" s="138">
        <v>0.55</v>
      </c>
    </row>
    <row r="721">
      <c r="A721" s="125" t="s">
        <v>28</v>
      </c>
      <c r="B721" s="125" t="s">
        <v>171</v>
      </c>
      <c r="C721" s="126">
        <v>550.0</v>
      </c>
      <c r="D721" s="126">
        <v>620.0</v>
      </c>
      <c r="E721" s="126">
        <v>70.0</v>
      </c>
      <c r="F721" s="127">
        <v>14.75</v>
      </c>
      <c r="G721" s="127">
        <v>55.25</v>
      </c>
      <c r="H721" s="128">
        <v>3.75</v>
      </c>
      <c r="I721" s="127">
        <v>38.42</v>
      </c>
      <c r="J721" s="128">
        <v>2.6</v>
      </c>
      <c r="K721" s="128">
        <v>0.61</v>
      </c>
      <c r="L721" s="128">
        <v>0.56</v>
      </c>
      <c r="M721" s="126">
        <v>78.0</v>
      </c>
      <c r="N721" s="126">
        <v>10.0</v>
      </c>
      <c r="O721" s="128">
        <v>0.28</v>
      </c>
      <c r="P721" s="128">
        <v>0.3</v>
      </c>
      <c r="Q721" s="128">
        <v>1.77</v>
      </c>
      <c r="R721" s="129" t="str">
        <f t="shared" si="1"/>
        <v>OptionStrat</v>
      </c>
      <c r="S721" s="125" t="s">
        <v>890</v>
      </c>
      <c r="T721" s="125" t="s">
        <v>181</v>
      </c>
      <c r="U721" s="131">
        <v>0.55</v>
      </c>
    </row>
    <row r="722">
      <c r="A722" s="132" t="s">
        <v>28</v>
      </c>
      <c r="B722" s="132" t="s">
        <v>171</v>
      </c>
      <c r="C722" s="133">
        <v>610.0</v>
      </c>
      <c r="D722" s="133">
        <v>660.0</v>
      </c>
      <c r="E722" s="133">
        <v>50.0</v>
      </c>
      <c r="F722" s="134">
        <v>9.15</v>
      </c>
      <c r="G722" s="134">
        <v>40.85</v>
      </c>
      <c r="H722" s="135">
        <v>4.46</v>
      </c>
      <c r="I722" s="134">
        <v>26.84</v>
      </c>
      <c r="J722" s="135">
        <v>2.93</v>
      </c>
      <c r="K722" s="135">
        <v>0.57</v>
      </c>
      <c r="L722" s="135">
        <v>0.54</v>
      </c>
      <c r="M722" s="133">
        <v>26.0</v>
      </c>
      <c r="N722" s="133">
        <v>14.0</v>
      </c>
      <c r="O722" s="135">
        <v>0.19</v>
      </c>
      <c r="P722" s="135">
        <v>0.32</v>
      </c>
      <c r="Q722" s="135">
        <v>1.77</v>
      </c>
      <c r="R722" s="136" t="str">
        <f t="shared" si="1"/>
        <v>OptionStrat</v>
      </c>
      <c r="S722" s="132" t="s">
        <v>891</v>
      </c>
      <c r="T722" s="137"/>
      <c r="U722" s="138">
        <v>0.55</v>
      </c>
    </row>
    <row r="723">
      <c r="A723" s="125" t="s">
        <v>28</v>
      </c>
      <c r="B723" s="125" t="s">
        <v>171</v>
      </c>
      <c r="C723" s="126">
        <v>580.0</v>
      </c>
      <c r="D723" s="126">
        <v>620.0</v>
      </c>
      <c r="E723" s="126">
        <v>40.0</v>
      </c>
      <c r="F723" s="127">
        <v>8.03</v>
      </c>
      <c r="G723" s="127">
        <v>31.97</v>
      </c>
      <c r="H723" s="128">
        <v>3.98</v>
      </c>
      <c r="I723" s="127">
        <v>22.28</v>
      </c>
      <c r="J723" s="128">
        <v>2.78</v>
      </c>
      <c r="K723" s="128">
        <v>0.59</v>
      </c>
      <c r="L723" s="128">
        <v>0.56</v>
      </c>
      <c r="M723" s="126">
        <v>50.0</v>
      </c>
      <c r="N723" s="126">
        <v>10.0</v>
      </c>
      <c r="O723" s="128">
        <v>0.22</v>
      </c>
      <c r="P723" s="128">
        <v>0.29</v>
      </c>
      <c r="Q723" s="128">
        <v>1.76</v>
      </c>
      <c r="R723" s="129" t="str">
        <f t="shared" si="1"/>
        <v>OptionStrat</v>
      </c>
      <c r="S723" s="125" t="s">
        <v>892</v>
      </c>
      <c r="T723" s="130"/>
      <c r="U723" s="131">
        <v>0.55</v>
      </c>
    </row>
    <row r="724">
      <c r="A724" s="132" t="s">
        <v>28</v>
      </c>
      <c r="B724" s="132" t="s">
        <v>169</v>
      </c>
      <c r="C724" s="133">
        <v>350.0</v>
      </c>
      <c r="D724" s="133">
        <v>430.0</v>
      </c>
      <c r="E724" s="133">
        <v>80.0</v>
      </c>
      <c r="F724" s="134">
        <v>31.05</v>
      </c>
      <c r="G724" s="134">
        <v>48.95</v>
      </c>
      <c r="H724" s="135">
        <v>1.58</v>
      </c>
      <c r="I724" s="134">
        <v>35.65</v>
      </c>
      <c r="J724" s="135">
        <v>1.15</v>
      </c>
      <c r="K724" s="135">
        <v>0.77</v>
      </c>
      <c r="L724" s="135">
        <v>0.69</v>
      </c>
      <c r="M724" s="133">
        <v>270.0</v>
      </c>
      <c r="N724" s="133">
        <v>230.0</v>
      </c>
      <c r="O724" s="135">
        <v>2.49</v>
      </c>
      <c r="P724" s="135">
        <v>0.43</v>
      </c>
      <c r="Q724" s="135">
        <v>1.75</v>
      </c>
      <c r="R724" s="136" t="str">
        <f t="shared" si="1"/>
        <v>OptionStrat</v>
      </c>
      <c r="S724" s="132" t="s">
        <v>893</v>
      </c>
      <c r="T724" s="137"/>
      <c r="U724" s="138">
        <v>0.55</v>
      </c>
    </row>
    <row r="725">
      <c r="A725" s="125" t="s">
        <v>28</v>
      </c>
      <c r="B725" s="125" t="s">
        <v>169</v>
      </c>
      <c r="C725" s="126">
        <v>380.0</v>
      </c>
      <c r="D725" s="126">
        <v>430.0</v>
      </c>
      <c r="E725" s="126">
        <v>50.0</v>
      </c>
      <c r="F725" s="127">
        <v>18.42</v>
      </c>
      <c r="G725" s="127">
        <v>31.58</v>
      </c>
      <c r="H725" s="128">
        <v>1.71</v>
      </c>
      <c r="I725" s="127">
        <v>23.08</v>
      </c>
      <c r="J725" s="128">
        <v>1.25</v>
      </c>
      <c r="K725" s="128">
        <v>0.74</v>
      </c>
      <c r="L725" s="128">
        <v>0.69</v>
      </c>
      <c r="M725" s="126">
        <v>106.0</v>
      </c>
      <c r="N725" s="126">
        <v>230.0</v>
      </c>
      <c r="O725" s="128">
        <v>1.56</v>
      </c>
      <c r="P725" s="128">
        <v>0.44</v>
      </c>
      <c r="Q725" s="128">
        <v>1.74</v>
      </c>
      <c r="R725" s="129" t="str">
        <f t="shared" si="1"/>
        <v>OptionStrat</v>
      </c>
      <c r="S725" s="125" t="s">
        <v>894</v>
      </c>
      <c r="T725" s="130"/>
      <c r="U725" s="131">
        <v>0.55</v>
      </c>
    </row>
    <row r="726">
      <c r="A726" s="132" t="s">
        <v>28</v>
      </c>
      <c r="B726" s="132" t="s">
        <v>169</v>
      </c>
      <c r="C726" s="133">
        <v>390.0</v>
      </c>
      <c r="D726" s="133">
        <v>430.0</v>
      </c>
      <c r="E726" s="133">
        <v>40.0</v>
      </c>
      <c r="F726" s="134">
        <v>14.63</v>
      </c>
      <c r="G726" s="134">
        <v>25.37</v>
      </c>
      <c r="H726" s="135">
        <v>1.73</v>
      </c>
      <c r="I726" s="134">
        <v>18.55</v>
      </c>
      <c r="J726" s="135">
        <v>1.27</v>
      </c>
      <c r="K726" s="135">
        <v>0.73</v>
      </c>
      <c r="L726" s="135">
        <v>0.69</v>
      </c>
      <c r="M726" s="133">
        <v>92.0</v>
      </c>
      <c r="N726" s="133">
        <v>230.0</v>
      </c>
      <c r="O726" s="135">
        <v>1.45</v>
      </c>
      <c r="P726" s="135">
        <v>0.43</v>
      </c>
      <c r="Q726" s="135">
        <v>1.74</v>
      </c>
      <c r="R726" s="136" t="str">
        <f t="shared" si="1"/>
        <v>OptionStrat</v>
      </c>
      <c r="S726" s="132" t="s">
        <v>895</v>
      </c>
      <c r="T726" s="137"/>
      <c r="U726" s="138">
        <v>0.55</v>
      </c>
    </row>
    <row r="727">
      <c r="A727" s="125" t="s">
        <v>28</v>
      </c>
      <c r="B727" s="125" t="s">
        <v>169</v>
      </c>
      <c r="C727" s="126">
        <v>350.0</v>
      </c>
      <c r="D727" s="126">
        <v>420.0</v>
      </c>
      <c r="E727" s="126">
        <v>70.0</v>
      </c>
      <c r="F727" s="127">
        <v>27.55</v>
      </c>
      <c r="G727" s="127">
        <v>42.45</v>
      </c>
      <c r="H727" s="128">
        <v>1.54</v>
      </c>
      <c r="I727" s="127">
        <v>30.88</v>
      </c>
      <c r="J727" s="128">
        <v>1.12</v>
      </c>
      <c r="K727" s="128">
        <v>0.77</v>
      </c>
      <c r="L727" s="128">
        <v>0.7</v>
      </c>
      <c r="M727" s="126">
        <v>270.0</v>
      </c>
      <c r="N727" s="126">
        <v>290.0</v>
      </c>
      <c r="O727" s="128">
        <v>2.8</v>
      </c>
      <c r="P727" s="128">
        <v>0.43</v>
      </c>
      <c r="Q727" s="128">
        <v>1.73</v>
      </c>
      <c r="R727" s="129" t="str">
        <f t="shared" si="1"/>
        <v>OptionStrat</v>
      </c>
      <c r="S727" s="125" t="s">
        <v>896</v>
      </c>
      <c r="T727" s="130"/>
      <c r="U727" s="131">
        <v>0.55</v>
      </c>
    </row>
    <row r="728">
      <c r="A728" s="132" t="s">
        <v>28</v>
      </c>
      <c r="B728" s="132" t="s">
        <v>169</v>
      </c>
      <c r="C728" s="133">
        <v>360.0</v>
      </c>
      <c r="D728" s="133">
        <v>430.0</v>
      </c>
      <c r="E728" s="133">
        <v>70.0</v>
      </c>
      <c r="F728" s="134">
        <v>26.72</v>
      </c>
      <c r="G728" s="134">
        <v>43.28</v>
      </c>
      <c r="H728" s="135">
        <v>1.62</v>
      </c>
      <c r="I728" s="134">
        <v>31.55</v>
      </c>
      <c r="J728" s="135">
        <v>1.18</v>
      </c>
      <c r="K728" s="135">
        <v>0.76</v>
      </c>
      <c r="L728" s="135">
        <v>0.69</v>
      </c>
      <c r="M728" s="133">
        <v>183.0</v>
      </c>
      <c r="N728" s="133">
        <v>230.0</v>
      </c>
      <c r="O728" s="135">
        <v>2.05</v>
      </c>
      <c r="P728" s="135">
        <v>0.43</v>
      </c>
      <c r="Q728" s="135">
        <v>1.73</v>
      </c>
      <c r="R728" s="136" t="str">
        <f t="shared" si="1"/>
        <v>OptionStrat</v>
      </c>
      <c r="S728" s="132" t="s">
        <v>897</v>
      </c>
      <c r="T728" s="137"/>
      <c r="U728" s="138">
        <v>0.55</v>
      </c>
    </row>
    <row r="729">
      <c r="A729" s="125" t="s">
        <v>28</v>
      </c>
      <c r="B729" s="125" t="s">
        <v>169</v>
      </c>
      <c r="C729" s="126">
        <v>380.0</v>
      </c>
      <c r="D729" s="126">
        <v>420.0</v>
      </c>
      <c r="E729" s="126">
        <v>40.0</v>
      </c>
      <c r="F729" s="127">
        <v>14.92</v>
      </c>
      <c r="G729" s="127">
        <v>25.08</v>
      </c>
      <c r="H729" s="128">
        <v>1.68</v>
      </c>
      <c r="I729" s="127">
        <v>18.31</v>
      </c>
      <c r="J729" s="128">
        <v>1.23</v>
      </c>
      <c r="K729" s="128">
        <v>0.74</v>
      </c>
      <c r="L729" s="128">
        <v>0.7</v>
      </c>
      <c r="M729" s="126">
        <v>106.0</v>
      </c>
      <c r="N729" s="126">
        <v>290.0</v>
      </c>
      <c r="O729" s="128">
        <v>1.75</v>
      </c>
      <c r="P729" s="128">
        <v>0.44</v>
      </c>
      <c r="Q729" s="128">
        <v>1.73</v>
      </c>
      <c r="R729" s="129" t="str">
        <f t="shared" si="1"/>
        <v>OptionStrat</v>
      </c>
      <c r="S729" s="125" t="s">
        <v>898</v>
      </c>
      <c r="T729" s="130"/>
      <c r="U729" s="131">
        <v>0.55</v>
      </c>
    </row>
    <row r="730">
      <c r="A730" s="132" t="s">
        <v>28</v>
      </c>
      <c r="B730" s="132" t="s">
        <v>171</v>
      </c>
      <c r="C730" s="133">
        <v>350.0</v>
      </c>
      <c r="D730" s="133">
        <v>420.0</v>
      </c>
      <c r="E730" s="133">
        <v>70.0</v>
      </c>
      <c r="F730" s="134">
        <v>26.25</v>
      </c>
      <c r="G730" s="134">
        <v>43.75</v>
      </c>
      <c r="H730" s="135">
        <v>1.67</v>
      </c>
      <c r="I730" s="134">
        <v>31.94</v>
      </c>
      <c r="J730" s="135">
        <v>1.22</v>
      </c>
      <c r="K730" s="135">
        <v>0.78</v>
      </c>
      <c r="L730" s="135">
        <v>0.72</v>
      </c>
      <c r="M730" s="133">
        <v>96.0</v>
      </c>
      <c r="N730" s="133">
        <v>131.0</v>
      </c>
      <c r="O730" s="135">
        <v>1.12</v>
      </c>
      <c r="P730" s="135">
        <v>0.27</v>
      </c>
      <c r="Q730" s="135">
        <v>1.73</v>
      </c>
      <c r="R730" s="136" t="str">
        <f t="shared" si="1"/>
        <v>OptionStrat</v>
      </c>
      <c r="S730" s="132" t="s">
        <v>899</v>
      </c>
      <c r="T730" s="137"/>
      <c r="U730" s="138">
        <v>0.56</v>
      </c>
    </row>
    <row r="731">
      <c r="A731" s="125" t="s">
        <v>28</v>
      </c>
      <c r="B731" s="125" t="s">
        <v>169</v>
      </c>
      <c r="C731" s="126">
        <v>360.0</v>
      </c>
      <c r="D731" s="126">
        <v>420.0</v>
      </c>
      <c r="E731" s="126">
        <v>60.0</v>
      </c>
      <c r="F731" s="127">
        <v>23.22</v>
      </c>
      <c r="G731" s="127">
        <v>36.78</v>
      </c>
      <c r="H731" s="128">
        <v>1.58</v>
      </c>
      <c r="I731" s="127">
        <v>26.79</v>
      </c>
      <c r="J731" s="128">
        <v>1.15</v>
      </c>
      <c r="K731" s="128">
        <v>0.76</v>
      </c>
      <c r="L731" s="128">
        <v>0.7</v>
      </c>
      <c r="M731" s="126">
        <v>183.0</v>
      </c>
      <c r="N731" s="126">
        <v>290.0</v>
      </c>
      <c r="O731" s="128">
        <v>2.3</v>
      </c>
      <c r="P731" s="128">
        <v>0.43</v>
      </c>
      <c r="Q731" s="128">
        <v>1.72</v>
      </c>
      <c r="R731" s="129" t="str">
        <f t="shared" si="1"/>
        <v>OptionStrat</v>
      </c>
      <c r="S731" s="125" t="s">
        <v>900</v>
      </c>
      <c r="T731" s="130"/>
      <c r="U731" s="131">
        <v>0.55</v>
      </c>
    </row>
    <row r="732">
      <c r="A732" s="132" t="s">
        <v>28</v>
      </c>
      <c r="B732" s="132" t="s">
        <v>169</v>
      </c>
      <c r="C732" s="133">
        <v>390.0</v>
      </c>
      <c r="D732" s="133">
        <v>420.0</v>
      </c>
      <c r="E732" s="133">
        <v>30.0</v>
      </c>
      <c r="F732" s="134">
        <v>11.13</v>
      </c>
      <c r="G732" s="134">
        <v>18.87</v>
      </c>
      <c r="H732" s="135">
        <v>1.7</v>
      </c>
      <c r="I732" s="134">
        <v>13.79</v>
      </c>
      <c r="J732" s="135">
        <v>1.24</v>
      </c>
      <c r="K732" s="135">
        <v>0.73</v>
      </c>
      <c r="L732" s="135">
        <v>0.7</v>
      </c>
      <c r="M732" s="133">
        <v>92.0</v>
      </c>
      <c r="N732" s="133">
        <v>290.0</v>
      </c>
      <c r="O732" s="135">
        <v>1.63</v>
      </c>
      <c r="P732" s="135">
        <v>0.43</v>
      </c>
      <c r="Q732" s="135">
        <v>1.72</v>
      </c>
      <c r="R732" s="136" t="str">
        <f t="shared" si="1"/>
        <v>OptionStrat</v>
      </c>
      <c r="S732" s="132" t="s">
        <v>901</v>
      </c>
      <c r="T732" s="137"/>
      <c r="U732" s="138">
        <v>0.55</v>
      </c>
    </row>
    <row r="733">
      <c r="A733" s="125" t="s">
        <v>28</v>
      </c>
      <c r="B733" s="125" t="s">
        <v>169</v>
      </c>
      <c r="C733" s="126">
        <v>370.0</v>
      </c>
      <c r="D733" s="126">
        <v>410.0</v>
      </c>
      <c r="E733" s="126">
        <v>40.0</v>
      </c>
      <c r="F733" s="127">
        <v>15.55</v>
      </c>
      <c r="G733" s="127">
        <v>24.45</v>
      </c>
      <c r="H733" s="128">
        <v>1.57</v>
      </c>
      <c r="I733" s="127">
        <v>17.8</v>
      </c>
      <c r="J733" s="128">
        <v>1.14</v>
      </c>
      <c r="K733" s="128">
        <v>0.75</v>
      </c>
      <c r="L733" s="128">
        <v>0.71</v>
      </c>
      <c r="M733" s="126">
        <v>326.0</v>
      </c>
      <c r="N733" s="126">
        <v>194.0</v>
      </c>
      <c r="O733" s="128">
        <v>2.51</v>
      </c>
      <c r="P733" s="128">
        <v>0.42</v>
      </c>
      <c r="Q733" s="128">
        <v>1.71</v>
      </c>
      <c r="R733" s="129" t="str">
        <f t="shared" si="1"/>
        <v>OptionStrat</v>
      </c>
      <c r="S733" s="125" t="s">
        <v>902</v>
      </c>
      <c r="T733" s="130"/>
      <c r="U733" s="131">
        <v>0.55</v>
      </c>
    </row>
    <row r="734">
      <c r="A734" s="132" t="s">
        <v>28</v>
      </c>
      <c r="B734" s="132" t="s">
        <v>171</v>
      </c>
      <c r="C734" s="133">
        <v>360.0</v>
      </c>
      <c r="D734" s="133">
        <v>410.0</v>
      </c>
      <c r="E734" s="133">
        <v>50.0</v>
      </c>
      <c r="F734" s="134">
        <v>18.7</v>
      </c>
      <c r="G734" s="134">
        <v>31.3</v>
      </c>
      <c r="H734" s="135">
        <v>1.67</v>
      </c>
      <c r="I734" s="134">
        <v>22.85</v>
      </c>
      <c r="J734" s="135">
        <v>1.22</v>
      </c>
      <c r="K734" s="135">
        <v>0.77</v>
      </c>
      <c r="L734" s="135">
        <v>0.73</v>
      </c>
      <c r="M734" s="133">
        <v>212.0</v>
      </c>
      <c r="N734" s="133">
        <v>54.0</v>
      </c>
      <c r="O734" s="135">
        <v>1.07</v>
      </c>
      <c r="P734" s="135">
        <v>0.27</v>
      </c>
      <c r="Q734" s="135">
        <v>1.71</v>
      </c>
      <c r="R734" s="136" t="str">
        <f t="shared" si="1"/>
        <v>OptionStrat</v>
      </c>
      <c r="S734" s="132" t="s">
        <v>903</v>
      </c>
      <c r="T734" s="137"/>
      <c r="U734" s="138">
        <v>0.55</v>
      </c>
    </row>
    <row r="735">
      <c r="A735" s="125" t="s">
        <v>28</v>
      </c>
      <c r="B735" s="125" t="s">
        <v>171</v>
      </c>
      <c r="C735" s="126">
        <v>560.0</v>
      </c>
      <c r="D735" s="126">
        <v>610.0</v>
      </c>
      <c r="E735" s="126">
        <v>50.0</v>
      </c>
      <c r="F735" s="127">
        <v>10.55</v>
      </c>
      <c r="G735" s="127">
        <v>39.45</v>
      </c>
      <c r="H735" s="128">
        <v>3.74</v>
      </c>
      <c r="I735" s="127">
        <v>27.87</v>
      </c>
      <c r="J735" s="128">
        <v>2.64</v>
      </c>
      <c r="K735" s="128">
        <v>0.61</v>
      </c>
      <c r="L735" s="128">
        <v>0.57</v>
      </c>
      <c r="M735" s="126">
        <v>18.0</v>
      </c>
      <c r="N735" s="126">
        <v>26.0</v>
      </c>
      <c r="O735" s="128">
        <v>0.22</v>
      </c>
      <c r="P735" s="128">
        <v>0.29</v>
      </c>
      <c r="Q735" s="128">
        <v>1.69</v>
      </c>
      <c r="R735" s="129" t="str">
        <f t="shared" si="1"/>
        <v>OptionStrat</v>
      </c>
      <c r="S735" s="125" t="s">
        <v>904</v>
      </c>
      <c r="T735" s="130"/>
      <c r="U735" s="131">
        <v>0.55</v>
      </c>
    </row>
    <row r="736">
      <c r="A736" s="132" t="s">
        <v>28</v>
      </c>
      <c r="B736" s="132" t="s">
        <v>171</v>
      </c>
      <c r="C736" s="133">
        <v>630.0</v>
      </c>
      <c r="D736" s="133">
        <v>670.0</v>
      </c>
      <c r="E736" s="133">
        <v>40.0</v>
      </c>
      <c r="F736" s="134">
        <v>7.28</v>
      </c>
      <c r="G736" s="134">
        <v>32.72</v>
      </c>
      <c r="H736" s="135">
        <v>4.49</v>
      </c>
      <c r="I736" s="134">
        <v>21.16</v>
      </c>
      <c r="J736" s="135">
        <v>2.91</v>
      </c>
      <c r="K736" s="135">
        <v>0.56</v>
      </c>
      <c r="L736" s="135">
        <v>0.53</v>
      </c>
      <c r="M736" s="133">
        <v>12.0</v>
      </c>
      <c r="N736" s="133">
        <v>24.0</v>
      </c>
      <c r="O736" s="135">
        <v>0.17</v>
      </c>
      <c r="P736" s="135">
        <v>0.31</v>
      </c>
      <c r="Q736" s="135">
        <v>1.68</v>
      </c>
      <c r="R736" s="136" t="str">
        <f t="shared" si="1"/>
        <v>OptionStrat</v>
      </c>
      <c r="S736" s="132" t="s">
        <v>905</v>
      </c>
      <c r="T736" s="137"/>
      <c r="U736" s="138">
        <v>0.55</v>
      </c>
    </row>
    <row r="737">
      <c r="A737" s="125" t="s">
        <v>28</v>
      </c>
      <c r="B737" s="125" t="s">
        <v>171</v>
      </c>
      <c r="C737" s="126">
        <v>560.0</v>
      </c>
      <c r="D737" s="126">
        <v>670.0</v>
      </c>
      <c r="E737" s="126">
        <v>110.0</v>
      </c>
      <c r="F737" s="127">
        <v>21.55</v>
      </c>
      <c r="G737" s="127">
        <v>88.45</v>
      </c>
      <c r="H737" s="128">
        <v>4.1</v>
      </c>
      <c r="I737" s="127">
        <v>56.92</v>
      </c>
      <c r="J737" s="128">
        <v>2.64</v>
      </c>
      <c r="K737" s="128">
        <v>0.61</v>
      </c>
      <c r="L737" s="128">
        <v>0.53</v>
      </c>
      <c r="M737" s="126">
        <v>18.0</v>
      </c>
      <c r="N737" s="126">
        <v>24.0</v>
      </c>
      <c r="O737" s="128">
        <v>0.21</v>
      </c>
      <c r="P737" s="128">
        <v>0.29</v>
      </c>
      <c r="Q737" s="128">
        <v>1.67</v>
      </c>
      <c r="R737" s="129" t="str">
        <f t="shared" si="1"/>
        <v>OptionStrat</v>
      </c>
      <c r="S737" s="125" t="s">
        <v>906</v>
      </c>
      <c r="T737" s="130"/>
      <c r="U737" s="131">
        <v>0.55</v>
      </c>
    </row>
    <row r="738">
      <c r="A738" s="132" t="s">
        <v>28</v>
      </c>
      <c r="B738" s="132" t="s">
        <v>171</v>
      </c>
      <c r="C738" s="133">
        <v>380.0</v>
      </c>
      <c r="D738" s="133">
        <v>410.0</v>
      </c>
      <c r="E738" s="133">
        <v>30.0</v>
      </c>
      <c r="F738" s="134">
        <v>10.9</v>
      </c>
      <c r="G738" s="134">
        <v>19.1</v>
      </c>
      <c r="H738" s="135">
        <v>1.75</v>
      </c>
      <c r="I738" s="134">
        <v>13.97</v>
      </c>
      <c r="J738" s="135">
        <v>1.28</v>
      </c>
      <c r="K738" s="135">
        <v>0.75</v>
      </c>
      <c r="L738" s="135">
        <v>0.73</v>
      </c>
      <c r="M738" s="133">
        <v>97.0</v>
      </c>
      <c r="N738" s="133">
        <v>54.0</v>
      </c>
      <c r="O738" s="135">
        <v>0.72</v>
      </c>
      <c r="P738" s="135">
        <v>0.27</v>
      </c>
      <c r="Q738" s="135">
        <v>1.66</v>
      </c>
      <c r="R738" s="136" t="str">
        <f t="shared" si="1"/>
        <v>OptionStrat</v>
      </c>
      <c r="S738" s="132" t="s">
        <v>907</v>
      </c>
      <c r="T738" s="137"/>
      <c r="U738" s="138">
        <v>0.55</v>
      </c>
    </row>
    <row r="739">
      <c r="A739" s="125" t="s">
        <v>28</v>
      </c>
      <c r="B739" s="125" t="s">
        <v>171</v>
      </c>
      <c r="C739" s="126">
        <v>590.0</v>
      </c>
      <c r="D739" s="126">
        <v>670.0</v>
      </c>
      <c r="E739" s="126">
        <v>80.0</v>
      </c>
      <c r="F739" s="127">
        <v>15.67</v>
      </c>
      <c r="G739" s="127">
        <v>64.33</v>
      </c>
      <c r="H739" s="128">
        <v>4.11</v>
      </c>
      <c r="I739" s="127">
        <v>41.4</v>
      </c>
      <c r="J739" s="128">
        <v>2.64</v>
      </c>
      <c r="K739" s="128">
        <v>0.59</v>
      </c>
      <c r="L739" s="128">
        <v>0.53</v>
      </c>
      <c r="M739" s="126">
        <v>15.0</v>
      </c>
      <c r="N739" s="126">
        <v>24.0</v>
      </c>
      <c r="O739" s="128">
        <v>0.19</v>
      </c>
      <c r="P739" s="128">
        <v>0.38</v>
      </c>
      <c r="Q739" s="128">
        <v>1.65</v>
      </c>
      <c r="R739" s="129" t="str">
        <f t="shared" si="1"/>
        <v>OptionStrat</v>
      </c>
      <c r="S739" s="125" t="s">
        <v>908</v>
      </c>
      <c r="T739" s="130"/>
      <c r="U739" s="131">
        <v>0.55</v>
      </c>
    </row>
    <row r="740">
      <c r="A740" s="132" t="s">
        <v>28</v>
      </c>
      <c r="B740" s="132" t="s">
        <v>171</v>
      </c>
      <c r="C740" s="133">
        <v>620.0</v>
      </c>
      <c r="D740" s="133">
        <v>670.0</v>
      </c>
      <c r="E740" s="133">
        <v>50.0</v>
      </c>
      <c r="F740" s="134">
        <v>9.15</v>
      </c>
      <c r="G740" s="134">
        <v>40.85</v>
      </c>
      <c r="H740" s="135">
        <v>4.46</v>
      </c>
      <c r="I740" s="134">
        <v>26.41</v>
      </c>
      <c r="J740" s="135">
        <v>2.89</v>
      </c>
      <c r="K740" s="135">
        <v>0.56</v>
      </c>
      <c r="L740" s="135">
        <v>0.53</v>
      </c>
      <c r="M740" s="133">
        <v>10.0</v>
      </c>
      <c r="N740" s="133">
        <v>24.0</v>
      </c>
      <c r="O740" s="135">
        <v>0.15</v>
      </c>
      <c r="P740" s="135">
        <v>0.3</v>
      </c>
      <c r="Q740" s="135">
        <v>1.65</v>
      </c>
      <c r="R740" s="136" t="str">
        <f t="shared" si="1"/>
        <v>OptionStrat</v>
      </c>
      <c r="S740" s="132" t="s">
        <v>909</v>
      </c>
      <c r="T740" s="137"/>
      <c r="U740" s="138">
        <v>0.55</v>
      </c>
    </row>
    <row r="741">
      <c r="A741" s="125" t="s">
        <v>28</v>
      </c>
      <c r="B741" s="125" t="s">
        <v>171</v>
      </c>
      <c r="C741" s="126">
        <v>360.0</v>
      </c>
      <c r="D741" s="126">
        <v>380.0</v>
      </c>
      <c r="E741" s="126">
        <v>20.0</v>
      </c>
      <c r="F741" s="127">
        <v>7.8</v>
      </c>
      <c r="G741" s="127">
        <v>12.2</v>
      </c>
      <c r="H741" s="128">
        <v>1.56</v>
      </c>
      <c r="I741" s="127">
        <v>8.88</v>
      </c>
      <c r="J741" s="128">
        <v>1.14</v>
      </c>
      <c r="K741" s="128">
        <v>0.77</v>
      </c>
      <c r="L741" s="128">
        <v>0.75</v>
      </c>
      <c r="M741" s="126">
        <v>212.0</v>
      </c>
      <c r="N741" s="126">
        <v>97.0</v>
      </c>
      <c r="O741" s="128">
        <v>1.43</v>
      </c>
      <c r="P741" s="128">
        <v>0.26</v>
      </c>
      <c r="Q741" s="128">
        <v>1.64</v>
      </c>
      <c r="R741" s="129" t="str">
        <f t="shared" si="1"/>
        <v>OptionStrat</v>
      </c>
      <c r="S741" s="125" t="s">
        <v>910</v>
      </c>
      <c r="T741" s="130"/>
      <c r="U741" s="131">
        <v>0.55</v>
      </c>
    </row>
    <row r="742">
      <c r="A742" s="132" t="s">
        <v>28</v>
      </c>
      <c r="B742" s="132" t="s">
        <v>171</v>
      </c>
      <c r="C742" s="133">
        <v>630.0</v>
      </c>
      <c r="D742" s="133">
        <v>660.0</v>
      </c>
      <c r="E742" s="133">
        <v>30.0</v>
      </c>
      <c r="F742" s="134">
        <v>5.43</v>
      </c>
      <c r="G742" s="134">
        <v>24.57</v>
      </c>
      <c r="H742" s="135">
        <v>4.52</v>
      </c>
      <c r="I742" s="134">
        <v>16.16</v>
      </c>
      <c r="J742" s="135">
        <v>2.98</v>
      </c>
      <c r="K742" s="135">
        <v>0.56</v>
      </c>
      <c r="L742" s="135">
        <v>0.54</v>
      </c>
      <c r="M742" s="133">
        <v>12.0</v>
      </c>
      <c r="N742" s="133">
        <v>14.0</v>
      </c>
      <c r="O742" s="135">
        <v>0.13</v>
      </c>
      <c r="P742" s="135">
        <v>0.31</v>
      </c>
      <c r="Q742" s="135">
        <v>1.64</v>
      </c>
      <c r="R742" s="136" t="str">
        <f t="shared" si="1"/>
        <v>OptionStrat</v>
      </c>
      <c r="S742" s="132" t="s">
        <v>911</v>
      </c>
      <c r="T742" s="137"/>
      <c r="U742" s="138">
        <v>0.55</v>
      </c>
    </row>
    <row r="743">
      <c r="A743" s="125" t="s">
        <v>28</v>
      </c>
      <c r="B743" s="125" t="s">
        <v>171</v>
      </c>
      <c r="C743" s="126">
        <v>390.0</v>
      </c>
      <c r="D743" s="126">
        <v>410.0</v>
      </c>
      <c r="E743" s="126">
        <v>20.0</v>
      </c>
      <c r="F743" s="127">
        <v>7.05</v>
      </c>
      <c r="G743" s="127">
        <v>12.95</v>
      </c>
      <c r="H743" s="128">
        <v>1.84</v>
      </c>
      <c r="I743" s="127">
        <v>9.49</v>
      </c>
      <c r="J743" s="128">
        <v>1.35</v>
      </c>
      <c r="K743" s="128">
        <v>0.75</v>
      </c>
      <c r="L743" s="128">
        <v>0.73</v>
      </c>
      <c r="M743" s="126">
        <v>48.0</v>
      </c>
      <c r="N743" s="126">
        <v>54.0</v>
      </c>
      <c r="O743" s="128">
        <v>0.51</v>
      </c>
      <c r="P743" s="128">
        <v>0.27</v>
      </c>
      <c r="Q743" s="128">
        <v>1.63</v>
      </c>
      <c r="R743" s="129" t="str">
        <f t="shared" si="1"/>
        <v>OptionStrat</v>
      </c>
      <c r="S743" s="125" t="s">
        <v>912</v>
      </c>
      <c r="T743" s="130"/>
      <c r="U743" s="131">
        <v>0.55</v>
      </c>
    </row>
    <row r="744">
      <c r="A744" s="132" t="s">
        <v>28</v>
      </c>
      <c r="B744" s="132" t="s">
        <v>169</v>
      </c>
      <c r="C744" s="133">
        <v>350.0</v>
      </c>
      <c r="D744" s="133">
        <v>410.0</v>
      </c>
      <c r="E744" s="133">
        <v>60.0</v>
      </c>
      <c r="F744" s="134">
        <v>23.95</v>
      </c>
      <c r="G744" s="134">
        <v>36.05</v>
      </c>
      <c r="H744" s="135">
        <v>1.51</v>
      </c>
      <c r="I744" s="134">
        <v>26.2</v>
      </c>
      <c r="J744" s="135">
        <v>1.09</v>
      </c>
      <c r="K744" s="135">
        <v>0.77</v>
      </c>
      <c r="L744" s="135">
        <v>0.71</v>
      </c>
      <c r="M744" s="133">
        <v>270.0</v>
      </c>
      <c r="N744" s="133">
        <v>194.0</v>
      </c>
      <c r="O744" s="135">
        <v>2.29</v>
      </c>
      <c r="P744" s="135">
        <v>0.42</v>
      </c>
      <c r="Q744" s="135">
        <v>1.61</v>
      </c>
      <c r="R744" s="136" t="str">
        <f t="shared" si="1"/>
        <v>OptionStrat</v>
      </c>
      <c r="S744" s="132" t="s">
        <v>913</v>
      </c>
      <c r="T744" s="137"/>
      <c r="U744" s="138">
        <v>0.55</v>
      </c>
    </row>
    <row r="745">
      <c r="A745" s="125" t="s">
        <v>28</v>
      </c>
      <c r="B745" s="125" t="s">
        <v>169</v>
      </c>
      <c r="C745" s="126">
        <v>380.0</v>
      </c>
      <c r="D745" s="126">
        <v>410.0</v>
      </c>
      <c r="E745" s="126">
        <v>30.0</v>
      </c>
      <c r="F745" s="127">
        <v>11.33</v>
      </c>
      <c r="G745" s="127">
        <v>18.67</v>
      </c>
      <c r="H745" s="128">
        <v>1.65</v>
      </c>
      <c r="I745" s="127">
        <v>13.63</v>
      </c>
      <c r="J745" s="128">
        <v>1.2</v>
      </c>
      <c r="K745" s="128">
        <v>0.74</v>
      </c>
      <c r="L745" s="128">
        <v>0.71</v>
      </c>
      <c r="M745" s="126">
        <v>106.0</v>
      </c>
      <c r="N745" s="126">
        <v>194.0</v>
      </c>
      <c r="O745" s="128">
        <v>1.43</v>
      </c>
      <c r="P745" s="128">
        <v>0.43</v>
      </c>
      <c r="Q745" s="128">
        <v>1.61</v>
      </c>
      <c r="R745" s="129" t="str">
        <f t="shared" si="1"/>
        <v>OptionStrat</v>
      </c>
      <c r="S745" s="125" t="s">
        <v>914</v>
      </c>
      <c r="T745" s="130"/>
      <c r="U745" s="131">
        <v>0.55</v>
      </c>
    </row>
    <row r="746">
      <c r="A746" s="132" t="s">
        <v>28</v>
      </c>
      <c r="B746" s="132" t="s">
        <v>169</v>
      </c>
      <c r="C746" s="133">
        <v>390.0</v>
      </c>
      <c r="D746" s="133">
        <v>410.0</v>
      </c>
      <c r="E746" s="133">
        <v>20.0</v>
      </c>
      <c r="F746" s="134">
        <v>7.53</v>
      </c>
      <c r="G746" s="134">
        <v>12.47</v>
      </c>
      <c r="H746" s="135">
        <v>1.66</v>
      </c>
      <c r="I746" s="134">
        <v>9.1</v>
      </c>
      <c r="J746" s="135">
        <v>1.21</v>
      </c>
      <c r="K746" s="135">
        <v>0.73</v>
      </c>
      <c r="L746" s="135">
        <v>0.71</v>
      </c>
      <c r="M746" s="133">
        <v>92.0</v>
      </c>
      <c r="N746" s="133">
        <v>194.0</v>
      </c>
      <c r="O746" s="135">
        <v>1.34</v>
      </c>
      <c r="P746" s="135">
        <v>0.42</v>
      </c>
      <c r="Q746" s="135">
        <v>1.6</v>
      </c>
      <c r="R746" s="136" t="str">
        <f t="shared" si="1"/>
        <v>OptionStrat</v>
      </c>
      <c r="S746" s="132" t="s">
        <v>915</v>
      </c>
      <c r="T746" s="137"/>
      <c r="U746" s="138">
        <v>0.55</v>
      </c>
    </row>
    <row r="747">
      <c r="A747" s="125" t="s">
        <v>28</v>
      </c>
      <c r="B747" s="125" t="s">
        <v>171</v>
      </c>
      <c r="C747" s="126">
        <v>560.0</v>
      </c>
      <c r="D747" s="126">
        <v>660.0</v>
      </c>
      <c r="E747" s="126">
        <v>100.0</v>
      </c>
      <c r="F747" s="127">
        <v>19.7</v>
      </c>
      <c r="G747" s="127">
        <v>80.3</v>
      </c>
      <c r="H747" s="128">
        <v>4.08</v>
      </c>
      <c r="I747" s="127">
        <v>52.53</v>
      </c>
      <c r="J747" s="128">
        <v>2.67</v>
      </c>
      <c r="K747" s="128">
        <v>0.61</v>
      </c>
      <c r="L747" s="128">
        <v>0.54</v>
      </c>
      <c r="M747" s="126">
        <v>18.0</v>
      </c>
      <c r="N747" s="126">
        <v>14.0</v>
      </c>
      <c r="O747" s="128">
        <v>0.16</v>
      </c>
      <c r="P747" s="128">
        <v>0.29</v>
      </c>
      <c r="Q747" s="128">
        <v>1.6</v>
      </c>
      <c r="R747" s="129" t="str">
        <f t="shared" si="1"/>
        <v>OptionStrat</v>
      </c>
      <c r="S747" s="125" t="s">
        <v>916</v>
      </c>
      <c r="T747" s="130"/>
      <c r="U747" s="131">
        <v>0.55</v>
      </c>
    </row>
    <row r="748">
      <c r="A748" s="132" t="s">
        <v>28</v>
      </c>
      <c r="B748" s="132" t="s">
        <v>171</v>
      </c>
      <c r="C748" s="133">
        <v>620.0</v>
      </c>
      <c r="D748" s="133">
        <v>660.0</v>
      </c>
      <c r="E748" s="133">
        <v>40.0</v>
      </c>
      <c r="F748" s="134">
        <v>7.3</v>
      </c>
      <c r="G748" s="134">
        <v>32.7</v>
      </c>
      <c r="H748" s="135">
        <v>4.48</v>
      </c>
      <c r="I748" s="134">
        <v>21.49</v>
      </c>
      <c r="J748" s="135">
        <v>2.94</v>
      </c>
      <c r="K748" s="135">
        <v>0.56</v>
      </c>
      <c r="L748" s="135">
        <v>0.54</v>
      </c>
      <c r="M748" s="133">
        <v>10.0</v>
      </c>
      <c r="N748" s="133">
        <v>14.0</v>
      </c>
      <c r="O748" s="135">
        <v>0.12</v>
      </c>
      <c r="P748" s="135">
        <v>0.31</v>
      </c>
      <c r="Q748" s="135">
        <v>1.6</v>
      </c>
      <c r="R748" s="136" t="str">
        <f t="shared" si="1"/>
        <v>OptionStrat</v>
      </c>
      <c r="S748" s="132" t="s">
        <v>917</v>
      </c>
      <c r="T748" s="137"/>
      <c r="U748" s="138">
        <v>0.55</v>
      </c>
    </row>
    <row r="749">
      <c r="A749" s="125" t="s">
        <v>28</v>
      </c>
      <c r="B749" s="125" t="s">
        <v>169</v>
      </c>
      <c r="C749" s="126">
        <v>360.0</v>
      </c>
      <c r="D749" s="126">
        <v>410.0</v>
      </c>
      <c r="E749" s="126">
        <v>50.0</v>
      </c>
      <c r="F749" s="127">
        <v>19.63</v>
      </c>
      <c r="G749" s="127">
        <v>30.37</v>
      </c>
      <c r="H749" s="128">
        <v>1.55</v>
      </c>
      <c r="I749" s="127">
        <v>22.1</v>
      </c>
      <c r="J749" s="128">
        <v>1.13</v>
      </c>
      <c r="K749" s="128">
        <v>0.76</v>
      </c>
      <c r="L749" s="128">
        <v>0.71</v>
      </c>
      <c r="M749" s="126">
        <v>183.0</v>
      </c>
      <c r="N749" s="126">
        <v>194.0</v>
      </c>
      <c r="O749" s="128">
        <v>1.88</v>
      </c>
      <c r="P749" s="128">
        <v>0.42</v>
      </c>
      <c r="Q749" s="128">
        <v>1.59</v>
      </c>
      <c r="R749" s="129" t="str">
        <f t="shared" si="1"/>
        <v>OptionStrat</v>
      </c>
      <c r="S749" s="125" t="s">
        <v>918</v>
      </c>
      <c r="T749" s="130"/>
      <c r="U749" s="131">
        <v>0.55</v>
      </c>
    </row>
    <row r="750">
      <c r="A750" s="132" t="s">
        <v>28</v>
      </c>
      <c r="B750" s="132" t="s">
        <v>171</v>
      </c>
      <c r="C750" s="133">
        <v>560.0</v>
      </c>
      <c r="D750" s="133">
        <v>630.0</v>
      </c>
      <c r="E750" s="133">
        <v>70.0</v>
      </c>
      <c r="F750" s="134">
        <v>14.27</v>
      </c>
      <c r="G750" s="134">
        <v>55.73</v>
      </c>
      <c r="H750" s="135">
        <v>3.91</v>
      </c>
      <c r="I750" s="134">
        <v>38.19</v>
      </c>
      <c r="J750" s="135">
        <v>2.68</v>
      </c>
      <c r="K750" s="135">
        <v>0.61</v>
      </c>
      <c r="L750" s="135">
        <v>0.56</v>
      </c>
      <c r="M750" s="133">
        <v>18.0</v>
      </c>
      <c r="N750" s="133">
        <v>12.0</v>
      </c>
      <c r="O750" s="135">
        <v>0.15</v>
      </c>
      <c r="P750" s="135">
        <v>0.29</v>
      </c>
      <c r="Q750" s="135">
        <v>1.58</v>
      </c>
      <c r="R750" s="136" t="str">
        <f t="shared" si="1"/>
        <v>OptionStrat</v>
      </c>
      <c r="S750" s="132" t="s">
        <v>919</v>
      </c>
      <c r="T750" s="137"/>
      <c r="U750" s="138">
        <v>0.55</v>
      </c>
    </row>
    <row r="751">
      <c r="A751" s="125" t="s">
        <v>28</v>
      </c>
      <c r="B751" s="125" t="s">
        <v>171</v>
      </c>
      <c r="C751" s="126">
        <v>590.0</v>
      </c>
      <c r="D751" s="126">
        <v>660.0</v>
      </c>
      <c r="E751" s="126">
        <v>70.0</v>
      </c>
      <c r="F751" s="127">
        <v>13.83</v>
      </c>
      <c r="G751" s="127">
        <v>56.17</v>
      </c>
      <c r="H751" s="128">
        <v>4.06</v>
      </c>
      <c r="I751" s="127">
        <v>36.74</v>
      </c>
      <c r="J751" s="128">
        <v>2.66</v>
      </c>
      <c r="K751" s="128">
        <v>0.59</v>
      </c>
      <c r="L751" s="128">
        <v>0.54</v>
      </c>
      <c r="M751" s="126">
        <v>15.0</v>
      </c>
      <c r="N751" s="126">
        <v>14.0</v>
      </c>
      <c r="O751" s="128">
        <v>0.14</v>
      </c>
      <c r="P751" s="128">
        <v>0.4</v>
      </c>
      <c r="Q751" s="128">
        <v>1.58</v>
      </c>
      <c r="R751" s="129" t="str">
        <f t="shared" si="1"/>
        <v>OptionStrat</v>
      </c>
      <c r="S751" s="125" t="s">
        <v>920</v>
      </c>
      <c r="T751" s="130"/>
      <c r="U751" s="131">
        <v>0.55</v>
      </c>
    </row>
    <row r="752">
      <c r="A752" s="132" t="s">
        <v>28</v>
      </c>
      <c r="B752" s="132" t="s">
        <v>171</v>
      </c>
      <c r="C752" s="133">
        <v>370.0</v>
      </c>
      <c r="D752" s="133">
        <v>410.0</v>
      </c>
      <c r="E752" s="133">
        <v>40.0</v>
      </c>
      <c r="F752" s="134">
        <v>14.77</v>
      </c>
      <c r="G752" s="134">
        <v>25.23</v>
      </c>
      <c r="H752" s="135">
        <v>1.71</v>
      </c>
      <c r="I752" s="134">
        <v>18.43</v>
      </c>
      <c r="J752" s="135">
        <v>1.25</v>
      </c>
      <c r="K752" s="135">
        <v>0.76</v>
      </c>
      <c r="L752" s="135">
        <v>0.73</v>
      </c>
      <c r="M752" s="133">
        <v>74.0</v>
      </c>
      <c r="N752" s="133">
        <v>54.0</v>
      </c>
      <c r="O752" s="135">
        <v>0.63</v>
      </c>
      <c r="P752" s="135">
        <v>0.27</v>
      </c>
      <c r="Q752" s="135">
        <v>1.57</v>
      </c>
      <c r="R752" s="136" t="str">
        <f t="shared" si="1"/>
        <v>OptionStrat</v>
      </c>
      <c r="S752" s="132" t="s">
        <v>921</v>
      </c>
      <c r="T752" s="137"/>
      <c r="U752" s="138">
        <v>0.55</v>
      </c>
    </row>
    <row r="753">
      <c r="A753" s="125" t="s">
        <v>28</v>
      </c>
      <c r="B753" s="125" t="s">
        <v>171</v>
      </c>
      <c r="C753" s="126">
        <v>360.0</v>
      </c>
      <c r="D753" s="126">
        <v>390.0</v>
      </c>
      <c r="E753" s="126">
        <v>30.0</v>
      </c>
      <c r="F753" s="127">
        <v>11.65</v>
      </c>
      <c r="G753" s="127">
        <v>18.35</v>
      </c>
      <c r="H753" s="128">
        <v>1.58</v>
      </c>
      <c r="I753" s="127">
        <v>13.36</v>
      </c>
      <c r="J753" s="128">
        <v>1.15</v>
      </c>
      <c r="K753" s="128">
        <v>0.77</v>
      </c>
      <c r="L753" s="128">
        <v>0.75</v>
      </c>
      <c r="M753" s="126">
        <v>212.0</v>
      </c>
      <c r="N753" s="126">
        <v>48.0</v>
      </c>
      <c r="O753" s="128">
        <v>1.01</v>
      </c>
      <c r="P753" s="128">
        <v>0.26</v>
      </c>
      <c r="Q753" s="128">
        <v>1.56</v>
      </c>
      <c r="R753" s="129" t="str">
        <f t="shared" si="1"/>
        <v>OptionStrat</v>
      </c>
      <c r="S753" s="125" t="s">
        <v>922</v>
      </c>
      <c r="T753" s="130"/>
      <c r="U753" s="131">
        <v>0.55</v>
      </c>
    </row>
    <row r="754">
      <c r="A754" s="132" t="s">
        <v>28</v>
      </c>
      <c r="B754" s="132" t="s">
        <v>171</v>
      </c>
      <c r="C754" s="133">
        <v>560.0</v>
      </c>
      <c r="D754" s="133">
        <v>620.0</v>
      </c>
      <c r="E754" s="133">
        <v>60.0</v>
      </c>
      <c r="F754" s="134">
        <v>12.4</v>
      </c>
      <c r="G754" s="134">
        <v>47.6</v>
      </c>
      <c r="H754" s="135">
        <v>3.84</v>
      </c>
      <c r="I754" s="134">
        <v>33.13</v>
      </c>
      <c r="J754" s="135">
        <v>2.67</v>
      </c>
      <c r="K754" s="135">
        <v>0.61</v>
      </c>
      <c r="L754" s="135">
        <v>0.56</v>
      </c>
      <c r="M754" s="133">
        <v>18.0</v>
      </c>
      <c r="N754" s="133">
        <v>10.0</v>
      </c>
      <c r="O754" s="135">
        <v>0.13</v>
      </c>
      <c r="P754" s="135">
        <v>0.29</v>
      </c>
      <c r="Q754" s="135">
        <v>1.55</v>
      </c>
      <c r="R754" s="136" t="str">
        <f t="shared" si="1"/>
        <v>OptionStrat</v>
      </c>
      <c r="S754" s="132" t="s">
        <v>923</v>
      </c>
      <c r="T754" s="137"/>
      <c r="U754" s="138">
        <v>0.55</v>
      </c>
    </row>
    <row r="755">
      <c r="A755" s="125" t="s">
        <v>28</v>
      </c>
      <c r="B755" s="125" t="s">
        <v>171</v>
      </c>
      <c r="C755" s="126">
        <v>350.0</v>
      </c>
      <c r="D755" s="126">
        <v>410.0</v>
      </c>
      <c r="E755" s="126">
        <v>60.0</v>
      </c>
      <c r="F755" s="127">
        <v>22.77</v>
      </c>
      <c r="G755" s="127">
        <v>37.23</v>
      </c>
      <c r="H755" s="128">
        <v>1.64</v>
      </c>
      <c r="I755" s="127">
        <v>27.15</v>
      </c>
      <c r="J755" s="128">
        <v>1.19</v>
      </c>
      <c r="K755" s="128">
        <v>0.78</v>
      </c>
      <c r="L755" s="128">
        <v>0.73</v>
      </c>
      <c r="M755" s="126">
        <v>96.0</v>
      </c>
      <c r="N755" s="126">
        <v>54.0</v>
      </c>
      <c r="O755" s="128">
        <v>0.72</v>
      </c>
      <c r="P755" s="128">
        <v>0.26</v>
      </c>
      <c r="Q755" s="128">
        <v>1.54</v>
      </c>
      <c r="R755" s="129" t="str">
        <f t="shared" si="1"/>
        <v>OptionStrat</v>
      </c>
      <c r="S755" s="125" t="s">
        <v>924</v>
      </c>
      <c r="T755" s="130"/>
      <c r="U755" s="131">
        <v>0.56</v>
      </c>
    </row>
    <row r="756">
      <c r="A756" s="132" t="s">
        <v>28</v>
      </c>
      <c r="B756" s="132" t="s">
        <v>171</v>
      </c>
      <c r="C756" s="133">
        <v>590.0</v>
      </c>
      <c r="D756" s="133">
        <v>630.0</v>
      </c>
      <c r="E756" s="133">
        <v>40.0</v>
      </c>
      <c r="F756" s="134">
        <v>8.4</v>
      </c>
      <c r="G756" s="134">
        <v>31.6</v>
      </c>
      <c r="H756" s="135">
        <v>3.76</v>
      </c>
      <c r="I756" s="134">
        <v>21.62</v>
      </c>
      <c r="J756" s="135">
        <v>2.57</v>
      </c>
      <c r="K756" s="135">
        <v>0.59</v>
      </c>
      <c r="L756" s="135">
        <v>0.56</v>
      </c>
      <c r="M756" s="133">
        <v>15.0</v>
      </c>
      <c r="N756" s="133">
        <v>12.0</v>
      </c>
      <c r="O756" s="135">
        <v>0.13</v>
      </c>
      <c r="P756" s="135">
        <v>0.39</v>
      </c>
      <c r="Q756" s="135">
        <v>1.5</v>
      </c>
      <c r="R756" s="136" t="str">
        <f t="shared" si="1"/>
        <v>OptionStrat</v>
      </c>
      <c r="S756" s="132" t="s">
        <v>925</v>
      </c>
      <c r="T756" s="137"/>
      <c r="U756" s="138">
        <v>0.55</v>
      </c>
    </row>
    <row r="757">
      <c r="A757" s="125" t="s">
        <v>28</v>
      </c>
      <c r="B757" s="125" t="s">
        <v>171</v>
      </c>
      <c r="C757" s="126">
        <v>350.0</v>
      </c>
      <c r="D757" s="126">
        <v>380.0</v>
      </c>
      <c r="E757" s="126">
        <v>30.0</v>
      </c>
      <c r="F757" s="127">
        <v>11.88</v>
      </c>
      <c r="G757" s="127">
        <v>18.12</v>
      </c>
      <c r="H757" s="128">
        <v>1.53</v>
      </c>
      <c r="I757" s="127">
        <v>13.18</v>
      </c>
      <c r="J757" s="128">
        <v>1.11</v>
      </c>
      <c r="K757" s="128">
        <v>0.78</v>
      </c>
      <c r="L757" s="128">
        <v>0.75</v>
      </c>
      <c r="M757" s="126">
        <v>96.0</v>
      </c>
      <c r="N757" s="126">
        <v>97.0</v>
      </c>
      <c r="O757" s="128">
        <v>0.96</v>
      </c>
      <c r="P757" s="128">
        <v>0.26</v>
      </c>
      <c r="Q757" s="128">
        <v>1.48</v>
      </c>
      <c r="R757" s="129" t="str">
        <f t="shared" si="1"/>
        <v>OptionStrat</v>
      </c>
      <c r="S757" s="125" t="s">
        <v>926</v>
      </c>
      <c r="T757" s="130"/>
      <c r="U757" s="131">
        <v>0.56</v>
      </c>
    </row>
    <row r="758">
      <c r="A758" s="132" t="s">
        <v>28</v>
      </c>
      <c r="B758" s="132" t="s">
        <v>171</v>
      </c>
      <c r="C758" s="133">
        <v>590.0</v>
      </c>
      <c r="D758" s="133">
        <v>610.0</v>
      </c>
      <c r="E758" s="133">
        <v>20.0</v>
      </c>
      <c r="F758" s="134">
        <v>4.67</v>
      </c>
      <c r="G758" s="134">
        <v>15.33</v>
      </c>
      <c r="H758" s="135">
        <v>3.28</v>
      </c>
      <c r="I758" s="134">
        <v>10.78</v>
      </c>
      <c r="J758" s="135">
        <v>2.31</v>
      </c>
      <c r="K758" s="135">
        <v>0.59</v>
      </c>
      <c r="L758" s="135">
        <v>0.57</v>
      </c>
      <c r="M758" s="133">
        <v>15.0</v>
      </c>
      <c r="N758" s="133">
        <v>26.0</v>
      </c>
      <c r="O758" s="135">
        <v>0.2</v>
      </c>
      <c r="P758" s="135">
        <v>0.4</v>
      </c>
      <c r="Q758" s="135">
        <v>1.46</v>
      </c>
      <c r="R758" s="136" t="str">
        <f t="shared" si="1"/>
        <v>OptionStrat</v>
      </c>
      <c r="S758" s="132" t="s">
        <v>927</v>
      </c>
      <c r="T758" s="137"/>
      <c r="U758" s="138">
        <v>0.55</v>
      </c>
    </row>
    <row r="759">
      <c r="A759" s="125" t="s">
        <v>28</v>
      </c>
      <c r="B759" s="125" t="s">
        <v>171</v>
      </c>
      <c r="C759" s="126">
        <v>590.0</v>
      </c>
      <c r="D759" s="126">
        <v>620.0</v>
      </c>
      <c r="E759" s="126">
        <v>30.0</v>
      </c>
      <c r="F759" s="127">
        <v>6.53</v>
      </c>
      <c r="G759" s="127">
        <v>23.47</v>
      </c>
      <c r="H759" s="128">
        <v>3.59</v>
      </c>
      <c r="I759" s="127">
        <v>16.3</v>
      </c>
      <c r="J759" s="128">
        <v>2.5</v>
      </c>
      <c r="K759" s="128">
        <v>0.59</v>
      </c>
      <c r="L759" s="128">
        <v>0.56</v>
      </c>
      <c r="M759" s="126">
        <v>15.0</v>
      </c>
      <c r="N759" s="126">
        <v>10.0</v>
      </c>
      <c r="O759" s="128">
        <v>0.12</v>
      </c>
      <c r="P759" s="128">
        <v>0.39</v>
      </c>
      <c r="Q759" s="128">
        <v>1.43</v>
      </c>
      <c r="R759" s="129" t="str">
        <f t="shared" si="1"/>
        <v>OptionStrat</v>
      </c>
      <c r="S759" s="125" t="s">
        <v>928</v>
      </c>
      <c r="T759" s="130"/>
      <c r="U759" s="131">
        <v>0.55</v>
      </c>
    </row>
    <row r="760">
      <c r="A760" s="132" t="s">
        <v>28</v>
      </c>
      <c r="B760" s="132" t="s">
        <v>171</v>
      </c>
      <c r="C760" s="133">
        <v>350.0</v>
      </c>
      <c r="D760" s="133">
        <v>390.0</v>
      </c>
      <c r="E760" s="133">
        <v>40.0</v>
      </c>
      <c r="F760" s="134">
        <v>15.72</v>
      </c>
      <c r="G760" s="134">
        <v>24.28</v>
      </c>
      <c r="H760" s="135">
        <v>1.54</v>
      </c>
      <c r="I760" s="134">
        <v>17.66</v>
      </c>
      <c r="J760" s="135">
        <v>1.12</v>
      </c>
      <c r="K760" s="135">
        <v>0.78</v>
      </c>
      <c r="L760" s="135">
        <v>0.75</v>
      </c>
      <c r="M760" s="133">
        <v>96.0</v>
      </c>
      <c r="N760" s="133">
        <v>48.0</v>
      </c>
      <c r="O760" s="135">
        <v>0.68</v>
      </c>
      <c r="P760" s="135">
        <v>0.26</v>
      </c>
      <c r="Q760" s="135">
        <v>1.41</v>
      </c>
      <c r="R760" s="136" t="str">
        <f t="shared" si="1"/>
        <v>OptionStrat</v>
      </c>
      <c r="S760" s="132" t="s">
        <v>929</v>
      </c>
      <c r="T760" s="137"/>
      <c r="U760" s="138">
        <v>0.56</v>
      </c>
    </row>
    <row r="761">
      <c r="A761" s="125" t="s">
        <v>28</v>
      </c>
      <c r="B761" s="125" t="s">
        <v>171</v>
      </c>
      <c r="C761" s="126">
        <v>370.0</v>
      </c>
      <c r="D761" s="126">
        <v>390.0</v>
      </c>
      <c r="E761" s="126">
        <v>20.0</v>
      </c>
      <c r="F761" s="127">
        <v>7.72</v>
      </c>
      <c r="G761" s="127">
        <v>12.28</v>
      </c>
      <c r="H761" s="128">
        <v>1.59</v>
      </c>
      <c r="I761" s="127">
        <v>8.94</v>
      </c>
      <c r="J761" s="128">
        <v>1.16</v>
      </c>
      <c r="K761" s="128">
        <v>0.76</v>
      </c>
      <c r="L761" s="128">
        <v>0.75</v>
      </c>
      <c r="M761" s="126">
        <v>74.0</v>
      </c>
      <c r="N761" s="126">
        <v>48.0</v>
      </c>
      <c r="O761" s="128">
        <v>0.6</v>
      </c>
      <c r="P761" s="128">
        <v>0.26</v>
      </c>
      <c r="Q761" s="128">
        <v>1.41</v>
      </c>
      <c r="R761" s="129" t="str">
        <f t="shared" si="1"/>
        <v>OptionStrat</v>
      </c>
      <c r="S761" s="125" t="s">
        <v>930</v>
      </c>
      <c r="T761" s="130"/>
      <c r="U761" s="131">
        <v>0.55</v>
      </c>
    </row>
    <row r="762">
      <c r="A762" s="132" t="s">
        <v>28</v>
      </c>
      <c r="B762" s="132" t="s">
        <v>171</v>
      </c>
      <c r="C762" s="133">
        <v>350.0</v>
      </c>
      <c r="D762" s="133">
        <v>370.0</v>
      </c>
      <c r="E762" s="133">
        <v>20.0</v>
      </c>
      <c r="F762" s="134">
        <v>8.0</v>
      </c>
      <c r="G762" s="134">
        <v>12.0</v>
      </c>
      <c r="H762" s="135">
        <v>1.5</v>
      </c>
      <c r="I762" s="134">
        <v>8.72</v>
      </c>
      <c r="J762" s="135">
        <v>1.09</v>
      </c>
      <c r="K762" s="135">
        <v>0.78</v>
      </c>
      <c r="L762" s="135">
        <v>0.76</v>
      </c>
      <c r="M762" s="133">
        <v>96.0</v>
      </c>
      <c r="N762" s="133">
        <v>74.0</v>
      </c>
      <c r="O762" s="135">
        <v>0.84</v>
      </c>
      <c r="P762" s="135">
        <v>0.26</v>
      </c>
      <c r="Q762" s="135">
        <v>1.4</v>
      </c>
      <c r="R762" s="136" t="str">
        <f t="shared" si="1"/>
        <v>OptionStrat</v>
      </c>
      <c r="S762" s="132" t="s">
        <v>931</v>
      </c>
      <c r="T762" s="137"/>
      <c r="U762" s="138">
        <v>0.56</v>
      </c>
    </row>
    <row r="763">
      <c r="A763" s="139"/>
      <c r="B763" s="140"/>
      <c r="F763" s="141"/>
      <c r="G763" s="141"/>
      <c r="H763" s="142"/>
      <c r="I763" s="142"/>
      <c r="J763" s="142"/>
      <c r="O763" s="142"/>
      <c r="Q763" s="139"/>
    </row>
    <row r="764">
      <c r="A764" s="139"/>
      <c r="B764" s="140"/>
      <c r="F764" s="141"/>
      <c r="G764" s="141"/>
      <c r="H764" s="142"/>
      <c r="I764" s="142"/>
      <c r="J764" s="142"/>
      <c r="O764" s="142"/>
      <c r="Q764" s="139"/>
    </row>
    <row r="765">
      <c r="A765" s="139"/>
      <c r="B765" s="140"/>
      <c r="F765" s="141"/>
      <c r="G765" s="141"/>
      <c r="H765" s="142"/>
      <c r="I765" s="142"/>
      <c r="J765" s="142"/>
      <c r="O765" s="142"/>
      <c r="Q765" s="139"/>
    </row>
    <row r="766">
      <c r="A766" s="139"/>
      <c r="B766" s="140"/>
      <c r="F766" s="141"/>
      <c r="G766" s="141"/>
      <c r="H766" s="142"/>
      <c r="I766" s="142"/>
      <c r="J766" s="142"/>
      <c r="O766" s="142"/>
      <c r="Q766" s="139"/>
    </row>
    <row r="767">
      <c r="A767" s="139"/>
      <c r="B767" s="140"/>
      <c r="F767" s="141"/>
      <c r="G767" s="141"/>
      <c r="H767" s="142"/>
      <c r="I767" s="142"/>
      <c r="J767" s="142"/>
      <c r="O767" s="142"/>
      <c r="Q767" s="139"/>
    </row>
    <row r="768">
      <c r="A768" s="139"/>
      <c r="B768" s="140"/>
      <c r="F768" s="141"/>
      <c r="G768" s="141"/>
      <c r="H768" s="142"/>
      <c r="I768" s="142"/>
      <c r="J768" s="142"/>
      <c r="O768" s="142"/>
      <c r="Q768" s="139"/>
    </row>
    <row r="769">
      <c r="A769" s="139"/>
      <c r="B769" s="140"/>
      <c r="F769" s="141"/>
      <c r="G769" s="141"/>
      <c r="H769" s="142"/>
      <c r="I769" s="142"/>
      <c r="J769" s="142"/>
      <c r="O769" s="142"/>
      <c r="Q769" s="139"/>
    </row>
    <row r="770">
      <c r="A770" s="139"/>
      <c r="B770" s="140"/>
      <c r="F770" s="141"/>
      <c r="G770" s="141"/>
      <c r="H770" s="142"/>
      <c r="I770" s="142"/>
      <c r="J770" s="142"/>
      <c r="O770" s="142"/>
      <c r="Q770" s="139"/>
    </row>
  </sheetData>
  <autoFilter ref="$A$2:$U$762"/>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88"/>
  </cols>
  <sheetData>
    <row r="1">
      <c r="A1" s="143" t="s">
        <v>932</v>
      </c>
      <c r="B1" s="144"/>
      <c r="C1" s="144"/>
      <c r="D1" s="144"/>
      <c r="E1" s="144"/>
      <c r="F1" s="144"/>
      <c r="G1" s="144"/>
    </row>
    <row r="2">
      <c r="A2" s="143" t="s">
        <v>933</v>
      </c>
      <c r="B2" s="144"/>
      <c r="C2" s="144"/>
      <c r="D2" s="144"/>
      <c r="E2" s="144"/>
      <c r="F2" s="144"/>
      <c r="G2" s="144"/>
    </row>
    <row r="3">
      <c r="A3" s="144"/>
      <c r="B3" s="144"/>
      <c r="C3" s="144"/>
      <c r="D3" s="144"/>
      <c r="E3" s="144"/>
      <c r="F3" s="144"/>
      <c r="G3" s="144"/>
    </row>
    <row r="4">
      <c r="A4" s="143" t="s">
        <v>934</v>
      </c>
      <c r="B4" s="144"/>
      <c r="C4" s="144"/>
      <c r="D4" s="144"/>
      <c r="E4" s="144"/>
      <c r="F4" s="144"/>
      <c r="G4" s="144"/>
    </row>
    <row r="5">
      <c r="A5" s="143" t="s">
        <v>935</v>
      </c>
      <c r="B5" s="144"/>
      <c r="C5" s="144"/>
      <c r="D5" s="144"/>
      <c r="E5" s="144"/>
      <c r="F5" s="144"/>
      <c r="G5" s="144"/>
    </row>
    <row r="6">
      <c r="A6" s="144"/>
      <c r="B6" s="144"/>
      <c r="C6" s="144"/>
      <c r="D6" s="144"/>
      <c r="E6" s="144"/>
      <c r="F6" s="144"/>
      <c r="G6" s="144"/>
    </row>
    <row r="7">
      <c r="A7" s="143" t="s">
        <v>936</v>
      </c>
      <c r="B7" s="144"/>
      <c r="C7" s="144"/>
      <c r="D7" s="144"/>
      <c r="E7" s="144"/>
      <c r="F7" s="144"/>
      <c r="G7" s="144"/>
    </row>
    <row r="8">
      <c r="A8" s="143" t="s">
        <v>937</v>
      </c>
      <c r="B8" s="144"/>
      <c r="C8" s="144"/>
      <c r="D8" s="144"/>
      <c r="E8" s="144"/>
      <c r="F8" s="144"/>
      <c r="G8" s="144"/>
    </row>
    <row r="9">
      <c r="A9" s="144"/>
      <c r="B9" s="144"/>
      <c r="C9" s="144"/>
      <c r="D9" s="144"/>
      <c r="E9" s="144"/>
      <c r="F9" s="144"/>
      <c r="G9" s="144"/>
    </row>
    <row r="10">
      <c r="A10" s="144"/>
      <c r="B10" s="144"/>
      <c r="C10" s="144"/>
      <c r="D10" s="144"/>
      <c r="E10" s="144"/>
      <c r="F10" s="144"/>
      <c r="G10" s="144"/>
    </row>
    <row r="11">
      <c r="A11" s="144"/>
      <c r="B11" s="144"/>
      <c r="C11" s="144"/>
      <c r="D11" s="144"/>
      <c r="E11" s="144"/>
      <c r="F11" s="144"/>
      <c r="G11" s="144"/>
    </row>
    <row r="12">
      <c r="A12" s="144"/>
      <c r="B12" s="144"/>
      <c r="C12" s="144"/>
      <c r="D12" s="144"/>
      <c r="E12" s="144"/>
      <c r="F12" s="144"/>
      <c r="G12" s="144"/>
    </row>
    <row r="13">
      <c r="A13" s="144"/>
      <c r="B13" s="144"/>
      <c r="C13" s="144"/>
      <c r="D13" s="144"/>
      <c r="E13" s="144"/>
      <c r="F13" s="144"/>
      <c r="G13" s="144"/>
    </row>
    <row r="14">
      <c r="A14" s="144"/>
      <c r="B14" s="144"/>
      <c r="C14" s="144"/>
      <c r="D14" s="144"/>
      <c r="E14" s="144"/>
      <c r="F14" s="144"/>
      <c r="G14" s="144"/>
    </row>
    <row r="15">
      <c r="A15" s="144"/>
    </row>
    <row r="16">
      <c r="A16" s="144"/>
    </row>
    <row r="17">
      <c r="A17" s="144"/>
    </row>
    <row r="18">
      <c r="A18" s="144"/>
    </row>
    <row r="19">
      <c r="A19" s="144"/>
    </row>
    <row r="20">
      <c r="A20" s="144"/>
    </row>
    <row r="21">
      <c r="A21" s="144"/>
    </row>
    <row r="22">
      <c r="A22" s="144"/>
    </row>
    <row r="23">
      <c r="A23" s="144"/>
    </row>
    <row r="24">
      <c r="A24" s="144"/>
    </row>
    <row r="25">
      <c r="A25" s="144"/>
    </row>
    <row r="26">
      <c r="A26" s="144"/>
    </row>
    <row r="27">
      <c r="A27" s="144"/>
    </row>
    <row r="28">
      <c r="A28" s="144"/>
    </row>
    <row r="29">
      <c r="A29" s="144"/>
    </row>
    <row r="30">
      <c r="A30" s="144"/>
    </row>
    <row r="31">
      <c r="A31" s="144"/>
    </row>
    <row r="32">
      <c r="A32" s="144"/>
    </row>
    <row r="33">
      <c r="A33" s="144"/>
    </row>
    <row r="34">
      <c r="A34" s="144"/>
    </row>
    <row r="35">
      <c r="A35" s="144"/>
    </row>
    <row r="36">
      <c r="A36" s="144"/>
    </row>
    <row r="37">
      <c r="A37" s="144"/>
    </row>
    <row r="38">
      <c r="A38" s="144"/>
    </row>
    <row r="39">
      <c r="A39" s="144"/>
    </row>
    <row r="40">
      <c r="A40" s="144"/>
    </row>
    <row r="41">
      <c r="A41" s="144"/>
    </row>
    <row r="42">
      <c r="A42" s="144"/>
    </row>
    <row r="43">
      <c r="A43" s="144"/>
    </row>
    <row r="44">
      <c r="A44" s="144"/>
    </row>
    <row r="45">
      <c r="A45" s="144"/>
    </row>
    <row r="46">
      <c r="A46" s="144"/>
    </row>
    <row r="47">
      <c r="A47" s="144"/>
    </row>
    <row r="48">
      <c r="A48" s="144"/>
    </row>
    <row r="49">
      <c r="A49" s="144"/>
    </row>
    <row r="50">
      <c r="A50" s="144"/>
    </row>
    <row r="51">
      <c r="A51" s="144"/>
    </row>
    <row r="52">
      <c r="A52" s="144"/>
    </row>
    <row r="53">
      <c r="A53" s="144"/>
    </row>
    <row r="54">
      <c r="A54" s="144"/>
    </row>
    <row r="55">
      <c r="A55" s="144"/>
    </row>
    <row r="56">
      <c r="A56" s="144"/>
    </row>
    <row r="57">
      <c r="A57" s="144"/>
    </row>
    <row r="58">
      <c r="A58" s="144"/>
    </row>
    <row r="59">
      <c r="A59" s="144"/>
    </row>
    <row r="60">
      <c r="A60" s="144"/>
    </row>
    <row r="61">
      <c r="A61" s="144"/>
    </row>
    <row r="62">
      <c r="A62" s="144"/>
    </row>
    <row r="63">
      <c r="A63" s="144"/>
    </row>
    <row r="64">
      <c r="A64" s="144"/>
    </row>
    <row r="65">
      <c r="A65" s="144"/>
    </row>
    <row r="66">
      <c r="A66" s="144"/>
    </row>
    <row r="67">
      <c r="A67" s="144"/>
    </row>
    <row r="68">
      <c r="A68" s="144"/>
    </row>
    <row r="69">
      <c r="A69" s="144"/>
    </row>
    <row r="70">
      <c r="A70" s="144"/>
    </row>
    <row r="71">
      <c r="A71" s="144"/>
    </row>
    <row r="72">
      <c r="A72" s="144"/>
    </row>
    <row r="73">
      <c r="A73" s="144"/>
    </row>
    <row r="74">
      <c r="A74" s="144"/>
    </row>
    <row r="75">
      <c r="A75" s="144"/>
    </row>
    <row r="76">
      <c r="A76" s="144"/>
    </row>
    <row r="77">
      <c r="A77" s="144"/>
    </row>
    <row r="78">
      <c r="A78" s="144"/>
    </row>
    <row r="79">
      <c r="A79" s="144"/>
    </row>
    <row r="80">
      <c r="A80" s="144"/>
    </row>
    <row r="81">
      <c r="A81" s="144"/>
    </row>
    <row r="82">
      <c r="A82" s="144"/>
    </row>
    <row r="83">
      <c r="A83" s="144"/>
    </row>
    <row r="84">
      <c r="A84" s="144"/>
    </row>
    <row r="85">
      <c r="A85" s="144"/>
    </row>
    <row r="86">
      <c r="A86" s="144"/>
    </row>
    <row r="87">
      <c r="A87" s="144"/>
    </row>
    <row r="88">
      <c r="A88" s="144"/>
    </row>
    <row r="89">
      <c r="A89" s="144"/>
    </row>
    <row r="90">
      <c r="A90" s="144"/>
    </row>
    <row r="91">
      <c r="A91" s="144"/>
    </row>
    <row r="92">
      <c r="A92" s="144"/>
    </row>
    <row r="93">
      <c r="A93" s="144"/>
    </row>
    <row r="94">
      <c r="A94" s="144"/>
    </row>
    <row r="95">
      <c r="A95" s="144"/>
    </row>
    <row r="96">
      <c r="A96" s="144"/>
    </row>
    <row r="97">
      <c r="A97" s="144"/>
    </row>
    <row r="98">
      <c r="A98" s="144"/>
    </row>
    <row r="99">
      <c r="A99" s="144"/>
    </row>
    <row r="100">
      <c r="A100" s="144"/>
    </row>
    <row r="101">
      <c r="A101" s="144"/>
    </row>
    <row r="102">
      <c r="A102" s="144"/>
    </row>
    <row r="103">
      <c r="A103" s="144"/>
    </row>
    <row r="104">
      <c r="A104" s="144"/>
    </row>
    <row r="105">
      <c r="A105" s="144"/>
    </row>
    <row r="106">
      <c r="A106" s="144"/>
    </row>
    <row r="107">
      <c r="A107" s="144"/>
    </row>
    <row r="108">
      <c r="A108" s="144"/>
    </row>
    <row r="109">
      <c r="A109" s="144"/>
    </row>
    <row r="110">
      <c r="A110" s="144"/>
    </row>
    <row r="111">
      <c r="A111" s="144"/>
    </row>
    <row r="112">
      <c r="A112" s="144"/>
    </row>
    <row r="113">
      <c r="A113" s="144"/>
    </row>
    <row r="114">
      <c r="A114" s="144"/>
    </row>
    <row r="115">
      <c r="A115" s="144"/>
    </row>
    <row r="116">
      <c r="A116" s="144"/>
    </row>
    <row r="117">
      <c r="A117" s="144"/>
    </row>
    <row r="118">
      <c r="A118" s="144"/>
    </row>
    <row r="119">
      <c r="A119" s="144"/>
    </row>
    <row r="120">
      <c r="A120" s="144"/>
    </row>
    <row r="121">
      <c r="A121" s="144"/>
    </row>
    <row r="122">
      <c r="A122" s="144"/>
    </row>
    <row r="123">
      <c r="A123" s="144"/>
    </row>
    <row r="124">
      <c r="A124" s="144"/>
    </row>
    <row r="125">
      <c r="A125" s="144"/>
    </row>
    <row r="126">
      <c r="A126" s="144"/>
    </row>
    <row r="127">
      <c r="A127" s="144"/>
    </row>
    <row r="128">
      <c r="A128" s="144"/>
    </row>
    <row r="129">
      <c r="A129" s="144"/>
    </row>
    <row r="130">
      <c r="A130" s="144"/>
    </row>
    <row r="131">
      <c r="A131" s="144"/>
    </row>
    <row r="132">
      <c r="A132" s="144"/>
    </row>
    <row r="133">
      <c r="A133" s="144"/>
    </row>
    <row r="134">
      <c r="A134" s="144"/>
    </row>
    <row r="135">
      <c r="A135" s="144"/>
    </row>
    <row r="136">
      <c r="A136" s="144"/>
    </row>
    <row r="137">
      <c r="A137" s="144"/>
    </row>
    <row r="138">
      <c r="A138" s="144"/>
    </row>
    <row r="139">
      <c r="A139" s="144"/>
    </row>
    <row r="140">
      <c r="A140" s="144"/>
    </row>
    <row r="141">
      <c r="A141" s="144"/>
    </row>
    <row r="142">
      <c r="A142" s="144"/>
    </row>
    <row r="143">
      <c r="A143" s="144"/>
    </row>
    <row r="144">
      <c r="A144" s="144"/>
    </row>
    <row r="145">
      <c r="A145" s="144"/>
    </row>
    <row r="146">
      <c r="A146" s="144"/>
    </row>
    <row r="147">
      <c r="A147" s="144"/>
    </row>
    <row r="148">
      <c r="A148" s="144"/>
    </row>
    <row r="149">
      <c r="A149" s="144"/>
    </row>
    <row r="150">
      <c r="A150" s="144"/>
    </row>
    <row r="151">
      <c r="A151" s="144"/>
    </row>
    <row r="152">
      <c r="A152" s="144"/>
    </row>
    <row r="153">
      <c r="A153" s="144"/>
    </row>
    <row r="154">
      <c r="A154" s="144"/>
    </row>
    <row r="155">
      <c r="A155" s="144"/>
    </row>
    <row r="156">
      <c r="A156" s="144"/>
    </row>
    <row r="157">
      <c r="A157" s="144"/>
    </row>
    <row r="158">
      <c r="A158" s="144"/>
    </row>
    <row r="159">
      <c r="A159" s="144"/>
    </row>
    <row r="160">
      <c r="A160" s="144"/>
    </row>
    <row r="161">
      <c r="A161" s="144"/>
    </row>
    <row r="162">
      <c r="A162" s="144"/>
    </row>
    <row r="163">
      <c r="A163" s="144"/>
    </row>
    <row r="164">
      <c r="A164" s="144"/>
    </row>
    <row r="165">
      <c r="A165" s="144"/>
    </row>
    <row r="166">
      <c r="A166" s="144"/>
    </row>
    <row r="167">
      <c r="A167" s="144"/>
    </row>
    <row r="168">
      <c r="A168" s="144"/>
    </row>
    <row r="169">
      <c r="A169" s="144"/>
    </row>
    <row r="170">
      <c r="A170" s="144"/>
    </row>
    <row r="171">
      <c r="A171" s="144"/>
    </row>
    <row r="172">
      <c r="A172" s="144"/>
    </row>
    <row r="173">
      <c r="A173" s="144"/>
    </row>
    <row r="174">
      <c r="A174" s="144"/>
    </row>
    <row r="175">
      <c r="A175" s="144"/>
    </row>
    <row r="176">
      <c r="A176" s="144"/>
    </row>
    <row r="177">
      <c r="A177" s="144"/>
    </row>
    <row r="178">
      <c r="A178" s="144"/>
    </row>
    <row r="179">
      <c r="A179" s="144"/>
    </row>
    <row r="180">
      <c r="A180" s="144"/>
    </row>
    <row r="181">
      <c r="A181" s="144"/>
    </row>
    <row r="182">
      <c r="A182" s="144"/>
    </row>
    <row r="183">
      <c r="A183" s="144"/>
    </row>
    <row r="184">
      <c r="A184" s="144"/>
    </row>
    <row r="185">
      <c r="A185" s="144"/>
    </row>
    <row r="186">
      <c r="A186" s="144"/>
    </row>
    <row r="187">
      <c r="A187" s="144"/>
    </row>
    <row r="188">
      <c r="A188" s="144"/>
    </row>
    <row r="189">
      <c r="A189" s="144"/>
    </row>
    <row r="190">
      <c r="A190" s="144"/>
    </row>
    <row r="191">
      <c r="A191" s="144"/>
    </row>
    <row r="192">
      <c r="A192" s="144"/>
    </row>
    <row r="193">
      <c r="A193" s="144"/>
    </row>
    <row r="194">
      <c r="A194" s="144"/>
    </row>
    <row r="195">
      <c r="A195" s="144"/>
    </row>
    <row r="196">
      <c r="A196" s="144"/>
    </row>
    <row r="197">
      <c r="A197" s="144"/>
    </row>
    <row r="198">
      <c r="A198" s="144"/>
    </row>
    <row r="199">
      <c r="A199" s="144"/>
    </row>
    <row r="200">
      <c r="A200" s="144"/>
    </row>
    <row r="201">
      <c r="A201" s="144"/>
    </row>
    <row r="202">
      <c r="A202" s="144"/>
    </row>
    <row r="203">
      <c r="A203" s="144"/>
    </row>
    <row r="204">
      <c r="A204" s="144"/>
    </row>
    <row r="205">
      <c r="A205" s="144"/>
    </row>
    <row r="206">
      <c r="A206" s="144"/>
    </row>
    <row r="207">
      <c r="A207" s="144"/>
    </row>
    <row r="208">
      <c r="A208" s="144"/>
    </row>
    <row r="209">
      <c r="A209" s="144"/>
    </row>
    <row r="210">
      <c r="A210" s="144"/>
    </row>
    <row r="211">
      <c r="A211" s="144"/>
    </row>
    <row r="212">
      <c r="A212" s="144"/>
    </row>
    <row r="213">
      <c r="A213" s="144"/>
    </row>
    <row r="214">
      <c r="A214" s="144"/>
    </row>
    <row r="215">
      <c r="A215" s="144"/>
    </row>
    <row r="216">
      <c r="A216" s="144"/>
    </row>
    <row r="217">
      <c r="A217" s="144"/>
    </row>
    <row r="218">
      <c r="A218" s="144"/>
    </row>
    <row r="219">
      <c r="A219" s="144"/>
    </row>
    <row r="220">
      <c r="A220" s="144"/>
    </row>
    <row r="221">
      <c r="A221" s="144"/>
    </row>
    <row r="222">
      <c r="A222" s="144"/>
    </row>
    <row r="223">
      <c r="A223" s="144"/>
    </row>
    <row r="224">
      <c r="A224" s="144"/>
    </row>
    <row r="225">
      <c r="A225" s="144"/>
    </row>
    <row r="226">
      <c r="A226" s="144"/>
    </row>
    <row r="227">
      <c r="A227" s="144"/>
    </row>
    <row r="228">
      <c r="A228" s="144"/>
    </row>
    <row r="229">
      <c r="A229" s="144"/>
    </row>
    <row r="230">
      <c r="A230" s="144"/>
    </row>
    <row r="231">
      <c r="A231" s="144"/>
    </row>
    <row r="232">
      <c r="A232" s="144"/>
    </row>
    <row r="233">
      <c r="A233" s="144"/>
    </row>
    <row r="234">
      <c r="A234" s="144"/>
    </row>
    <row r="235">
      <c r="A235" s="144"/>
    </row>
    <row r="236">
      <c r="A236" s="144"/>
    </row>
    <row r="237">
      <c r="A237" s="144"/>
    </row>
    <row r="238">
      <c r="A238" s="144"/>
    </row>
    <row r="239">
      <c r="A239" s="144"/>
    </row>
    <row r="240">
      <c r="A240" s="144"/>
    </row>
    <row r="241">
      <c r="A241" s="144"/>
    </row>
    <row r="242">
      <c r="A242" s="144"/>
    </row>
    <row r="243">
      <c r="A243" s="144"/>
    </row>
    <row r="244">
      <c r="A244" s="144"/>
    </row>
    <row r="245">
      <c r="A245" s="144"/>
    </row>
    <row r="246">
      <c r="A246" s="144"/>
    </row>
    <row r="247">
      <c r="A247" s="144"/>
    </row>
    <row r="248">
      <c r="A248" s="144"/>
    </row>
    <row r="249">
      <c r="A249" s="144"/>
    </row>
    <row r="250">
      <c r="A250" s="144"/>
    </row>
    <row r="251">
      <c r="A251" s="144"/>
    </row>
    <row r="252">
      <c r="A252" s="144"/>
    </row>
    <row r="253">
      <c r="A253" s="144"/>
    </row>
    <row r="254">
      <c r="A254" s="144"/>
    </row>
    <row r="255">
      <c r="A255" s="144"/>
    </row>
    <row r="256">
      <c r="A256" s="144"/>
    </row>
    <row r="257">
      <c r="A257" s="144"/>
    </row>
    <row r="258">
      <c r="A258" s="144"/>
    </row>
    <row r="259">
      <c r="A259" s="144"/>
    </row>
    <row r="260">
      <c r="A260" s="144"/>
    </row>
    <row r="261">
      <c r="A261" s="144"/>
    </row>
    <row r="262">
      <c r="A262" s="144"/>
    </row>
    <row r="263">
      <c r="A263" s="144"/>
    </row>
    <row r="264">
      <c r="A264" s="144"/>
    </row>
    <row r="265">
      <c r="A265" s="144"/>
    </row>
    <row r="266">
      <c r="A266" s="144"/>
    </row>
    <row r="267">
      <c r="A267" s="144"/>
    </row>
    <row r="268">
      <c r="A268" s="144"/>
    </row>
    <row r="269">
      <c r="A269" s="144"/>
    </row>
    <row r="270">
      <c r="A270" s="144"/>
    </row>
    <row r="271">
      <c r="A271" s="144"/>
    </row>
    <row r="272">
      <c r="A272" s="144"/>
    </row>
    <row r="273">
      <c r="A273" s="144"/>
    </row>
    <row r="274">
      <c r="A274" s="144"/>
    </row>
    <row r="275">
      <c r="A275" s="144"/>
    </row>
    <row r="276">
      <c r="A276" s="144"/>
    </row>
    <row r="277">
      <c r="A277" s="144"/>
    </row>
    <row r="278">
      <c r="A278" s="144"/>
    </row>
    <row r="279">
      <c r="A279" s="144"/>
    </row>
    <row r="280">
      <c r="A280" s="144"/>
    </row>
    <row r="281">
      <c r="A281" s="144"/>
    </row>
    <row r="282">
      <c r="A282" s="144"/>
    </row>
    <row r="283">
      <c r="A283" s="144"/>
    </row>
    <row r="284">
      <c r="A284" s="144"/>
    </row>
    <row r="285">
      <c r="A285" s="144"/>
    </row>
    <row r="286">
      <c r="A286" s="144"/>
    </row>
    <row r="287">
      <c r="A287" s="144"/>
    </row>
    <row r="288">
      <c r="A288" s="144"/>
    </row>
    <row r="289">
      <c r="A289" s="144"/>
    </row>
    <row r="290">
      <c r="A290" s="144"/>
    </row>
    <row r="291">
      <c r="A291" s="144"/>
    </row>
    <row r="292">
      <c r="A292" s="144"/>
    </row>
    <row r="293">
      <c r="A293" s="144"/>
    </row>
    <row r="294">
      <c r="A294" s="144"/>
    </row>
    <row r="295">
      <c r="A295" s="144"/>
    </row>
    <row r="296">
      <c r="A296" s="144"/>
    </row>
    <row r="297">
      <c r="A297" s="144"/>
    </row>
    <row r="298">
      <c r="A298" s="144"/>
    </row>
    <row r="299">
      <c r="A299" s="144"/>
    </row>
    <row r="300">
      <c r="A300" s="144"/>
    </row>
    <row r="301">
      <c r="A301" s="144"/>
    </row>
    <row r="302">
      <c r="A302" s="144"/>
    </row>
    <row r="303">
      <c r="A303" s="144"/>
    </row>
    <row r="304">
      <c r="A304" s="144"/>
    </row>
    <row r="305">
      <c r="A305" s="144"/>
    </row>
    <row r="306">
      <c r="A306" s="144"/>
    </row>
    <row r="307">
      <c r="A307" s="144"/>
    </row>
    <row r="308">
      <c r="A308" s="144"/>
    </row>
    <row r="309">
      <c r="A309" s="144"/>
    </row>
    <row r="310">
      <c r="A310" s="144"/>
    </row>
    <row r="311">
      <c r="A311" s="144"/>
    </row>
    <row r="312">
      <c r="A312" s="144"/>
    </row>
    <row r="313">
      <c r="A313" s="144"/>
    </row>
    <row r="314">
      <c r="A314" s="144"/>
    </row>
    <row r="315">
      <c r="A315" s="144"/>
    </row>
    <row r="316">
      <c r="A316" s="144"/>
    </row>
    <row r="317">
      <c r="A317" s="144"/>
    </row>
    <row r="318">
      <c r="A318" s="144"/>
    </row>
    <row r="319">
      <c r="A319" s="144"/>
    </row>
    <row r="320">
      <c r="A320" s="144"/>
    </row>
    <row r="321">
      <c r="A321" s="144"/>
    </row>
    <row r="322">
      <c r="A322" s="144"/>
    </row>
    <row r="323">
      <c r="A323" s="144"/>
    </row>
    <row r="324">
      <c r="A324" s="144"/>
    </row>
    <row r="325">
      <c r="A325" s="144"/>
    </row>
    <row r="326">
      <c r="A326" s="144"/>
    </row>
    <row r="327">
      <c r="A327" s="144"/>
    </row>
    <row r="328">
      <c r="A328" s="144"/>
    </row>
    <row r="329">
      <c r="A329" s="144"/>
    </row>
    <row r="330">
      <c r="A330" s="144"/>
    </row>
    <row r="331">
      <c r="A331" s="144"/>
    </row>
    <row r="332">
      <c r="A332" s="144"/>
    </row>
    <row r="333">
      <c r="A333" s="144"/>
    </row>
    <row r="334">
      <c r="A334" s="144"/>
    </row>
    <row r="335">
      <c r="A335" s="144"/>
    </row>
    <row r="336">
      <c r="A336" s="144"/>
    </row>
    <row r="337">
      <c r="A337" s="144"/>
    </row>
    <row r="338">
      <c r="A338" s="144"/>
    </row>
    <row r="339">
      <c r="A339" s="144"/>
    </row>
    <row r="340">
      <c r="A340" s="144"/>
    </row>
    <row r="341">
      <c r="A341" s="144"/>
    </row>
    <row r="342">
      <c r="A342" s="144"/>
    </row>
    <row r="343">
      <c r="A343" s="144"/>
    </row>
    <row r="344">
      <c r="A344" s="144"/>
    </row>
    <row r="345">
      <c r="A345" s="144"/>
    </row>
    <row r="346">
      <c r="A346" s="144"/>
    </row>
    <row r="347">
      <c r="A347" s="144"/>
    </row>
    <row r="348">
      <c r="A348" s="144"/>
    </row>
    <row r="349">
      <c r="A349" s="144"/>
    </row>
    <row r="350">
      <c r="A350" s="144"/>
    </row>
    <row r="351">
      <c r="A351" s="144"/>
    </row>
    <row r="352">
      <c r="A352" s="144"/>
    </row>
    <row r="353">
      <c r="A353" s="144"/>
    </row>
    <row r="354">
      <c r="A354" s="144"/>
    </row>
    <row r="355">
      <c r="A355" s="144"/>
    </row>
    <row r="356">
      <c r="A356" s="144"/>
    </row>
    <row r="357">
      <c r="A357" s="144"/>
    </row>
    <row r="358">
      <c r="A358" s="144"/>
    </row>
    <row r="359">
      <c r="A359" s="144"/>
    </row>
    <row r="360">
      <c r="A360" s="144"/>
    </row>
    <row r="361">
      <c r="A361" s="144"/>
    </row>
    <row r="362">
      <c r="A362" s="144"/>
    </row>
    <row r="363">
      <c r="A363" s="144"/>
    </row>
    <row r="364">
      <c r="A364" s="144"/>
    </row>
    <row r="365">
      <c r="A365" s="144"/>
    </row>
    <row r="366">
      <c r="A366" s="144"/>
    </row>
    <row r="367">
      <c r="A367" s="144"/>
    </row>
    <row r="368">
      <c r="A368" s="144"/>
    </row>
    <row r="369">
      <c r="A369" s="144"/>
    </row>
    <row r="370">
      <c r="A370" s="144"/>
    </row>
    <row r="371">
      <c r="A371" s="144"/>
    </row>
    <row r="372">
      <c r="A372" s="144"/>
    </row>
    <row r="373">
      <c r="A373" s="144"/>
    </row>
    <row r="374">
      <c r="A374" s="144"/>
    </row>
    <row r="375">
      <c r="A375" s="144"/>
    </row>
    <row r="376">
      <c r="A376" s="144"/>
    </row>
    <row r="377">
      <c r="A377" s="144"/>
    </row>
    <row r="378">
      <c r="A378" s="144"/>
    </row>
    <row r="379">
      <c r="A379" s="144"/>
    </row>
    <row r="380">
      <c r="A380" s="144"/>
    </row>
    <row r="381">
      <c r="A381" s="144"/>
    </row>
    <row r="382">
      <c r="A382" s="144"/>
    </row>
    <row r="383">
      <c r="A383" s="144"/>
    </row>
    <row r="384">
      <c r="A384" s="144"/>
    </row>
    <row r="385">
      <c r="A385" s="144"/>
    </row>
    <row r="386">
      <c r="A386" s="144"/>
    </row>
    <row r="387">
      <c r="A387" s="144"/>
    </row>
    <row r="388">
      <c r="A388" s="144"/>
    </row>
    <row r="389">
      <c r="A389" s="144"/>
    </row>
    <row r="390">
      <c r="A390" s="144"/>
    </row>
    <row r="391">
      <c r="A391" s="144"/>
    </row>
    <row r="392">
      <c r="A392" s="144"/>
    </row>
    <row r="393">
      <c r="A393" s="144"/>
    </row>
    <row r="394">
      <c r="A394" s="144"/>
    </row>
    <row r="395">
      <c r="A395" s="144"/>
    </row>
    <row r="396">
      <c r="A396" s="144"/>
    </row>
    <row r="397">
      <c r="A397" s="144"/>
    </row>
    <row r="398">
      <c r="A398" s="144"/>
    </row>
    <row r="399">
      <c r="A399" s="144"/>
    </row>
    <row r="400">
      <c r="A400" s="144"/>
    </row>
    <row r="401">
      <c r="A401" s="144"/>
    </row>
    <row r="402">
      <c r="A402" s="144"/>
    </row>
    <row r="403">
      <c r="A403" s="144"/>
    </row>
    <row r="404">
      <c r="A404" s="144"/>
    </row>
    <row r="405">
      <c r="A405" s="144"/>
    </row>
    <row r="406">
      <c r="A406" s="144"/>
    </row>
    <row r="407">
      <c r="A407" s="144"/>
    </row>
    <row r="408">
      <c r="A408" s="144"/>
    </row>
    <row r="409">
      <c r="A409" s="144"/>
    </row>
    <row r="410">
      <c r="A410" s="144"/>
    </row>
    <row r="411">
      <c r="A411" s="144"/>
    </row>
    <row r="412">
      <c r="A412" s="144"/>
    </row>
    <row r="413">
      <c r="A413" s="144"/>
    </row>
    <row r="414">
      <c r="A414" s="144"/>
    </row>
    <row r="415">
      <c r="A415" s="144"/>
    </row>
    <row r="416">
      <c r="A416" s="144"/>
    </row>
    <row r="417">
      <c r="A417" s="144"/>
    </row>
    <row r="418">
      <c r="A418" s="144"/>
    </row>
    <row r="419">
      <c r="A419" s="144"/>
    </row>
    <row r="420">
      <c r="A420" s="144"/>
    </row>
    <row r="421">
      <c r="A421" s="144"/>
    </row>
    <row r="422">
      <c r="A422" s="144"/>
    </row>
    <row r="423">
      <c r="A423" s="144"/>
    </row>
    <row r="424">
      <c r="A424" s="144"/>
    </row>
    <row r="425">
      <c r="A425" s="144"/>
    </row>
    <row r="426">
      <c r="A426" s="144"/>
    </row>
    <row r="427">
      <c r="A427" s="144"/>
    </row>
    <row r="428">
      <c r="A428" s="144"/>
    </row>
    <row r="429">
      <c r="A429" s="144"/>
    </row>
    <row r="430">
      <c r="A430" s="144"/>
    </row>
    <row r="431">
      <c r="A431" s="144"/>
    </row>
    <row r="432">
      <c r="A432" s="144"/>
    </row>
    <row r="433">
      <c r="A433" s="144"/>
    </row>
    <row r="434">
      <c r="A434" s="144"/>
    </row>
    <row r="435">
      <c r="A435" s="144"/>
    </row>
    <row r="436">
      <c r="A436" s="144"/>
    </row>
    <row r="437">
      <c r="A437" s="144"/>
    </row>
    <row r="438">
      <c r="A438" s="144"/>
    </row>
    <row r="439">
      <c r="A439" s="144"/>
    </row>
    <row r="440">
      <c r="A440" s="144"/>
    </row>
    <row r="441">
      <c r="A441" s="144"/>
    </row>
    <row r="442">
      <c r="A442" s="144"/>
    </row>
    <row r="443">
      <c r="A443" s="144"/>
    </row>
    <row r="444">
      <c r="A444" s="144"/>
    </row>
    <row r="445">
      <c r="A445" s="144"/>
    </row>
    <row r="446">
      <c r="A446" s="144"/>
    </row>
    <row r="447">
      <c r="A447" s="144"/>
    </row>
    <row r="448">
      <c r="A448" s="144"/>
    </row>
    <row r="449">
      <c r="A449" s="144"/>
    </row>
    <row r="450">
      <c r="A450" s="144"/>
    </row>
    <row r="451">
      <c r="A451" s="144"/>
    </row>
    <row r="452">
      <c r="A452" s="144"/>
    </row>
    <row r="453">
      <c r="A453" s="144"/>
    </row>
    <row r="454">
      <c r="A454" s="144"/>
    </row>
    <row r="455">
      <c r="A455" s="144"/>
    </row>
    <row r="456">
      <c r="A456" s="144"/>
    </row>
    <row r="457">
      <c r="A457" s="144"/>
    </row>
    <row r="458">
      <c r="A458" s="144"/>
    </row>
    <row r="459">
      <c r="A459" s="144"/>
    </row>
    <row r="460">
      <c r="A460" s="144"/>
    </row>
    <row r="461">
      <c r="A461" s="144"/>
    </row>
    <row r="462">
      <c r="A462" s="144"/>
    </row>
    <row r="463">
      <c r="A463" s="144"/>
    </row>
    <row r="464">
      <c r="A464" s="144"/>
    </row>
    <row r="465">
      <c r="A465" s="144"/>
    </row>
    <row r="466">
      <c r="A466" s="144"/>
    </row>
    <row r="467">
      <c r="A467" s="144"/>
    </row>
    <row r="468">
      <c r="A468" s="144"/>
    </row>
    <row r="469">
      <c r="A469" s="144"/>
    </row>
    <row r="470">
      <c r="A470" s="144"/>
    </row>
    <row r="471">
      <c r="A471" s="144"/>
    </row>
    <row r="472">
      <c r="A472" s="144"/>
    </row>
    <row r="473">
      <c r="A473" s="144"/>
    </row>
    <row r="474">
      <c r="A474" s="144"/>
    </row>
    <row r="475">
      <c r="A475" s="144"/>
    </row>
    <row r="476">
      <c r="A476" s="144"/>
    </row>
    <row r="477">
      <c r="A477" s="144"/>
    </row>
    <row r="478">
      <c r="A478" s="144"/>
    </row>
    <row r="479">
      <c r="A479" s="144"/>
    </row>
    <row r="480">
      <c r="A480" s="144"/>
    </row>
    <row r="481">
      <c r="A481" s="144"/>
    </row>
    <row r="482">
      <c r="A482" s="144"/>
    </row>
    <row r="483">
      <c r="A483" s="144"/>
    </row>
    <row r="484">
      <c r="A484" s="144"/>
    </row>
    <row r="485">
      <c r="A485" s="144"/>
    </row>
    <row r="486">
      <c r="A486" s="144"/>
    </row>
    <row r="487">
      <c r="A487" s="144"/>
    </row>
    <row r="488">
      <c r="A488" s="144"/>
    </row>
    <row r="489">
      <c r="A489" s="144"/>
    </row>
    <row r="490">
      <c r="A490" s="144"/>
    </row>
    <row r="491">
      <c r="A491" s="144"/>
    </row>
    <row r="492">
      <c r="A492" s="144"/>
    </row>
    <row r="493">
      <c r="A493" s="144"/>
    </row>
    <row r="494">
      <c r="A494" s="144"/>
    </row>
    <row r="495">
      <c r="A495" s="144"/>
    </row>
    <row r="496">
      <c r="A496" s="144"/>
    </row>
    <row r="497">
      <c r="A497" s="144"/>
    </row>
    <row r="498">
      <c r="A498" s="144"/>
    </row>
    <row r="499">
      <c r="A499" s="144"/>
    </row>
    <row r="500">
      <c r="A500" s="144"/>
    </row>
    <row r="501">
      <c r="A501" s="144"/>
    </row>
    <row r="502">
      <c r="A502" s="144"/>
    </row>
    <row r="503">
      <c r="A503" s="144"/>
    </row>
    <row r="504">
      <c r="A504" s="144"/>
    </row>
    <row r="505">
      <c r="A505" s="144"/>
    </row>
    <row r="506">
      <c r="A506" s="144"/>
    </row>
    <row r="507">
      <c r="A507" s="144"/>
    </row>
    <row r="508">
      <c r="A508" s="144"/>
    </row>
    <row r="509">
      <c r="A509" s="144"/>
    </row>
    <row r="510">
      <c r="A510" s="144"/>
    </row>
    <row r="511">
      <c r="A511" s="144"/>
    </row>
    <row r="512">
      <c r="A512" s="144"/>
    </row>
    <row r="513">
      <c r="A513" s="144"/>
    </row>
    <row r="514">
      <c r="A514" s="144"/>
    </row>
    <row r="515">
      <c r="A515" s="144"/>
    </row>
    <row r="516">
      <c r="A516" s="144"/>
    </row>
    <row r="517">
      <c r="A517" s="144"/>
    </row>
    <row r="518">
      <c r="A518" s="144"/>
    </row>
    <row r="519">
      <c r="A519" s="144"/>
    </row>
    <row r="520">
      <c r="A520" s="144"/>
    </row>
    <row r="521">
      <c r="A521" s="144"/>
    </row>
    <row r="522">
      <c r="A522" s="144"/>
    </row>
    <row r="523">
      <c r="A523" s="144"/>
    </row>
    <row r="524">
      <c r="A524" s="144"/>
    </row>
    <row r="525">
      <c r="A525" s="144"/>
    </row>
    <row r="526">
      <c r="A526" s="144"/>
    </row>
    <row r="527">
      <c r="A527" s="144"/>
    </row>
    <row r="528">
      <c r="A528" s="144"/>
    </row>
    <row r="529">
      <c r="A529" s="144"/>
    </row>
    <row r="530">
      <c r="A530" s="144"/>
    </row>
    <row r="531">
      <c r="A531" s="144"/>
    </row>
    <row r="532">
      <c r="A532" s="144"/>
    </row>
    <row r="533">
      <c r="A533" s="144"/>
    </row>
    <row r="534">
      <c r="A534" s="144"/>
    </row>
    <row r="535">
      <c r="A535" s="144"/>
    </row>
    <row r="536">
      <c r="A536" s="144"/>
    </row>
    <row r="537">
      <c r="A537" s="144"/>
    </row>
    <row r="538">
      <c r="A538" s="144"/>
    </row>
    <row r="539">
      <c r="A539" s="144"/>
    </row>
    <row r="540">
      <c r="A540" s="144"/>
    </row>
    <row r="541">
      <c r="A541" s="144"/>
    </row>
    <row r="542">
      <c r="A542" s="144"/>
    </row>
    <row r="543">
      <c r="A543" s="144"/>
    </row>
    <row r="544">
      <c r="A544" s="144"/>
    </row>
    <row r="545">
      <c r="A545" s="144"/>
    </row>
    <row r="546">
      <c r="A546" s="144"/>
    </row>
    <row r="547">
      <c r="A547" s="144"/>
    </row>
    <row r="548">
      <c r="A548" s="144"/>
    </row>
    <row r="549">
      <c r="A549" s="144"/>
    </row>
    <row r="550">
      <c r="A550" s="144"/>
    </row>
    <row r="551">
      <c r="A551" s="144"/>
    </row>
    <row r="552">
      <c r="A552" s="144"/>
    </row>
    <row r="553">
      <c r="A553" s="144"/>
    </row>
    <row r="554">
      <c r="A554" s="144"/>
    </row>
    <row r="555">
      <c r="A555" s="144"/>
    </row>
    <row r="556">
      <c r="A556" s="144"/>
    </row>
    <row r="557">
      <c r="A557" s="144"/>
    </row>
    <row r="558">
      <c r="A558" s="144"/>
    </row>
    <row r="559">
      <c r="A559" s="144"/>
    </row>
    <row r="560">
      <c r="A560" s="144"/>
    </row>
    <row r="561">
      <c r="A561" s="144"/>
    </row>
    <row r="562">
      <c r="A562" s="144"/>
    </row>
    <row r="563">
      <c r="A563" s="144"/>
    </row>
    <row r="564">
      <c r="A564" s="144"/>
    </row>
    <row r="565">
      <c r="A565" s="144"/>
    </row>
    <row r="566">
      <c r="A566" s="144"/>
    </row>
    <row r="567">
      <c r="A567" s="144"/>
    </row>
    <row r="568">
      <c r="A568" s="144"/>
    </row>
    <row r="569">
      <c r="A569" s="144"/>
    </row>
    <row r="570">
      <c r="A570" s="144"/>
    </row>
    <row r="571">
      <c r="A571" s="144"/>
    </row>
    <row r="572">
      <c r="A572" s="144"/>
    </row>
    <row r="573">
      <c r="A573" s="144"/>
    </row>
    <row r="574">
      <c r="A574" s="144"/>
    </row>
    <row r="575">
      <c r="A575" s="144"/>
    </row>
    <row r="576">
      <c r="A576" s="144"/>
    </row>
    <row r="577">
      <c r="A577" s="144"/>
    </row>
    <row r="578">
      <c r="A578" s="144"/>
    </row>
    <row r="579">
      <c r="A579" s="144"/>
    </row>
    <row r="580">
      <c r="A580" s="144"/>
    </row>
    <row r="581">
      <c r="A581" s="144"/>
    </row>
    <row r="582">
      <c r="A582" s="144"/>
    </row>
    <row r="583">
      <c r="A583" s="144"/>
    </row>
    <row r="584">
      <c r="A584" s="144"/>
    </row>
    <row r="585">
      <c r="A585" s="144"/>
    </row>
    <row r="586">
      <c r="A586" s="144"/>
    </row>
    <row r="587">
      <c r="A587" s="144"/>
    </row>
    <row r="588">
      <c r="A588" s="144"/>
    </row>
    <row r="589">
      <c r="A589" s="144"/>
    </row>
    <row r="590">
      <c r="A590" s="144"/>
    </row>
    <row r="591">
      <c r="A591" s="144"/>
    </row>
    <row r="592">
      <c r="A592" s="144"/>
    </row>
    <row r="593">
      <c r="A593" s="144"/>
    </row>
    <row r="594">
      <c r="A594" s="144"/>
    </row>
    <row r="595">
      <c r="A595" s="144"/>
    </row>
    <row r="596">
      <c r="A596" s="144"/>
    </row>
    <row r="597">
      <c r="A597" s="144"/>
    </row>
    <row r="598">
      <c r="A598" s="144"/>
    </row>
    <row r="599">
      <c r="A599" s="144"/>
    </row>
    <row r="600">
      <c r="A600" s="144"/>
    </row>
    <row r="601">
      <c r="A601" s="144"/>
    </row>
    <row r="602">
      <c r="A602" s="144"/>
    </row>
    <row r="603">
      <c r="A603" s="144"/>
    </row>
    <row r="604">
      <c r="A604" s="144"/>
    </row>
    <row r="605">
      <c r="A605" s="144"/>
    </row>
    <row r="606">
      <c r="A606" s="144"/>
    </row>
    <row r="607">
      <c r="A607" s="144"/>
    </row>
    <row r="608">
      <c r="A608" s="144"/>
    </row>
    <row r="609">
      <c r="A609" s="144"/>
    </row>
    <row r="610">
      <c r="A610" s="144"/>
    </row>
    <row r="611">
      <c r="A611" s="144"/>
    </row>
    <row r="612">
      <c r="A612" s="144"/>
    </row>
    <row r="613">
      <c r="A613" s="144"/>
    </row>
    <row r="614">
      <c r="A614" s="144"/>
    </row>
    <row r="615">
      <c r="A615" s="144"/>
    </row>
    <row r="616">
      <c r="A616" s="144"/>
    </row>
    <row r="617">
      <c r="A617" s="144"/>
    </row>
    <row r="618">
      <c r="A618" s="144"/>
    </row>
    <row r="619">
      <c r="A619" s="144"/>
    </row>
    <row r="620">
      <c r="A620" s="144"/>
    </row>
    <row r="621">
      <c r="A621" s="144"/>
    </row>
    <row r="622">
      <c r="A622" s="144"/>
    </row>
    <row r="623">
      <c r="A623" s="144"/>
    </row>
    <row r="624">
      <c r="A624" s="144"/>
    </row>
    <row r="625">
      <c r="A625" s="144"/>
    </row>
    <row r="626">
      <c r="A626" s="144"/>
    </row>
    <row r="627">
      <c r="A627" s="144"/>
    </row>
    <row r="628">
      <c r="A628" s="144"/>
    </row>
    <row r="629">
      <c r="A629" s="144"/>
    </row>
    <row r="630">
      <c r="A630" s="144"/>
    </row>
    <row r="631">
      <c r="A631" s="144"/>
    </row>
    <row r="632">
      <c r="A632" s="144"/>
    </row>
    <row r="633">
      <c r="A633" s="144"/>
    </row>
    <row r="634">
      <c r="A634" s="144"/>
    </row>
    <row r="635">
      <c r="A635" s="144"/>
    </row>
    <row r="636">
      <c r="A636" s="144"/>
    </row>
    <row r="637">
      <c r="A637" s="144"/>
    </row>
    <row r="638">
      <c r="A638" s="144"/>
    </row>
    <row r="639">
      <c r="A639" s="144"/>
    </row>
    <row r="640">
      <c r="A640" s="144"/>
    </row>
    <row r="641">
      <c r="A641" s="144"/>
    </row>
    <row r="642">
      <c r="A642" s="144"/>
    </row>
    <row r="643">
      <c r="A643" s="144"/>
    </row>
    <row r="644">
      <c r="A644" s="144"/>
    </row>
    <row r="645">
      <c r="A645" s="144"/>
    </row>
    <row r="646">
      <c r="A646" s="144"/>
    </row>
    <row r="647">
      <c r="A647" s="144"/>
    </row>
    <row r="648">
      <c r="A648" s="144"/>
    </row>
    <row r="649">
      <c r="A649" s="144"/>
    </row>
    <row r="650">
      <c r="A650" s="144"/>
    </row>
    <row r="651">
      <c r="A651" s="144"/>
    </row>
    <row r="652">
      <c r="A652" s="144"/>
    </row>
    <row r="653">
      <c r="A653" s="144"/>
    </row>
    <row r="654">
      <c r="A654" s="144"/>
    </row>
    <row r="655">
      <c r="A655" s="144"/>
    </row>
    <row r="656">
      <c r="A656" s="144"/>
    </row>
    <row r="657">
      <c r="A657" s="144"/>
    </row>
    <row r="658">
      <c r="A658" s="144"/>
    </row>
    <row r="659">
      <c r="A659" s="144"/>
    </row>
    <row r="660">
      <c r="A660" s="144"/>
    </row>
    <row r="661">
      <c r="A661" s="144"/>
    </row>
    <row r="662">
      <c r="A662" s="144"/>
    </row>
    <row r="663">
      <c r="A663" s="144"/>
    </row>
    <row r="664">
      <c r="A664" s="144"/>
    </row>
    <row r="665">
      <c r="A665" s="144"/>
    </row>
    <row r="666">
      <c r="A666" s="144"/>
    </row>
    <row r="667">
      <c r="A667" s="144"/>
    </row>
    <row r="668">
      <c r="A668" s="144"/>
    </row>
    <row r="669">
      <c r="A669" s="144"/>
    </row>
    <row r="670">
      <c r="A670" s="144"/>
    </row>
    <row r="671">
      <c r="A671" s="144"/>
    </row>
    <row r="672">
      <c r="A672" s="144"/>
    </row>
    <row r="673">
      <c r="A673" s="144"/>
    </row>
    <row r="674">
      <c r="A674" s="144"/>
    </row>
    <row r="675">
      <c r="A675" s="144"/>
    </row>
    <row r="676">
      <c r="A676" s="144"/>
    </row>
    <row r="677">
      <c r="A677" s="144"/>
    </row>
    <row r="678">
      <c r="A678" s="144"/>
    </row>
    <row r="679">
      <c r="A679" s="144"/>
    </row>
    <row r="680">
      <c r="A680" s="144"/>
    </row>
    <row r="681">
      <c r="A681" s="144"/>
    </row>
    <row r="682">
      <c r="A682" s="144"/>
    </row>
    <row r="683">
      <c r="A683" s="144"/>
    </row>
    <row r="684">
      <c r="A684" s="144"/>
    </row>
    <row r="685">
      <c r="A685" s="144"/>
    </row>
    <row r="686">
      <c r="A686" s="144"/>
    </row>
    <row r="687">
      <c r="A687" s="144"/>
    </row>
    <row r="688">
      <c r="A688" s="144"/>
    </row>
    <row r="689">
      <c r="A689" s="144"/>
    </row>
    <row r="690">
      <c r="A690" s="144"/>
    </row>
    <row r="691">
      <c r="A691" s="144"/>
    </row>
    <row r="692">
      <c r="A692" s="144"/>
    </row>
    <row r="693">
      <c r="A693" s="144"/>
    </row>
    <row r="694">
      <c r="A694" s="144"/>
    </row>
    <row r="695">
      <c r="A695" s="144"/>
    </row>
    <row r="696">
      <c r="A696" s="144"/>
    </row>
    <row r="697">
      <c r="A697" s="144"/>
    </row>
    <row r="698">
      <c r="A698" s="144"/>
    </row>
    <row r="699">
      <c r="A699" s="144"/>
    </row>
    <row r="700">
      <c r="A700" s="144"/>
    </row>
    <row r="701">
      <c r="A701" s="144"/>
    </row>
    <row r="702">
      <c r="A702" s="144"/>
    </row>
    <row r="703">
      <c r="A703" s="144"/>
    </row>
    <row r="704">
      <c r="A704" s="144"/>
    </row>
    <row r="705">
      <c r="A705" s="144"/>
    </row>
    <row r="706">
      <c r="A706" s="144"/>
    </row>
    <row r="707">
      <c r="A707" s="144"/>
    </row>
    <row r="708">
      <c r="A708" s="144"/>
    </row>
    <row r="709">
      <c r="A709" s="144"/>
    </row>
    <row r="710">
      <c r="A710" s="144"/>
    </row>
    <row r="711">
      <c r="A711" s="144"/>
    </row>
    <row r="712">
      <c r="A712" s="144"/>
    </row>
    <row r="713">
      <c r="A713" s="144"/>
    </row>
    <row r="714">
      <c r="A714" s="144"/>
    </row>
    <row r="715">
      <c r="A715" s="144"/>
    </row>
    <row r="716">
      <c r="A716" s="144"/>
    </row>
    <row r="717">
      <c r="A717" s="144"/>
    </row>
    <row r="718">
      <c r="A718" s="144"/>
    </row>
    <row r="719">
      <c r="A719" s="144"/>
    </row>
    <row r="720">
      <c r="A720" s="144"/>
    </row>
    <row r="721">
      <c r="A721" s="144"/>
    </row>
    <row r="722">
      <c r="A722" s="144"/>
    </row>
    <row r="723">
      <c r="A723" s="144"/>
    </row>
    <row r="724">
      <c r="A724" s="144"/>
    </row>
    <row r="725">
      <c r="A725" s="144"/>
    </row>
    <row r="726">
      <c r="A726" s="144"/>
    </row>
    <row r="727">
      <c r="A727" s="144"/>
    </row>
    <row r="728">
      <c r="A728" s="144"/>
    </row>
    <row r="729">
      <c r="A729" s="144"/>
    </row>
    <row r="730">
      <c r="A730" s="144"/>
    </row>
    <row r="731">
      <c r="A731" s="144"/>
    </row>
    <row r="732">
      <c r="A732" s="144"/>
    </row>
    <row r="733">
      <c r="A733" s="144"/>
    </row>
    <row r="734">
      <c r="A734" s="144"/>
    </row>
    <row r="735">
      <c r="A735" s="144"/>
    </row>
    <row r="736">
      <c r="A736" s="144"/>
    </row>
    <row r="737">
      <c r="A737" s="144"/>
    </row>
    <row r="738">
      <c r="A738" s="144"/>
    </row>
    <row r="739">
      <c r="A739" s="144"/>
    </row>
    <row r="740">
      <c r="A740" s="144"/>
    </row>
    <row r="741">
      <c r="A741" s="144"/>
    </row>
    <row r="742">
      <c r="A742" s="144"/>
    </row>
    <row r="743">
      <c r="A743" s="144"/>
    </row>
    <row r="744">
      <c r="A744" s="144"/>
    </row>
    <row r="745">
      <c r="A745" s="144"/>
    </row>
    <row r="746">
      <c r="A746" s="144"/>
    </row>
    <row r="747">
      <c r="A747" s="144"/>
    </row>
    <row r="748">
      <c r="A748" s="144"/>
    </row>
    <row r="749">
      <c r="A749" s="144"/>
    </row>
    <row r="750">
      <c r="A750" s="144"/>
    </row>
    <row r="751">
      <c r="A751" s="144"/>
    </row>
    <row r="752">
      <c r="A752" s="144"/>
    </row>
    <row r="753">
      <c r="A753" s="144"/>
    </row>
    <row r="754">
      <c r="A754" s="144"/>
    </row>
    <row r="755">
      <c r="A755" s="144"/>
    </row>
    <row r="756">
      <c r="A756" s="144"/>
    </row>
    <row r="757">
      <c r="A757" s="144"/>
    </row>
    <row r="758">
      <c r="A758" s="144"/>
    </row>
    <row r="759">
      <c r="A759" s="144"/>
    </row>
    <row r="760">
      <c r="A760" s="144"/>
    </row>
    <row r="761">
      <c r="A761" s="144"/>
    </row>
    <row r="762">
      <c r="A762" s="144"/>
    </row>
    <row r="763">
      <c r="A763" s="144"/>
    </row>
    <row r="764">
      <c r="A764" s="144"/>
    </row>
    <row r="765">
      <c r="A765" s="144"/>
    </row>
    <row r="766">
      <c r="A766" s="144"/>
    </row>
    <row r="767">
      <c r="A767" s="144"/>
    </row>
    <row r="768">
      <c r="A768" s="144"/>
    </row>
    <row r="769">
      <c r="A769" s="144"/>
    </row>
    <row r="770">
      <c r="A770" s="144"/>
    </row>
    <row r="771">
      <c r="A771" s="144"/>
    </row>
    <row r="772">
      <c r="A772" s="144"/>
    </row>
    <row r="773">
      <c r="A773" s="144"/>
    </row>
    <row r="774">
      <c r="A774" s="144"/>
    </row>
    <row r="775">
      <c r="A775" s="144"/>
    </row>
    <row r="776">
      <c r="A776" s="144"/>
    </row>
    <row r="777">
      <c r="A777" s="144"/>
    </row>
    <row r="778">
      <c r="A778" s="144"/>
    </row>
    <row r="779">
      <c r="A779" s="144"/>
    </row>
    <row r="780">
      <c r="A780" s="144"/>
    </row>
    <row r="781">
      <c r="A781" s="144"/>
    </row>
    <row r="782">
      <c r="A782" s="144"/>
    </row>
    <row r="783">
      <c r="A783" s="144"/>
    </row>
    <row r="784">
      <c r="A784" s="144"/>
    </row>
    <row r="785">
      <c r="A785" s="144"/>
    </row>
    <row r="786">
      <c r="A786" s="144"/>
    </row>
    <row r="787">
      <c r="A787" s="144"/>
    </row>
    <row r="788">
      <c r="A788" s="144"/>
    </row>
    <row r="789">
      <c r="A789" s="144"/>
    </row>
    <row r="790">
      <c r="A790" s="144"/>
    </row>
    <row r="791">
      <c r="A791" s="144"/>
    </row>
    <row r="792">
      <c r="A792" s="144"/>
    </row>
    <row r="793">
      <c r="A793" s="144"/>
    </row>
    <row r="794">
      <c r="A794" s="144"/>
    </row>
    <row r="795">
      <c r="A795" s="144"/>
    </row>
    <row r="796">
      <c r="A796" s="144"/>
    </row>
    <row r="797">
      <c r="A797" s="144"/>
    </row>
    <row r="798">
      <c r="A798" s="144"/>
    </row>
    <row r="799">
      <c r="A799" s="144"/>
    </row>
    <row r="800">
      <c r="A800" s="144"/>
    </row>
    <row r="801">
      <c r="A801" s="144"/>
    </row>
    <row r="802">
      <c r="A802" s="144"/>
    </row>
    <row r="803">
      <c r="A803" s="144"/>
    </row>
    <row r="804">
      <c r="A804" s="144"/>
    </row>
    <row r="805">
      <c r="A805" s="144"/>
    </row>
    <row r="806">
      <c r="A806" s="144"/>
    </row>
    <row r="807">
      <c r="A807" s="144"/>
    </row>
    <row r="808">
      <c r="A808" s="144"/>
    </row>
    <row r="809">
      <c r="A809" s="144"/>
    </row>
    <row r="810">
      <c r="A810" s="144"/>
    </row>
    <row r="811">
      <c r="A811" s="144"/>
    </row>
    <row r="812">
      <c r="A812" s="144"/>
    </row>
    <row r="813">
      <c r="A813" s="144"/>
    </row>
    <row r="814">
      <c r="A814" s="144"/>
    </row>
    <row r="815">
      <c r="A815" s="144"/>
    </row>
    <row r="816">
      <c r="A816" s="144"/>
    </row>
    <row r="817">
      <c r="A817" s="144"/>
    </row>
    <row r="818">
      <c r="A818" s="144"/>
    </row>
    <row r="819">
      <c r="A819" s="144"/>
    </row>
    <row r="820">
      <c r="A820" s="144"/>
    </row>
    <row r="821">
      <c r="A821" s="144"/>
    </row>
    <row r="822">
      <c r="A822" s="144"/>
    </row>
    <row r="823">
      <c r="A823" s="144"/>
    </row>
    <row r="824">
      <c r="A824" s="144"/>
    </row>
    <row r="825">
      <c r="A825" s="144"/>
    </row>
    <row r="826">
      <c r="A826" s="144"/>
    </row>
    <row r="827">
      <c r="A827" s="144"/>
    </row>
    <row r="828">
      <c r="A828" s="144"/>
    </row>
    <row r="829">
      <c r="A829" s="144"/>
    </row>
    <row r="830">
      <c r="A830" s="144"/>
    </row>
    <row r="831">
      <c r="A831" s="144"/>
    </row>
    <row r="832">
      <c r="A832" s="144"/>
    </row>
    <row r="833">
      <c r="A833" s="144"/>
    </row>
    <row r="834">
      <c r="A834" s="144"/>
    </row>
    <row r="835">
      <c r="A835" s="144"/>
    </row>
    <row r="836">
      <c r="A836" s="144"/>
    </row>
    <row r="837">
      <c r="A837" s="144"/>
    </row>
    <row r="838">
      <c r="A838" s="144"/>
    </row>
    <row r="839">
      <c r="A839" s="144"/>
    </row>
    <row r="840">
      <c r="A840" s="144"/>
    </row>
    <row r="841">
      <c r="A841" s="144"/>
    </row>
    <row r="842">
      <c r="A842" s="144"/>
    </row>
    <row r="843">
      <c r="A843" s="144"/>
    </row>
    <row r="844">
      <c r="A844" s="144"/>
    </row>
    <row r="845">
      <c r="A845" s="144"/>
    </row>
    <row r="846">
      <c r="A846" s="144"/>
    </row>
    <row r="847">
      <c r="A847" s="144"/>
    </row>
    <row r="848">
      <c r="A848" s="144"/>
    </row>
    <row r="849">
      <c r="A849" s="144"/>
    </row>
    <row r="850">
      <c r="A850" s="144"/>
    </row>
    <row r="851">
      <c r="A851" s="144"/>
    </row>
    <row r="852">
      <c r="A852" s="144"/>
    </row>
    <row r="853">
      <c r="A853" s="144"/>
    </row>
    <row r="854">
      <c r="A854" s="144"/>
    </row>
    <row r="855">
      <c r="A855" s="144"/>
    </row>
    <row r="856">
      <c r="A856" s="144"/>
    </row>
    <row r="857">
      <c r="A857" s="144"/>
    </row>
    <row r="858">
      <c r="A858" s="144"/>
    </row>
    <row r="859">
      <c r="A859" s="144"/>
    </row>
    <row r="860">
      <c r="A860" s="144"/>
    </row>
    <row r="861">
      <c r="A861" s="144"/>
    </row>
    <row r="862">
      <c r="A862" s="144"/>
    </row>
    <row r="863">
      <c r="A863" s="144"/>
    </row>
    <row r="864">
      <c r="A864" s="144"/>
    </row>
    <row r="865">
      <c r="A865" s="144"/>
    </row>
    <row r="866">
      <c r="A866" s="144"/>
    </row>
    <row r="867">
      <c r="A867" s="144"/>
    </row>
    <row r="868">
      <c r="A868" s="144"/>
    </row>
    <row r="869">
      <c r="A869" s="144"/>
    </row>
    <row r="870">
      <c r="A870" s="144"/>
    </row>
    <row r="871">
      <c r="A871" s="144"/>
    </row>
    <row r="872">
      <c r="A872" s="144"/>
    </row>
    <row r="873">
      <c r="A873" s="144"/>
    </row>
    <row r="874">
      <c r="A874" s="144"/>
    </row>
    <row r="875">
      <c r="A875" s="144"/>
    </row>
    <row r="876">
      <c r="A876" s="144"/>
    </row>
    <row r="877">
      <c r="A877" s="144"/>
    </row>
    <row r="878">
      <c r="A878" s="144"/>
    </row>
    <row r="879">
      <c r="A879" s="144"/>
    </row>
    <row r="880">
      <c r="A880" s="144"/>
    </row>
    <row r="881">
      <c r="A881" s="144"/>
    </row>
    <row r="882">
      <c r="A882" s="144"/>
    </row>
    <row r="883">
      <c r="A883" s="144"/>
    </row>
    <row r="884">
      <c r="A884" s="144"/>
    </row>
    <row r="885">
      <c r="A885" s="144"/>
    </row>
    <row r="886">
      <c r="A886" s="144"/>
    </row>
    <row r="887">
      <c r="A887" s="144"/>
    </row>
    <row r="888">
      <c r="A888" s="144"/>
    </row>
    <row r="889">
      <c r="A889" s="144"/>
    </row>
    <row r="890">
      <c r="A890" s="144"/>
    </row>
    <row r="891">
      <c r="A891" s="144"/>
    </row>
    <row r="892">
      <c r="A892" s="144"/>
    </row>
    <row r="893">
      <c r="A893" s="144"/>
    </row>
    <row r="894">
      <c r="A894" s="144"/>
    </row>
    <row r="895">
      <c r="A895" s="144"/>
    </row>
    <row r="896">
      <c r="A896" s="144"/>
    </row>
    <row r="897">
      <c r="A897" s="144"/>
    </row>
    <row r="898">
      <c r="A898" s="144"/>
    </row>
    <row r="899">
      <c r="A899" s="144"/>
    </row>
    <row r="900">
      <c r="A900" s="144"/>
    </row>
    <row r="901">
      <c r="A901" s="144"/>
    </row>
    <row r="902">
      <c r="A902" s="144"/>
    </row>
    <row r="903">
      <c r="A903" s="144"/>
    </row>
    <row r="904">
      <c r="A904" s="144"/>
    </row>
    <row r="905">
      <c r="A905" s="144"/>
    </row>
    <row r="906">
      <c r="A906" s="144"/>
    </row>
    <row r="907">
      <c r="A907" s="144"/>
    </row>
    <row r="908">
      <c r="A908" s="144"/>
    </row>
    <row r="909">
      <c r="A909" s="144"/>
    </row>
    <row r="910">
      <c r="A910" s="144"/>
    </row>
    <row r="911">
      <c r="A911" s="144"/>
    </row>
    <row r="912">
      <c r="A912" s="144"/>
    </row>
    <row r="913">
      <c r="A913" s="144"/>
    </row>
    <row r="914">
      <c r="A914" s="144"/>
    </row>
    <row r="915">
      <c r="A915" s="144"/>
    </row>
    <row r="916">
      <c r="A916" s="144"/>
    </row>
    <row r="917">
      <c r="A917" s="144"/>
    </row>
    <row r="918">
      <c r="A918" s="144"/>
    </row>
    <row r="919">
      <c r="A919" s="144"/>
    </row>
    <row r="920">
      <c r="A920" s="144"/>
    </row>
    <row r="921">
      <c r="A921" s="144"/>
    </row>
    <row r="922">
      <c r="A922" s="144"/>
    </row>
    <row r="923">
      <c r="A923" s="144"/>
    </row>
    <row r="924">
      <c r="A924" s="144"/>
    </row>
    <row r="925">
      <c r="A925" s="144"/>
    </row>
    <row r="926">
      <c r="A926" s="144"/>
    </row>
    <row r="927">
      <c r="A927" s="144"/>
    </row>
    <row r="928">
      <c r="A928" s="144"/>
    </row>
    <row r="929">
      <c r="A929" s="144"/>
    </row>
    <row r="930">
      <c r="A930" s="144"/>
    </row>
    <row r="931">
      <c r="A931" s="144"/>
    </row>
    <row r="932">
      <c r="A932" s="144"/>
    </row>
    <row r="933">
      <c r="A933" s="144"/>
    </row>
    <row r="934">
      <c r="A934" s="144"/>
    </row>
    <row r="935">
      <c r="A935" s="144"/>
    </row>
    <row r="936">
      <c r="A936" s="144"/>
    </row>
    <row r="937">
      <c r="A937" s="144"/>
    </row>
    <row r="938">
      <c r="A938" s="144"/>
    </row>
    <row r="939">
      <c r="A939" s="144"/>
    </row>
    <row r="940">
      <c r="A940" s="144"/>
    </row>
    <row r="941">
      <c r="A941" s="144"/>
    </row>
    <row r="942">
      <c r="A942" s="144"/>
    </row>
    <row r="943">
      <c r="A943" s="144"/>
    </row>
    <row r="944">
      <c r="A944" s="144"/>
    </row>
    <row r="945">
      <c r="A945" s="144"/>
    </row>
    <row r="946">
      <c r="A946" s="144"/>
    </row>
    <row r="947">
      <c r="A947" s="144"/>
    </row>
    <row r="948">
      <c r="A948" s="144"/>
    </row>
    <row r="949">
      <c r="A949" s="144"/>
    </row>
    <row r="950">
      <c r="A950" s="144"/>
    </row>
    <row r="951">
      <c r="A951" s="144"/>
    </row>
    <row r="952">
      <c r="A952" s="144"/>
    </row>
    <row r="953">
      <c r="A953" s="144"/>
    </row>
    <row r="954">
      <c r="A954" s="144"/>
    </row>
    <row r="955">
      <c r="A955" s="144"/>
    </row>
    <row r="956">
      <c r="A956" s="144"/>
    </row>
    <row r="957">
      <c r="A957" s="144"/>
    </row>
    <row r="958">
      <c r="A958" s="144"/>
    </row>
    <row r="959">
      <c r="A959" s="144"/>
    </row>
    <row r="960">
      <c r="A960" s="144"/>
    </row>
    <row r="961">
      <c r="A961" s="144"/>
    </row>
    <row r="962">
      <c r="A962" s="144"/>
    </row>
    <row r="963">
      <c r="A963" s="144"/>
    </row>
    <row r="964">
      <c r="A964" s="144"/>
    </row>
    <row r="965">
      <c r="A965" s="144"/>
    </row>
    <row r="966">
      <c r="A966" s="144"/>
    </row>
    <row r="967">
      <c r="A967" s="144"/>
    </row>
    <row r="968">
      <c r="A968" s="144"/>
    </row>
    <row r="969">
      <c r="A969" s="144"/>
    </row>
    <row r="970">
      <c r="A970" s="144"/>
    </row>
    <row r="971">
      <c r="A971" s="144"/>
    </row>
    <row r="972">
      <c r="A972" s="144"/>
    </row>
    <row r="973">
      <c r="A973" s="144"/>
    </row>
    <row r="974">
      <c r="A974" s="144"/>
    </row>
    <row r="975">
      <c r="A975" s="144"/>
    </row>
    <row r="976">
      <c r="A976" s="144"/>
    </row>
    <row r="977">
      <c r="A977" s="144"/>
    </row>
    <row r="978">
      <c r="A978" s="144"/>
    </row>
    <row r="979">
      <c r="A979" s="144"/>
    </row>
    <row r="980">
      <c r="A980" s="144"/>
    </row>
    <row r="981">
      <c r="A981" s="144"/>
    </row>
    <row r="982">
      <c r="A982" s="144"/>
    </row>
    <row r="983">
      <c r="A983" s="144"/>
    </row>
    <row r="984">
      <c r="A984" s="144"/>
    </row>
    <row r="985">
      <c r="A985" s="144"/>
    </row>
    <row r="986">
      <c r="A986" s="144"/>
    </row>
    <row r="987">
      <c r="A987" s="144"/>
    </row>
    <row r="988">
      <c r="A988" s="144"/>
    </row>
    <row r="989">
      <c r="A989" s="144"/>
    </row>
    <row r="990">
      <c r="A990" s="144"/>
    </row>
    <row r="991">
      <c r="A991" s="144"/>
    </row>
    <row r="992">
      <c r="A992" s="144"/>
    </row>
    <row r="993">
      <c r="A993" s="144"/>
    </row>
    <row r="994">
      <c r="A994" s="144"/>
    </row>
    <row r="995">
      <c r="A995" s="144"/>
    </row>
    <row r="996">
      <c r="A996" s="144"/>
    </row>
    <row r="997">
      <c r="A997" s="144"/>
    </row>
    <row r="998">
      <c r="A998" s="144"/>
    </row>
    <row r="999">
      <c r="A999" s="144"/>
    </row>
    <row r="1000">
      <c r="A1000" s="144"/>
    </row>
    <row r="1001">
      <c r="A1001" s="144"/>
    </row>
  </sheetData>
  <drawing r:id="rId1"/>
</worksheet>
</file>