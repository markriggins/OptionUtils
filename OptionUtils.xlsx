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TSLA LEAPS vs Spreads" sheetId="1" r:id="rId5"/>
    <sheet state="visible" name="SpreadFinderGraphs" sheetId="2" r:id="rId6"/>
    <sheet state="visible" name="Positions" sheetId="3" r:id="rId7"/>
    <sheet state="visible" name="Inputs" sheetId="4" r:id="rId8"/>
    <sheet state="visible" name="OptionPricesUploaded" sheetId="5" r:id="rId9"/>
    <sheet state="visible" name="SpreadFinder" sheetId="6" r:id="rId10"/>
    <sheet state="visible" name="TSLAPortfolioValueByPrice" sheetId="7" r:id="rId11"/>
    <sheet state="visible" name="README" sheetId="8" r:id="rId12"/>
  </sheets>
  <definedNames>
    <definedName name="Option_purchase_factor">Inputs!$B$5</definedName>
    <definedName name="IronCondorsTable">Positions!$U$3:$AJ$6</definedName>
    <definedName name="Config">#REF!</definedName>
    <definedName name="Portfolios">#REF!</definedName>
    <definedName name="TSLA_shares_for_investment">Inputs!$B$4</definedName>
    <definedName name="Config_TSLA">TSLAPortfolioValueByPrice!$K$1:$L$10</definedName>
    <definedName name="Config_AMZN">#REF!</definedName>
    <definedName name="PortfoliosTable">#REF!</definedName>
    <definedName name="StocksTable">Positions!$U$10:$AC$22</definedName>
    <definedName name="Investment">Inputs!$B$2</definedName>
    <definedName name="BullCallSpreadsTable">Positions!$B$3:$S$79</definedName>
    <definedName name="TSLA_market_price">Inputs!$B$3</definedName>
    <definedName hidden="1" localSheetId="2" name="_xlnm._FilterDatabase">Positions!$B$3:$S$79</definedName>
    <definedName hidden="1" localSheetId="4" name="_xlnm._FilterDatabase">OptionPricesUploaded!$A$1:$L$867</definedName>
    <definedName hidden="1" localSheetId="5" name="_xlnm._FilterDatabase">SpreadFinder!$A$20:$Q$255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tc={117c4590-7711-449f-a003-7147b49de7cb}</author>
    <author>tc={28441218-76c7-4722-a644-c0df0070dcdd}</author>
    <author>tc={61b252aa-438e-4cd7-8eb3-e48b1bb01c4b}</author>
    <author>tc={c83bbd6e-af38-43d2-8e28-ae65d5d67f9d}</author>
  </authors>
  <commentList>
    <comment authorId="0" xr:uid="{117c4590-7711-449f-a003-7147b49de7cb}" ref="A2">
      <text>
        <t xml:space="preserve">[Threaded comment]
 Your version of Excel allows you to read this threaded comment; however, any edits to it will get removed if the file is opened in a newer version of Excel. Learn more: https://go.microsoft.com/fwlink/?linkid=870924
Comment:
	Number of shares or contracts we can buy with our Investment, rounded down
</t>
      </text>
    </comment>
    <comment authorId="1" xr:uid="{28441218-76c7-4722-a644-c0df0070dcdd}" ref="D17">
      <text>
        <t xml:space="preserve">[Threaded comment]
 Your version of Excel allows you to read this threaded comment; however, any edits to it will get removed if the file is opened in a newer version of Excel. Learn more: https://go.microsoft.com/fwlink/?linkid=870924
Comment:
	Surprisingly small because you can only buy a few contracts
</t>
      </text>
    </comment>
    <comment authorId="2" xr:uid="{61b252aa-438e-4cd7-8eb3-e48b1bb01c4b}" ref="A6">
      <text>
        <t xml:space="preserve">[Threaded comment]
 Your version of Excel allows you to read this threaded comment; however, any edits to it will get removed if the file is opened in a newer version of Excel. Learn more: https://go.microsoft.com/fwlink/?linkid=870924
Comment:
	Net price of the spread after buying the low leg and selling the upper one
</t>
      </text>
    </comment>
    <comment authorId="3" xr:uid="{c83bbd6e-af38-43d2-8e28-ae65d5d67f9d}" ref="A8">
      <text>
        <t xml:space="preserve">[Threaded comment]
 Your version of Excel allows you to read this threaded comment; however, any edits to it will get removed if the file is opened in a newer version of Excel. Learn more: https://go.microsoft.com/fwlink/?linkid=870924
Comment:
	Without fractional quantities, we cannot invest 100% of available funds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tc={ca0bb10d-c5bf-4d63-a0df-5fcd490def4e}</author>
    <author>tc={fa95b820-ff61-45b0-9930-47bfdadeaa7f}</author>
  </authors>
  <commentList>
    <comment authorId="0" xr:uid="{ca0bb10d-c5bf-4d63-a0df-5fcd490def4e}" ref="A5">
      <text>
        <t xml:space="preserve">[Threaded comment]
 Your version of Excel allows you to read this threaded comment; however, any edits to it will get removed if the file is opened in a newer version of Excel. Learn more: https://go.microsoft.com/fwlink/?linkid=870924
Comment:
	When buying options, we have to pay closer to Ask than Bid
</t>
      </text>
    </comment>
    <comment authorId="1" xr:uid="{fa95b820-ff61-45b0-9930-47bfdadeaa7f}" ref="B6">
      <text>
        <t xml:space="preserve">[Threaded comment]
 Your version of Excel allows you to read this threaded comment; however, any edits to it will get removed if the file is opened in a newer version of Excel. Learn more: https://go.microsoft.com/fwlink/?linkid=870924
Comment:
	TSLA/OptionPrices/Barchart.com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Stock ticker symbol</t>
      </text>
    </comment>
    <comment authorId="0" ref="B20">
      <text>
        <t xml:space="preserve">Option expiration date</t>
      </text>
    </comment>
    <comment authorId="0" ref="C20">
      <text>
        <t xml:space="preserve">Lower (long) strike - you BUY this call</t>
      </text>
    </comment>
    <comment authorId="0" ref="D20">
      <text>
        <t xml:space="preserve">Upper (short) strike - you SELL this call</t>
      </text>
    </comment>
    <comment authorId="0" ref="E20">
      <text>
        <t xml:space="preserve">Spread width = Upper - Lower (max profit potential)</t>
      </text>
    </comment>
    <comment authorId="0" ref="F20">
      <text>
        <t xml:space="preserve">Net debit to open (editable - formulas recalculate)</t>
      </text>
    </comment>
    <comment authorId="0" ref="G20">
      <text>
        <t xml:space="preserve">Max profit = Width - Debit (if stock &gt; Upper at expiry)</t>
      </text>
    </comment>
    <comment authorId="0" ref="H20">
      <text>
        <t xml:space="preserve">Return on Investment = MaxProfit / Debit</t>
      </text>
    </comment>
    <comment authorId="0" ref="I20">
      <text>
        <t xml:space="preserve">Delta of lower call (0-1). Higher = more ITM, higher prob of profit</t>
      </text>
    </comment>
    <comment authorId="0" ref="J20">
      <text>
        <t xml:space="preserve">Delta of upper call. Lower than LowerDelta since further OTM</t>
      </text>
    </comment>
    <comment authorId="0" ref="K20">
      <text>
        <t xml:space="preserve">Open Interest on lower strike. Higher = better liquidity</t>
      </text>
    </comment>
    <comment authorId="0" ref="L20">
      <text>
        <t xml:space="preserve">Open Interest on upper strike. Want both legs liquid</t>
      </text>
    </comment>
    <comment authorId="0" ref="M20">
      <text>
        <t xml:space="preserve">Liquidity score = sqrt(LowerOI × UpperOI) / 100</t>
      </text>
    </comment>
    <comment authorId="0" ref="N20">
      <text>
        <t xml:space="preserve">Bid-ask tightness. Higher = tighter spreads, better fills</t>
      </text>
    </comment>
    <comment authorId="0" ref="O20">
      <text>
        <t xml:space="preserve">Fitness = ROI × sqrt(Liquidity) × sqrt(Tightness)</t>
      </text>
    </comment>
    <comment authorId="0" ref="P20">
      <text>
        <t xml:space="preserve">Link to OptionStrat visualization</t>
      </text>
    </comment>
    <comment authorId="0" ref="Q20">
      <text>
        <t xml:space="preserve">Label for chart identification</t>
      </text>
    </comment>
  </commentList>
</comments>
</file>

<file path=xl/sharedStrings.xml><?xml version="1.0" encoding="utf-8"?>
<sst xmlns="http://schemas.openxmlformats.org/spreadsheetml/2006/main" count="2197" uniqueCount="186">
  <si>
    <t>Filled</t>
  </si>
  <si>
    <t>Count</t>
  </si>
  <si>
    <t>Strike</t>
  </si>
  <si>
    <t>Expiration</t>
  </si>
  <si>
    <t>Est Price / Contract</t>
  </si>
  <si>
    <t>Price / Contract</t>
  </si>
  <si>
    <t>Investment</t>
  </si>
  <si>
    <t>TSLA per share</t>
  </si>
  <si>
    <t>Shares</t>
  </si>
  <si>
    <t>350 LEAPs</t>
  </si>
  <si>
    <t>450 LEAPs</t>
  </si>
  <si>
    <t>700 LEAPs</t>
  </si>
  <si>
    <t>300/400</t>
  </si>
  <si>
    <t>300/400 2</t>
  </si>
  <si>
    <t>300/440</t>
  </si>
  <si>
    <t>300/600</t>
  </si>
  <si>
    <t>350/450</t>
  </si>
  <si>
    <t>350/550</t>
  </si>
  <si>
    <t>350/550 2</t>
  </si>
  <si>
    <t>400/450</t>
  </si>
  <si>
    <t>400/550</t>
  </si>
  <si>
    <t>400/550 2</t>
  </si>
  <si>
    <t>400/600</t>
  </si>
  <si>
    <t>450/500</t>
  </si>
  <si>
    <t>450/460</t>
  </si>
  <si>
    <t>460/480</t>
  </si>
  <si>
    <t>450/550</t>
  </si>
  <si>
    <t>450/650</t>
  </si>
  <si>
    <t>500/700</t>
  </si>
  <si>
    <t>550/650</t>
  </si>
  <si>
    <t>650/700</t>
  </si>
  <si>
    <t>700/800</t>
  </si>
  <si>
    <t>Data from SpreadFinder - 1/27/2026, 11:23:49 AM</t>
  </si>
  <si>
    <t>Delete this sheet to reset chart to defaults</t>
  </si>
  <si>
    <t>Actual Positions</t>
  </si>
  <si>
    <t>Symbol</t>
  </si>
  <si>
    <t>Spread</t>
  </si>
  <si>
    <t>Long Strike</t>
  </si>
  <si>
    <t>Short Strike</t>
  </si>
  <si>
    <t>Break Even</t>
  </si>
  <si>
    <t>Rec Debit</t>
  </si>
  <si>
    <t>Rec Credit</t>
  </si>
  <si>
    <t>Link</t>
  </si>
  <si>
    <t>Target</t>
  </si>
  <si>
    <t>Target Invst</t>
  </si>
  <si>
    <t>Contracts</t>
  </si>
  <si>
    <t>Debit</t>
  </si>
  <si>
    <t>Avg Debit</t>
  </si>
  <si>
    <t>Gain</t>
  </si>
  <si>
    <t>Gain %</t>
  </si>
  <si>
    <t>Max Gain %</t>
  </si>
  <si>
    <t>Status</t>
  </si>
  <si>
    <t>Start</t>
  </si>
  <si>
    <t>Buy Put</t>
  </si>
  <si>
    <t>Sell put</t>
  </si>
  <si>
    <t>Sell Call</t>
  </si>
  <si>
    <t>Buy Call</t>
  </si>
  <si>
    <t>Credit</t>
  </si>
  <si>
    <t>Qty</t>
  </si>
  <si>
    <t>Net</t>
  </si>
  <si>
    <t>TSLA</t>
  </si>
  <si>
    <t>https://optionstrat.com/FTIl2EggYZoo</t>
  </si>
  <si>
    <t>Open</t>
  </si>
  <si>
    <t>https://optionstrat.com/VOUvLKt884pn</t>
  </si>
  <si>
    <t>AMZN</t>
  </si>
  <si>
    <t>Closed</t>
  </si>
  <si>
    <t>https://optionstrat.com/XKUiiOIeBNHm</t>
  </si>
  <si>
    <t>Date</t>
  </si>
  <si>
    <t>Price</t>
  </si>
  <si>
    <t>Ave Price</t>
  </si>
  <si>
    <t>CurrentPrice</t>
  </si>
  <si>
    <t>450</t>
  </si>
  <si>
    <t>https://optionstrat.com/TG7vQjv91ABh</t>
  </si>
  <si>
    <t>12/10</t>
  </si>
  <si>
    <t>https://optionstrat.com/PxIITSwWeXfl</t>
  </si>
  <si>
    <t>https://optionstrat.com/LYejacDbLSwI</t>
  </si>
  <si>
    <t>https://optionstrat.com/vOPx0VrfIOAb</t>
  </si>
  <si>
    <t>https://optionstrat.com/V0osZTQKda2n</t>
  </si>
  <si>
    <t>https://optionstrat.com/0ObqiG1ismKF</t>
  </si>
  <si>
    <t>https://optionstrat.com/G7N3PsJdJy2e</t>
  </si>
  <si>
    <t>https://optionstrat.com/8I3KWqZfN1Xs</t>
  </si>
  <si>
    <t>Name</t>
  </si>
  <si>
    <t>Value</t>
  </si>
  <si>
    <t>Description</t>
  </si>
  <si>
    <t>Some of the sheets and graphs assume an investment of 100,000 or whatever,  so gains can be seen in dollars</t>
  </si>
  <si>
    <t>TSLA_market_price</t>
  </si>
  <si>
    <t>Dynamic lookup from GoogleFinance</t>
  </si>
  <si>
    <t>TSLA_shares_for_investment</t>
  </si>
  <si>
    <t>Option_purchase_factor</t>
  </si>
  <si>
    <t>OptionPricesFolderId</t>
  </si>
  <si>
    <t>1dy7qJKkJgvoOPwpqyflLAqH5J0YCO2gU</t>
  </si>
  <si>
    <t>App Scripts</t>
  </si>
  <si>
    <t>https://script.google.com/macros/library/d/1qvAlZ99zluKSr3ws4NsxH8xXo1FncbWzu6Yq6raBumHdCLpLDaKveM0T/6</t>
  </si>
  <si>
    <t>https://script.google.com/macros/library/d/1qvAlZ99zluKSr3ws4NsxH8xXo1FncbWzu6Yq6raBumHdCLpLDaKveM0T/50</t>
  </si>
  <si>
    <t>symbol</t>
  </si>
  <si>
    <t>expiration</t>
  </si>
  <si>
    <t>strike</t>
  </si>
  <si>
    <t>type</t>
  </si>
  <si>
    <t>bid</t>
  </si>
  <si>
    <t>mid</t>
  </si>
  <si>
    <t>ask</t>
  </si>
  <si>
    <t>iv</t>
  </si>
  <si>
    <t>delta</t>
  </si>
  <si>
    <t>volume</t>
  </si>
  <si>
    <t>openint</t>
  </si>
  <si>
    <t>moneyness</t>
  </si>
  <si>
    <t>Call</t>
  </si>
  <si>
    <t>Put</t>
  </si>
  <si>
    <t>Setting</t>
  </si>
  <si>
    <t>maxSpreadWidth</t>
  </si>
  <si>
    <t>Maximum spread width in dollars</t>
  </si>
  <si>
    <t>minOpenInterest</t>
  </si>
  <si>
    <t>Minimum open interest for both legs</t>
  </si>
  <si>
    <t>minVolume</t>
  </si>
  <si>
    <t>Minimum volume for both legs</t>
  </si>
  <si>
    <t>patience</t>
  </si>
  <si>
    <t>Minutes for price calculation (0=aggressive, 60=patient)</t>
  </si>
  <si>
    <t>maxDebit</t>
  </si>
  <si>
    <t>Maximum debit per share</t>
  </si>
  <si>
    <t>minROI</t>
  </si>
  <si>
    <t>Minimum ROI (0.5 = 50% return)</t>
  </si>
  <si>
    <t>maxLowerStrike</t>
  </si>
  <si>
    <t>Maximum lower strike price</t>
  </si>
  <si>
    <t>minExpirationMonths</t>
  </si>
  <si>
    <t>Minimum months until expiration</t>
  </si>
  <si>
    <t>startTableOnRow</t>
  </si>
  <si>
    <t>Row number where results table starts</t>
  </si>
  <si>
    <t>Results - 1/27/2026, 11:23:16 AM</t>
  </si>
  <si>
    <t>Lower</t>
  </si>
  <si>
    <t>Upper</t>
  </si>
  <si>
    <t>Width</t>
  </si>
  <si>
    <t>MaxProfit</t>
  </si>
  <si>
    <t>ROI</t>
  </si>
  <si>
    <t>LowerDelta</t>
  </si>
  <si>
    <t>UpperDelta</t>
  </si>
  <si>
    <t>LowerOI</t>
  </si>
  <si>
    <t>UpperOI</t>
  </si>
  <si>
    <t>Liquidity</t>
  </si>
  <si>
    <t>Tightness</t>
  </si>
  <si>
    <t>Fitness</t>
  </si>
  <si>
    <t>OptionStrat</t>
  </si>
  <si>
    <t>Label</t>
  </si>
  <si>
    <t>Config Setting (Description)</t>
  </si>
  <si>
    <t>Min price on x-axis (inclusive)</t>
  </si>
  <si>
    <t>Max price on x-axis (inclusive)</t>
  </si>
  <si>
    <t>Price step size</t>
  </si>
  <si>
    <t>Data table start row (header row)</t>
  </si>
  <si>
    <t>Data table start column</t>
  </si>
  <si>
    <t>Chart title base (used for both charts)</t>
  </si>
  <si>
    <t>TSLA Portfolio Value by Price</t>
  </si>
  <si>
    <t>(Edit values in column L; config is not hidden)</t>
  </si>
  <si>
    <t>Data (generated)</t>
  </si>
  <si>
    <t>Price ($)</t>
  </si>
  <si>
    <t>Shares $</t>
  </si>
  <si>
    <t>Options $</t>
  </si>
  <si>
    <t>Total $</t>
  </si>
  <si>
    <t>Shares % ROI</t>
  </si>
  <si>
    <t>Options % ROI</t>
  </si>
  <si>
    <t>Dec 28 300/440</t>
  </si>
  <si>
    <t>Jun 28 350/450</t>
  </si>
  <si>
    <t>Dec 28 350/450</t>
  </si>
  <si>
    <t>Dec 28 350/550</t>
  </si>
  <si>
    <t>Dec 28 400/450</t>
  </si>
  <si>
    <t>Jun 28 400/550</t>
  </si>
  <si>
    <t>Dec 28 400/550</t>
  </si>
  <si>
    <t>Jun 28 500/700</t>
  </si>
  <si>
    <t>Dec 28 500/700</t>
  </si>
  <si>
    <t>Jan 26 IC 380/450/450/580 (put)</t>
  </si>
  <si>
    <t>Jan 26 IC 380/450/450/580 (call)</t>
  </si>
  <si>
    <t>Dec 28 300/440 %</t>
  </si>
  <si>
    <t>Jun 28 350/450 %</t>
  </si>
  <si>
    <t>Dec 28 350/450 %</t>
  </si>
  <si>
    <t>Dec 28 350/550 %</t>
  </si>
  <si>
    <t>Dec 28 400/450 %</t>
  </si>
  <si>
    <t>Jun 28 400/550 %</t>
  </si>
  <si>
    <t>Dec 28 400/550 %</t>
  </si>
  <si>
    <t>Jun 28 500/700 %</t>
  </si>
  <si>
    <t>Dec 28 500/700 %</t>
  </si>
  <si>
    <t>Jan 26 IC 380/450/450/580 (put) %</t>
  </si>
  <si>
    <t>Jan 26 IC 380/450/450/580 (call) %</t>
  </si>
  <si>
    <t>Deeply analyze this file that contains possible bull-call-spreads for TSLA. Ingnore, for now the strategies of buying pure Leaps and only focus on the spreads. TSLA is down from 490 to 441 (roughly 10%) which is good because right now my portfolio has $275k of cash to re-invest. (After selling a lot of TSLA shares while it was high).</t>
  </si>
  <si>
    <t>The 'Positions' tab shows the current spreads that have been purchased, it has room for several purchases under each spread, and averages to cost and sum up the investment. We also own 682 share of TSLA directly trading at 441 after hours The Jun 2028 TSLA LEAPS vs Spreads tab has columns for various spreads, we profits calculated on a $100,000 investment. So cell H14 shows that a $100,000 investment purely in 350/450's would give a profit of $152,575. These calculations are based on prices quoted on the Jun 2028 Option Prices tab which are very recent. No need to check my prices, its all current. After we're sure that you understand the spreadsheet, I'd like your advice on how to fully allocate (%) my $275k to give a good probability of reasonable gains without disproportionate risk</t>
  </si>
  <si>
    <t>Jan 4 -- 2026 ChatGPT Recs</t>
  </si>
  <si>
    <t>Option 2 — Balanced (more upside, still not crazy)
If you want a bit more torque without letting 450+ lower strikes dominate:
Allocation
35% → 300/400
20% → 300/440
25% → 350/450
15% → 350/550
5% → 400/600
Implied outcomes (on $275k of spreads)
TSLA ends 350: about -$117k (≈ -42%)
TSLA ends 441: about +$280k
TSLA ends 550: about +$389k
TSLA ends 600+: about +$400k (caps there)</t>
  </si>
  <si>
    <t>Jan 4 Grok Recs</t>
  </si>
  <si>
    <t xml:space="preserve">
Recommended allocation (totaling 100% of $275k, ~$275k deployable):
30% ($82.5k) to 350/450: Conservative anchor (BE $389, max ROI 157%). High prob (~75%) of breakeven+ if TSLA &gt;$400 by 2028. Low width caps upside but protects on mild rallies. Buy ~21 contracts (at ~$39 debit, scaled from sheet).
25% ($68.75k) to 400/550: Moderate (BE $447, max ROI 218%). Builds on your existing 2 contracts; ATM-ish at $441 current. Good balance—profits kick in soon on recovery, with 1.5x width for upside. Add ~14 contracts (at ~$47 debit).
20% ($55k) to 450/650: Growth-focused (BE $501, max ROI 293%). Slightly OTM; rewards if TSLA pushes $600+. Diversifies from your current holdings. Buy ~11 contracts (at ~$51 debit).
15% ($41.25k) to 500/700: Aggressive (BE $544, max ROI 354%). Extends your existing position; high reward if TSLA moons (e.g., $343k profit on $97k invest at $700+). But higher risk if capped below $700. Add ~9 contracts (at ~$44 debit).
10% ($27.5k) to 300/440: Defensive (BE $359, max ROI 118%). Deep ITM for stability; quick profits on rebound, low volatility drag. Buy ~5 contracts (at ~$59 debit).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</si>
</sst>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quot; &quot;yyyy"/>
    <numFmt numFmtId="165" formatCode="&quot;$&quot;#,##0"/>
    <numFmt numFmtId="166" formatCode="M/d/yyyy"/>
    <numFmt numFmtId="167" formatCode="m/d"/>
    <numFmt numFmtId="168" formatCode="#,##0.00;(#,##0.00)"/>
    <numFmt numFmtId="169" formatCode="m/d/yy"/>
    <numFmt numFmtId="170" formatCode="m/d/yyyy"/>
    <numFmt numFmtId="171" formatCode="mmm yyyy"/>
    <numFmt numFmtId="172" formatCode="yyyy-mm-dd"/>
    <numFmt numFmtId="173" formatCode="$#,##0.00"/>
  </numFmts>
  <fonts count="26">
    <font>
      <sz val="11.0"/>
      <color theme="1"/>
      <name val="Arial"/>
      <scheme val="minor"/>
    </font>
    <font>
      <color theme="1"/>
      <name val="Arial"/>
      <scheme val="minor"/>
    </font>
    <font>
      <b/>
      <color theme="1"/>
      <name val="Arial"/>
      <scheme val="minor"/>
    </font>
    <font>
      <sz val="11.0"/>
      <color theme="1"/>
      <name val="Calibri"/>
    </font>
    <font>
      <color rgb="FF242424"/>
      <name val="Arial"/>
    </font>
    <font>
      <u/>
      <color rgb="FF0000FF"/>
    </font>
    <font>
      <u/>
      <color rgb="FF0000FF"/>
    </font>
    <font>
      <sz val="11.0"/>
      <color rgb="FFFFFFFF"/>
      <name val="Roboto"/>
    </font>
    <font>
      <sz val="11.0"/>
      <color rgb="FF434343"/>
      <name val="Roboto"/>
    </font>
    <font>
      <b/>
      <sz val="11.0"/>
      <color rgb="FF434343"/>
      <name val="Roboto"/>
    </font>
    <font>
      <u/>
      <color rgb="FF0000FF"/>
      <name val="Arial"/>
      <scheme val="minor"/>
    </font>
    <font>
      <u/>
      <color rgb="FF0000FF"/>
      <name val="Arial"/>
      <scheme val="minor"/>
    </font>
    <font>
      <b/>
      <sz val="11.0"/>
      <color rgb="FF242424"/>
      <name val="Arial"/>
    </font>
    <font>
      <u/>
      <color rgb="FF0000FF"/>
      <name val="Roboto"/>
    </font>
    <font>
      <u/>
      <color rgb="FF0000FF"/>
      <name val="Roboto"/>
    </font>
    <font>
      <u/>
      <color rgb="FF434343"/>
      <name val="Roboto"/>
    </font>
    <font>
      <sz val="11.0"/>
      <color rgb="FF242424"/>
      <name val="Arial"/>
    </font>
    <font>
      <u/>
      <sz val="11.0"/>
      <color rgb="FF434343"/>
      <name val="Roboto"/>
    </font>
    <font>
      <color rgb="FFEFEFEF"/>
      <name val="Arial"/>
      <scheme val="minor"/>
    </font>
    <font>
      <b/>
      <color rgb="FFEFEFEF"/>
      <name val="Arial"/>
      <scheme val="minor"/>
    </font>
    <font>
      <b/>
      <color rgb="FFFFFFFF"/>
      <name val="Arial"/>
      <scheme val="minor"/>
    </font>
    <font>
      <b/>
      <sz val="11.0"/>
      <color theme="1"/>
      <name val="Calibri"/>
    </font>
    <font>
      <u/>
      <sz val="11.0"/>
      <color theme="1"/>
      <name val="Calibri"/>
    </font>
    <font>
      <color rgb="FF242424"/>
      <name val="GraphikETRADE"/>
    </font>
    <font>
      <u/>
      <color rgb="FF0000FF"/>
    </font>
    <font>
      <u/>
      <color rgb="FF0000FF"/>
    </font>
  </fonts>
  <fills count="20">
    <fill>
      <patternFill patternType="none"/>
    </fill>
    <fill>
      <patternFill patternType="lightGray"/>
    </fill>
    <fill>
      <patternFill patternType="solid">
        <fgColor rgb="FFD9D9D9"/>
        <bgColor rgb="FFD9D9D9"/>
      </patternFill>
    </fill>
    <fill>
      <patternFill patternType="solid">
        <fgColor rgb="FFD9EAD3"/>
        <bgColor rgb="FFD9EAD3"/>
      </patternFill>
    </fill>
    <fill>
      <patternFill patternType="solid">
        <fgColor rgb="FF00FF00"/>
        <bgColor rgb="FF00FF00"/>
      </patternFill>
    </fill>
    <fill>
      <patternFill patternType="solid">
        <fgColor rgb="FFB6D7A8"/>
        <bgColor rgb="FFB6D7A8"/>
      </patternFill>
    </fill>
    <fill>
      <patternFill patternType="solid">
        <fgColor rgb="FFFFFFFF"/>
        <bgColor rgb="FFFFFFFF"/>
      </patternFill>
    </fill>
    <fill>
      <patternFill patternType="solid">
        <fgColor rgb="FF6AA84F"/>
        <bgColor rgb="FF6AA84F"/>
      </patternFill>
    </fill>
    <fill>
      <patternFill patternType="solid">
        <fgColor rgb="FF356854"/>
        <bgColor rgb="FF356854"/>
      </patternFill>
    </fill>
    <fill>
      <patternFill patternType="solid">
        <fgColor rgb="FF346854"/>
        <bgColor rgb="FF346854"/>
      </patternFill>
    </fill>
    <fill>
      <patternFill patternType="solid">
        <fgColor rgb="FFC9DAF8"/>
        <bgColor rgb="FFC9DAF8"/>
      </patternFill>
    </fill>
    <fill>
      <patternFill patternType="solid">
        <fgColor rgb="FFF6F8F9"/>
        <bgColor rgb="FFF6F8F9"/>
      </patternFill>
    </fill>
    <fill>
      <patternFill patternType="solid">
        <fgColor rgb="FFCCCCCC"/>
        <bgColor rgb="FFCCCCCC"/>
      </patternFill>
    </fill>
    <fill>
      <patternFill patternType="solid">
        <fgColor rgb="FFEA9999"/>
        <bgColor rgb="FFEA9999"/>
      </patternFill>
    </fill>
    <fill>
      <patternFill patternType="solid">
        <fgColor rgb="FFFFE599"/>
        <bgColor rgb="FFFFE599"/>
      </patternFill>
    </fill>
    <fill>
      <patternFill patternType="solid">
        <fgColor rgb="FF999999"/>
        <bgColor rgb="FF999999"/>
      </patternFill>
    </fill>
    <fill>
      <patternFill patternType="solid">
        <fgColor rgb="FFFFFF00"/>
        <bgColor rgb="FFFFFF00"/>
      </patternFill>
    </fill>
    <fill>
      <patternFill patternType="solid">
        <fgColor rgb="FF34A853"/>
        <bgColor rgb="FF34A853"/>
      </patternFill>
    </fill>
    <fill>
      <patternFill patternType="solid">
        <fgColor rgb="FF4285F4"/>
        <bgColor rgb="FF4285F4"/>
      </patternFill>
    </fill>
    <fill>
      <patternFill patternType="solid">
        <fgColor rgb="FFF3F3F3"/>
        <bgColor rgb="FFF3F3F3"/>
      </patternFill>
    </fill>
  </fills>
  <borders count="8">
    <border/>
    <border>
      <left style="thin">
        <color rgb="FF356854"/>
      </left>
      <right style="thin">
        <color rgb="FF356854"/>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C9DAF8"/>
      </left>
      <right style="thin">
        <color rgb="FFC9DAF8"/>
      </right>
      <top style="thin">
        <color rgb="FFC9DAF8"/>
      </top>
      <bottom style="thin">
        <color rgb="FFC9DAF8"/>
      </bottom>
    </border>
    <border>
      <left style="thin">
        <color rgb="FF00FF00"/>
      </left>
      <right style="thin">
        <color rgb="FF00FF00"/>
      </right>
      <top style="thin">
        <color rgb="FF00FF00"/>
      </top>
      <bottom style="thin">
        <color rgb="FF00FF00"/>
      </bottom>
    </border>
    <border>
      <left style="thin">
        <color rgb="FFFFFFFF"/>
      </left>
      <right style="thin">
        <color rgb="FFFFFFFF"/>
      </right>
      <top style="thin">
        <color rgb="FFFFFFFF"/>
      </top>
      <bottom style="thin">
        <color rgb="FF284E3F"/>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0" fontId="1" numFmtId="0" xfId="0" applyAlignment="1" applyFont="1">
      <alignment horizontal="right" readingOrder="0"/>
    </xf>
    <xf borderId="0" fillId="2" fontId="1" numFmtId="1" xfId="0" applyAlignment="1" applyFill="1" applyFont="1" applyNumberFormat="1">
      <alignment readingOrder="0"/>
    </xf>
    <xf borderId="0" fillId="2" fontId="1" numFmtId="1" xfId="0" applyFont="1" applyNumberFormat="1"/>
    <xf borderId="0" fillId="2" fontId="2" numFmtId="1" xfId="0" applyFont="1" applyNumberFormat="1"/>
    <xf borderId="0" fillId="3" fontId="1" numFmtId="1" xfId="0" applyAlignment="1" applyFill="1" applyFont="1" applyNumberFormat="1">
      <alignment readingOrder="0"/>
    </xf>
    <xf borderId="0" fillId="4" fontId="1" numFmtId="1" xfId="0" applyAlignment="1" applyFill="1" applyFont="1" applyNumberFormat="1">
      <alignment readingOrder="0"/>
    </xf>
    <xf borderId="0" fillId="3" fontId="3" numFmtId="1" xfId="0" applyAlignment="1" applyFont="1" applyNumberFormat="1">
      <alignment horizontal="right" readingOrder="0" vertical="bottom"/>
    </xf>
    <xf borderId="0" fillId="2" fontId="3" numFmtId="1" xfId="0" applyAlignment="1" applyFont="1" applyNumberFormat="1">
      <alignment horizontal="right" vertical="bottom"/>
    </xf>
    <xf borderId="0" fillId="3" fontId="1" numFmtId="1" xfId="0" applyFont="1" applyNumberFormat="1"/>
    <xf borderId="0" fillId="4" fontId="3" numFmtId="1" xfId="0" applyAlignment="1" applyFont="1" applyNumberFormat="1">
      <alignment horizontal="right" readingOrder="0" vertical="bottom"/>
    </xf>
    <xf borderId="0" fillId="0" fontId="1" numFmtId="0" xfId="0" applyAlignment="1" applyFont="1">
      <alignment readingOrder="0"/>
    </xf>
    <xf borderId="0" fillId="5" fontId="1" numFmtId="1" xfId="0" applyFill="1" applyFont="1" applyNumberFormat="1"/>
    <xf borderId="0" fillId="3" fontId="3" numFmtId="1" xfId="0" applyAlignment="1" applyFont="1" applyNumberFormat="1">
      <alignment horizontal="right" vertical="bottom"/>
    </xf>
    <xf borderId="0" fillId="0" fontId="1" numFmtId="0" xfId="0" applyAlignment="1" applyFont="1">
      <alignment readingOrder="0"/>
    </xf>
    <xf borderId="0" fillId="3" fontId="1" numFmtId="0" xfId="0" applyAlignment="1" applyFont="1">
      <alignment readingOrder="0"/>
    </xf>
    <xf borderId="0" fillId="5" fontId="1" numFmtId="0" xfId="0" applyAlignment="1" applyFont="1">
      <alignment readingOrder="0"/>
    </xf>
    <xf borderId="0" fillId="3" fontId="3" numFmtId="0" xfId="0" applyAlignment="1" applyFont="1">
      <alignment horizontal="right" vertical="bottom"/>
    </xf>
    <xf borderId="0" fillId="0" fontId="3" numFmtId="0" xfId="0" applyAlignment="1" applyFont="1">
      <alignment horizontal="right" vertical="bottom"/>
    </xf>
    <xf borderId="0" fillId="3" fontId="1" numFmtId="0" xfId="0" applyAlignment="1" applyFont="1">
      <alignment readingOrder="0"/>
    </xf>
    <xf borderId="0" fillId="5" fontId="1" numFmtId="0" xfId="0" applyAlignment="1" applyFont="1">
      <alignment readingOrder="0"/>
    </xf>
    <xf borderId="0" fillId="3" fontId="3" numFmtId="0" xfId="0" applyAlignment="1" applyFont="1">
      <alignment horizontal="right" vertical="bottom"/>
    </xf>
    <xf borderId="0" fillId="0" fontId="3" numFmtId="0" xfId="0" applyAlignment="1" applyFont="1">
      <alignment horizontal="right" vertical="bottom"/>
    </xf>
    <xf borderId="0" fillId="0" fontId="1" numFmtId="164" xfId="0" applyAlignment="1" applyFont="1" applyNumberFormat="1">
      <alignment readingOrder="0"/>
    </xf>
    <xf borderId="0" fillId="0" fontId="2" numFmtId="164" xfId="0" applyAlignment="1" applyFont="1" applyNumberFormat="1">
      <alignment readingOrder="0"/>
    </xf>
    <xf borderId="0" fillId="6" fontId="4" numFmtId="0" xfId="0" applyAlignment="1" applyFill="1" applyFont="1">
      <alignment horizontal="right" readingOrder="0"/>
    </xf>
    <xf borderId="0" fillId="3" fontId="3" numFmtId="0" xfId="0" applyAlignment="1" applyFont="1">
      <alignment horizontal="right" readingOrder="0" vertical="bottom"/>
    </xf>
    <xf borderId="0" fillId="0" fontId="1" numFmtId="0" xfId="0" applyAlignment="1" applyFont="1">
      <alignment shrinkToFit="0" wrapText="0"/>
    </xf>
    <xf borderId="0" fillId="0" fontId="5" numFmtId="0" xfId="0" applyAlignment="1" applyFont="1">
      <alignment shrinkToFit="0" wrapText="0"/>
    </xf>
    <xf borderId="0" fillId="3" fontId="6" numFmtId="0" xfId="0" applyAlignment="1" applyFont="1">
      <alignment shrinkToFit="0" wrapText="0"/>
    </xf>
    <xf borderId="0" fillId="5" fontId="1" numFmtId="0" xfId="0" applyAlignment="1" applyFont="1">
      <alignment shrinkToFit="0" wrapText="0"/>
    </xf>
    <xf borderId="0" fillId="3" fontId="1" numFmtId="0" xfId="0" applyAlignment="1" applyFont="1">
      <alignment shrinkToFit="0"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7" fontId="1" numFmtId="0" xfId="0" applyAlignment="1" applyFill="1" applyFont="1">
      <alignment horizontal="left" readingOrder="0" shrinkToFit="0" vertical="center" wrapText="0"/>
    </xf>
    <xf borderId="0" fillId="8" fontId="1" numFmtId="0" xfId="0" applyAlignment="1" applyFill="1" applyFont="1">
      <alignment horizontal="left" readingOrder="0" shrinkToFit="0" vertical="center" wrapText="0"/>
    </xf>
    <xf borderId="1" fillId="8" fontId="7" numFmtId="0" xfId="0" applyAlignment="1" applyBorder="1" applyFont="1">
      <alignment horizontal="left" readingOrder="0" shrinkToFit="0" vertical="center" wrapText="0"/>
    </xf>
    <xf borderId="1" fillId="8" fontId="7" numFmtId="0" xfId="0" applyAlignment="1" applyBorder="1" applyFont="1">
      <alignment horizontal="left" readingOrder="0" shrinkToFit="0" vertical="center" wrapText="0"/>
    </xf>
    <xf borderId="0" fillId="9" fontId="1" numFmtId="0" xfId="0" applyAlignment="1" applyFill="1" applyFont="1">
      <alignment horizontal="left" readingOrder="0" shrinkToFit="0" vertical="center" wrapText="0"/>
    </xf>
    <xf borderId="0" fillId="0" fontId="1" numFmtId="0" xfId="0" applyAlignment="1" applyFont="1">
      <alignment shrinkToFit="0" vertical="center" wrapText="0"/>
    </xf>
    <xf borderId="0" fillId="0" fontId="1" numFmtId="165" xfId="0" applyAlignment="1" applyFont="1" applyNumberFormat="1">
      <alignment shrinkToFit="0" vertical="center" wrapText="0"/>
    </xf>
    <xf borderId="0" fillId="6" fontId="1" numFmtId="165" xfId="0" applyAlignment="1" applyFont="1" applyNumberFormat="1">
      <alignment shrinkToFit="0" vertical="center" wrapText="0"/>
    </xf>
    <xf borderId="0" fillId="3" fontId="1" numFmtId="165" xfId="0" applyAlignment="1" applyFont="1" applyNumberFormat="1">
      <alignment shrinkToFit="0" vertical="center" wrapText="0"/>
    </xf>
    <xf borderId="0" fillId="5" fontId="1" numFmtId="165" xfId="0" applyAlignment="1" applyFont="1" applyNumberFormat="1">
      <alignment shrinkToFit="0" vertical="center" wrapText="0"/>
    </xf>
    <xf borderId="2" fillId="3" fontId="8" numFmtId="165" xfId="0" applyAlignment="1" applyBorder="1" applyFont="1" applyNumberFormat="1">
      <alignment horizontal="right" shrinkToFit="0" vertical="center" wrapText="0"/>
    </xf>
    <xf borderId="2" fillId="6" fontId="8" numFmtId="165" xfId="0" applyAlignment="1" applyBorder="1" applyFont="1" applyNumberFormat="1">
      <alignment horizontal="right" shrinkToFit="0" vertical="center" wrapText="0"/>
    </xf>
    <xf borderId="0" fillId="10" fontId="1" numFmtId="165" xfId="0" applyAlignment="1" applyFill="1" applyFont="1" applyNumberFormat="1">
      <alignment shrinkToFit="0" vertical="center" wrapText="0"/>
    </xf>
    <xf borderId="3" fillId="3" fontId="8" numFmtId="165" xfId="0" applyAlignment="1" applyBorder="1" applyFont="1" applyNumberFormat="1">
      <alignment horizontal="right" shrinkToFit="0" vertical="center" wrapText="0"/>
    </xf>
    <xf borderId="3" fillId="11" fontId="8" numFmtId="165" xfId="0" applyAlignment="1" applyBorder="1" applyFill="1" applyFont="1" applyNumberFormat="1">
      <alignment horizontal="right" shrinkToFit="0" vertical="center" wrapText="0"/>
    </xf>
    <xf borderId="4" fillId="3" fontId="8" numFmtId="165" xfId="0" applyAlignment="1" applyBorder="1" applyFont="1" applyNumberFormat="1">
      <alignment horizontal="right" shrinkToFit="0" vertical="center" wrapText="0"/>
    </xf>
    <xf borderId="0" fillId="4" fontId="2" numFmtId="165" xfId="0" applyAlignment="1" applyFont="1" applyNumberFormat="1">
      <alignment shrinkToFit="0" vertical="center" wrapText="0"/>
    </xf>
    <xf borderId="0" fillId="0" fontId="1" numFmtId="0" xfId="0" applyAlignment="1" applyFont="1">
      <alignment readingOrder="0" shrinkToFit="0" vertical="center" wrapText="0"/>
    </xf>
    <xf borderId="0" fillId="4" fontId="1" numFmtId="165" xfId="0" applyAlignment="1" applyFont="1" applyNumberFormat="1">
      <alignment shrinkToFit="0" vertical="center" wrapText="0"/>
    </xf>
    <xf borderId="3" fillId="4" fontId="9" numFmtId="165" xfId="0" applyAlignment="1" applyBorder="1" applyFont="1" applyNumberFormat="1">
      <alignment horizontal="right" shrinkToFit="0" vertical="center" wrapText="0"/>
    </xf>
    <xf borderId="5" fillId="4" fontId="8" numFmtId="165" xfId="0" applyAlignment="1" applyBorder="1" applyFont="1" applyNumberFormat="1">
      <alignment horizontal="right" shrinkToFit="0" vertical="center" wrapText="0"/>
    </xf>
    <xf borderId="2" fillId="4" fontId="8" numFmtId="165" xfId="0" applyAlignment="1" applyBorder="1" applyFont="1" applyNumberFormat="1">
      <alignment horizontal="right" shrinkToFit="0" vertical="center" wrapText="0"/>
    </xf>
    <xf borderId="4" fillId="10" fontId="8" numFmtId="165" xfId="0" applyAlignment="1" applyBorder="1" applyFont="1" applyNumberFormat="1">
      <alignment horizontal="right" shrinkToFit="0" vertical="center" wrapText="0"/>
    </xf>
    <xf borderId="5" fillId="3" fontId="8" numFmtId="165" xfId="0" applyAlignment="1" applyBorder="1" applyFont="1" applyNumberFormat="1">
      <alignment horizontal="right" shrinkToFit="0" vertical="center" wrapText="0"/>
    </xf>
    <xf borderId="5" fillId="4" fontId="8" numFmtId="165" xfId="0" applyAlignment="1" applyBorder="1" applyFont="1" applyNumberFormat="1">
      <alignment horizontal="right" shrinkToFit="0" vertical="center" wrapText="0"/>
    </xf>
    <xf borderId="6" fillId="3" fontId="8" numFmtId="165" xfId="0" applyAlignment="1" applyBorder="1" applyFont="1" applyNumberFormat="1">
      <alignment horizontal="right" shrinkToFit="0" vertical="center" wrapText="0"/>
    </xf>
    <xf borderId="6" fillId="6" fontId="8" numFmtId="165" xfId="0" applyAlignment="1" applyBorder="1" applyFont="1" applyNumberFormat="1">
      <alignment horizontal="right" shrinkToFit="0" vertical="center" wrapText="0"/>
    </xf>
    <xf borderId="0" fillId="3" fontId="1" numFmtId="0" xfId="0" applyFont="1"/>
    <xf borderId="0" fillId="5" fontId="1" numFmtId="0" xfId="0" applyFont="1"/>
    <xf borderId="0" fillId="3" fontId="3" numFmtId="0" xfId="0" applyAlignment="1" applyFont="1">
      <alignment vertical="bottom"/>
    </xf>
    <xf borderId="0" fillId="0" fontId="3" numFmtId="0" xfId="0" applyAlignment="1" applyFont="1">
      <alignment vertical="bottom"/>
    </xf>
    <xf borderId="0" fillId="0" fontId="1" numFmtId="0" xfId="0" applyFont="1"/>
    <xf borderId="0" fillId="3" fontId="10" numFmtId="0" xfId="0" applyAlignment="1" applyFont="1">
      <alignment readingOrder="0"/>
    </xf>
    <xf borderId="0" fillId="0" fontId="11" numFmtId="0" xfId="0" applyAlignment="1" applyFont="1">
      <alignment readingOrder="0"/>
    </xf>
    <xf borderId="0" fillId="3" fontId="3" numFmtId="0" xfId="0" applyAlignment="1" applyFont="1">
      <alignment vertical="bottom"/>
    </xf>
    <xf borderId="0" fillId="0" fontId="1" numFmtId="49" xfId="0" applyFont="1" applyNumberFormat="1"/>
    <xf borderId="0" fillId="0" fontId="1" numFmtId="4" xfId="0" applyFont="1" applyNumberFormat="1"/>
    <xf borderId="0" fillId="0" fontId="1" numFmtId="1" xfId="0" applyFont="1" applyNumberFormat="1"/>
    <xf borderId="0" fillId="0" fontId="1" numFmtId="4" xfId="0" applyAlignment="1" applyFont="1" applyNumberFormat="1">
      <alignment readingOrder="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1"/>
    </xf>
    <xf borderId="0" fillId="0" fontId="1" numFmtId="4" xfId="0" applyAlignment="1" applyFont="1" applyNumberForma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1"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1"/>
    </xf>
    <xf borderId="0" fillId="0" fontId="4" numFmtId="0" xfId="0" applyAlignment="1" applyFont="1">
      <alignment horizontal="left" readingOrder="0" shrinkToFit="0" vertical="center" wrapText="0"/>
    </xf>
    <xf borderId="0" fillId="0" fontId="4" numFmtId="49" xfId="0" applyAlignment="1" applyFont="1" applyNumberFormat="1">
      <alignment horizontal="left" readingOrder="0" shrinkToFit="0" vertical="center" wrapText="0"/>
    </xf>
    <xf borderId="0" fillId="0" fontId="1" numFmtId="4" xfId="0" applyAlignment="1" applyFont="1" applyNumberFormat="1">
      <alignment readingOrder="0" shrinkToFit="0" vertical="center" wrapText="0"/>
    </xf>
    <xf borderId="0" fillId="11" fontId="12" numFmtId="166"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3" numFmtId="0" xfId="0" applyAlignment="1" applyFont="1">
      <alignment readingOrder="0" shrinkToFit="0" vertical="center" wrapText="0"/>
    </xf>
    <xf borderId="0" fillId="0" fontId="4" numFmtId="1" xfId="0" applyAlignment="1" applyFont="1" applyNumberFormat="1">
      <alignment horizontal="right" readingOrder="0" shrinkToFit="0" vertical="center" wrapText="0"/>
    </xf>
    <xf borderId="0" fillId="4" fontId="1" numFmtId="0" xfId="0" applyAlignment="1" applyFont="1">
      <alignment shrinkToFit="0" vertical="center" wrapText="0"/>
    </xf>
    <xf borderId="0" fillId="0" fontId="1" numFmtId="0" xfId="0" applyAlignment="1" applyFont="1">
      <alignment shrinkToFit="0" vertical="center" wrapText="0"/>
    </xf>
    <xf borderId="0" fillId="0" fontId="1" numFmtId="10" xfId="0" applyAlignment="1" applyFont="1" applyNumberFormat="1">
      <alignment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4" numFmtId="0" xfId="0" applyAlignment="1" applyFont="1">
      <alignment readingOrder="0" shrinkToFit="0" vertical="center" wrapText="0"/>
    </xf>
    <xf borderId="0" fillId="0" fontId="4" numFmtId="4" xfId="0" applyAlignment="1" applyFont="1" applyNumberFormat="1">
      <alignment readingOrder="0" shrinkToFit="0" vertical="center" wrapText="0"/>
    </xf>
    <xf borderId="0" fillId="0" fontId="4" numFmtId="166" xfId="0" applyAlignment="1" applyFont="1" applyNumberFormat="1">
      <alignment readingOrder="0" shrinkToFit="0" vertical="center" wrapText="0"/>
    </xf>
    <xf borderId="0" fillId="0" fontId="4" numFmtId="167" xfId="0" applyAlignment="1" applyFont="1" applyNumberFormat="1">
      <alignment horizontal="right" readingOrder="0" shrinkToFit="0" vertical="center" wrapText="0"/>
    </xf>
    <xf borderId="0" fillId="0" fontId="15" numFmtId="0" xfId="0" applyAlignment="1" applyFont="1">
      <alignment readingOrder="0" shrinkToFit="0" vertical="center" wrapText="0"/>
    </xf>
    <xf borderId="0" fillId="0" fontId="4" numFmtId="0" xfId="0" applyAlignment="1" applyFont="1">
      <alignment horizontal="righ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12" fontId="4" numFmtId="0" xfId="0" applyAlignment="1" applyFill="1" applyFont="1">
      <alignment horizontal="left" readingOrder="0" shrinkToFit="0" vertical="center" wrapText="0"/>
    </xf>
    <xf borderId="0" fillId="12" fontId="4" numFmtId="49" xfId="0" applyAlignment="1" applyFont="1" applyNumberFormat="1">
      <alignment horizontal="left" readingOrder="0" shrinkToFit="0" vertical="center" wrapText="0"/>
    </xf>
    <xf borderId="0" fillId="12" fontId="4" numFmtId="4" xfId="0" applyAlignment="1" applyFont="1" applyNumberFormat="1">
      <alignment readingOrder="0" shrinkToFit="0" vertical="center" wrapText="0"/>
    </xf>
    <xf borderId="0" fillId="12" fontId="4" numFmtId="166" xfId="0" applyAlignment="1" applyFont="1" applyNumberFormat="1">
      <alignment readingOrder="0" shrinkToFit="0" vertical="center" wrapText="0"/>
    </xf>
    <xf borderId="0" fillId="12" fontId="1" numFmtId="0" xfId="0" applyAlignment="1" applyFont="1">
      <alignment shrinkToFit="0" vertical="center" wrapText="0"/>
    </xf>
    <xf borderId="0" fillId="12" fontId="4" numFmtId="1" xfId="0" applyAlignment="1" applyFont="1" applyNumberFormat="1">
      <alignment horizontal="right" readingOrder="0" shrinkToFit="0" vertical="center" wrapText="0"/>
    </xf>
    <xf borderId="0" fillId="12" fontId="4" numFmtId="0" xfId="0" applyAlignment="1" applyFont="1">
      <alignment horizontal="right" readingOrder="0" shrinkToFit="0" vertical="center" wrapText="0"/>
    </xf>
    <xf borderId="0" fillId="12" fontId="1" numFmtId="165" xfId="0" applyAlignment="1" applyFont="1" applyNumberFormat="1">
      <alignment shrinkToFit="0" vertical="center" wrapText="0"/>
    </xf>
    <xf borderId="0" fillId="12" fontId="1" numFmtId="10" xfId="0" applyAlignment="1" applyFont="1" applyNumberFormat="1">
      <alignment shrinkToFit="0" vertical="center" wrapText="0"/>
    </xf>
    <xf borderId="0" fillId="0" fontId="1" numFmtId="168" xfId="0" applyAlignment="1" applyFont="1" applyNumberFormat="1">
      <alignment shrinkToFit="0" vertical="center" wrapText="0"/>
    </xf>
    <xf borderId="0" fillId="0" fontId="1" numFmtId="4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6" fontId="4" numFmtId="0" xfId="0" applyAlignment="1" applyFont="1">
      <alignment horizontal="right" readingOrder="0" shrinkToFit="0" vertical="center" wrapText="0"/>
    </xf>
    <xf borderId="0" fillId="0" fontId="1" numFmtId="169"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1" xfId="0" applyAlignment="1" applyFont="1" applyNumberFormat="1">
      <alignment readingOrder="0" shrinkToFit="0" vertical="center" wrapText="0"/>
    </xf>
    <xf borderId="0" fillId="0" fontId="1" numFmtId="170" xfId="0" applyAlignment="1" applyFont="1" applyNumberFormat="1">
      <alignment readingOrder="0" shrinkToFit="0" vertical="center" wrapText="0"/>
    </xf>
    <xf borderId="0" fillId="12" fontId="1" numFmtId="168" xfId="0" applyAlignment="1" applyFont="1" applyNumberFormat="1">
      <alignment shrinkToFit="0" vertical="center" wrapText="0"/>
    </xf>
    <xf borderId="0" fillId="12" fontId="2" numFmtId="168" xfId="0" applyAlignment="1" applyFont="1" applyNumberFormat="1">
      <alignment shrinkToFit="0" vertical="center" wrapText="0"/>
    </xf>
    <xf borderId="0" fillId="11" fontId="16" numFmtId="0" xfId="0" applyAlignment="1" applyFont="1">
      <alignment readingOrder="0" shrinkToFit="0" vertical="center" wrapText="0"/>
    </xf>
    <xf borderId="0" fillId="11" fontId="17" numFmtId="0" xfId="0" applyAlignment="1" applyFont="1">
      <alignment readingOrder="0" shrinkToFit="0" vertical="center" wrapText="0"/>
    </xf>
    <xf borderId="0" fillId="11" fontId="16" numFmtId="1" xfId="0" applyAlignment="1" applyFont="1" applyNumberFormat="1">
      <alignment horizontal="right" readingOrder="0" shrinkToFit="0" vertical="center" wrapText="0"/>
    </xf>
    <xf borderId="0" fillId="4" fontId="8" numFmtId="0" xfId="0" applyAlignment="1" applyFont="1">
      <alignment horizontal="right" shrinkToFit="0" vertical="center" wrapText="0"/>
    </xf>
    <xf borderId="0" fillId="11" fontId="3" numFmtId="0" xfId="0" applyAlignment="1" applyFont="1">
      <alignment shrinkToFit="0" vertical="center" wrapText="0"/>
    </xf>
    <xf borderId="0" fillId="11" fontId="8" numFmtId="165" xfId="0" applyAlignment="1" applyFont="1" applyNumberFormat="1">
      <alignment horizontal="right" shrinkToFit="0" vertical="center" wrapText="0"/>
    </xf>
    <xf borderId="0" fillId="6" fontId="3" numFmtId="0" xfId="0" applyAlignment="1" applyFont="1">
      <alignment shrinkToFit="0" vertical="center" wrapText="0"/>
    </xf>
    <xf borderId="0" fillId="6" fontId="3" numFmtId="49" xfId="0" applyAlignment="1" applyFont="1" applyNumberFormat="1">
      <alignment shrinkToFit="0" vertical="center" wrapText="0"/>
    </xf>
    <xf borderId="0" fillId="6" fontId="3" numFmtId="4" xfId="0" applyAlignment="1" applyFont="1" applyNumberFormat="1">
      <alignment shrinkToFit="0" vertical="center" wrapText="0"/>
    </xf>
    <xf borderId="0" fillId="6" fontId="3" numFmtId="166" xfId="0" applyAlignment="1" applyFont="1" applyNumberFormat="1">
      <alignment shrinkToFit="0" vertical="center" wrapText="0"/>
    </xf>
    <xf borderId="0" fillId="6" fontId="3" numFmtId="0" xfId="0" applyAlignment="1" applyFont="1">
      <alignment shrinkToFit="0" vertical="center" wrapText="0"/>
    </xf>
    <xf borderId="0" fillId="6" fontId="8" numFmtId="167" xfId="0" applyAlignment="1" applyFont="1" applyNumberFormat="1">
      <alignment readingOrder="0" shrinkToFit="0" vertical="center" wrapText="0"/>
    </xf>
    <xf borderId="0" fillId="6" fontId="8" numFmtId="0" xfId="0" applyAlignment="1" applyFont="1">
      <alignment horizontal="right" shrinkToFit="0" vertical="center" wrapText="0"/>
    </xf>
    <xf borderId="0" fillId="6" fontId="8" numFmtId="0" xfId="0" applyAlignment="1" applyFont="1">
      <alignment horizontal="right" readingOrder="0" shrinkToFit="0" vertical="center" wrapText="0"/>
    </xf>
    <xf borderId="0" fillId="6" fontId="16" numFmtId="0" xfId="0" applyAlignment="1" applyFont="1">
      <alignment horizontal="right" readingOrder="0" shrinkToFit="0" vertical="center" wrapText="0"/>
    </xf>
    <xf borderId="0" fillId="6" fontId="3" numFmtId="165" xfId="0" applyAlignment="1" applyFont="1" applyNumberFormat="1">
      <alignment shrinkToFit="0" vertical="center" wrapText="0"/>
    </xf>
    <xf borderId="0" fillId="0" fontId="3" numFmtId="0" xfId="0" applyAlignment="1" applyFont="1">
      <alignment shrinkToFit="0" vertical="bottom" wrapText="0"/>
    </xf>
    <xf borderId="0" fillId="0" fontId="3" numFmtId="10" xfId="0" applyAlignment="1" applyFont="1" applyNumberFormat="1">
      <alignment shrinkToFit="0" vertical="bottom" wrapText="0"/>
    </xf>
    <xf borderId="0" fillId="11" fontId="3" numFmtId="0" xfId="0" applyAlignment="1" applyFont="1">
      <alignment shrinkToFit="0" vertical="center" wrapText="0"/>
    </xf>
    <xf borderId="0" fillId="11" fontId="3" numFmtId="49" xfId="0" applyAlignment="1" applyFont="1" applyNumberFormat="1">
      <alignment shrinkToFit="0" vertical="center" wrapText="0"/>
    </xf>
    <xf borderId="0" fillId="11" fontId="3" numFmtId="4" xfId="0" applyAlignment="1" applyFont="1" applyNumberFormat="1">
      <alignment shrinkToFit="0" vertical="center" wrapText="0"/>
    </xf>
    <xf borderId="0" fillId="11" fontId="3" numFmtId="166" xfId="0" applyAlignment="1" applyFont="1" applyNumberFormat="1">
      <alignment shrinkToFit="0" vertical="center" wrapText="0"/>
    </xf>
    <xf borderId="0" fillId="11" fontId="3" numFmtId="1" xfId="0" applyAlignment="1" applyFont="1" applyNumberFormat="1">
      <alignment shrinkToFit="0" vertical="center" wrapText="0"/>
    </xf>
    <xf borderId="0" fillId="11" fontId="3" numFmtId="165" xfId="0" applyAlignment="1" applyFont="1" applyNumberFormat="1">
      <alignment shrinkToFit="0" vertical="center" wrapText="0"/>
    </xf>
    <xf borderId="0" fillId="6" fontId="3" numFmtId="1" xfId="0" applyAlignment="1" applyFont="1" applyNumberFormat="1">
      <alignment shrinkToFit="0" vertical="center" wrapText="0"/>
    </xf>
    <xf borderId="0" fillId="13" fontId="1" numFmtId="1" xfId="0" applyAlignment="1" applyFill="1" applyFont="1" applyNumberFormat="1">
      <alignment readingOrder="0" shrinkToFit="0" vertical="center" wrapText="0"/>
    </xf>
    <xf borderId="0" fillId="13" fontId="1" numFmtId="0" xfId="0" applyAlignment="1" applyFont="1">
      <alignment shrinkToFit="0" vertical="center" wrapText="0"/>
    </xf>
    <xf borderId="0" fillId="0" fontId="1" numFmtId="49" xfId="0" applyAlignment="1" applyFont="1" applyNumberFormat="1">
      <alignment shrinkToFit="0" vertical="center" wrapText="0"/>
    </xf>
    <xf borderId="0" fillId="0" fontId="1" numFmtId="4" xfId="0" applyAlignment="1" applyFont="1" applyNumberFormat="1">
      <alignment shrinkToFit="0" vertical="center" wrapText="0"/>
    </xf>
    <xf borderId="0" fillId="0" fontId="1" numFmtId="166" xfId="0" applyAlignment="1" applyFont="1" applyNumberFormat="1">
      <alignment shrinkToFit="0" vertical="center" wrapText="0"/>
    </xf>
    <xf borderId="0" fillId="0" fontId="1" numFmtId="1" xfId="0" applyAlignment="1" applyFont="1" applyNumberFormat="1">
      <alignment shrinkToFit="0" vertical="center" wrapText="0"/>
    </xf>
    <xf borderId="0" fillId="0" fontId="2" numFmtId="166" xfId="0" applyAlignment="1" applyFont="1" applyNumberFormat="1">
      <alignment readingOrder="0" shrinkToFit="0" vertical="center" wrapText="0"/>
    </xf>
    <xf borderId="0" fillId="6" fontId="8" numFmtId="0" xfId="0" applyAlignment="1" applyFont="1">
      <alignment horizontal="left" readingOrder="0" shrinkToFit="0" vertical="center" wrapText="0"/>
    </xf>
    <xf borderId="0" fillId="6" fontId="8" numFmtId="1" xfId="0" applyAlignment="1" applyFont="1" applyNumberFormat="1">
      <alignment horizontal="right" readingOrder="0" shrinkToFit="0" vertical="center" wrapText="0"/>
    </xf>
    <xf borderId="0" fillId="14" fontId="1" numFmtId="0" xfId="0" applyAlignment="1" applyFill="1" applyFont="1">
      <alignment shrinkToFit="0" vertical="center" wrapText="0"/>
    </xf>
    <xf borderId="0" fillId="11" fontId="8" numFmtId="167" xfId="0" applyAlignment="1" applyFont="1" applyNumberFormat="1">
      <alignment horizontal="right" readingOrder="0" shrinkToFit="0" vertical="center" wrapText="0"/>
    </xf>
    <xf borderId="0" fillId="11" fontId="8" numFmtId="0" xfId="0" applyAlignment="1" applyFont="1">
      <alignment horizontal="right" shrinkToFit="0" vertical="center" wrapText="0"/>
    </xf>
    <xf borderId="0" fillId="11" fontId="8" numFmtId="0" xfId="0" applyAlignment="1" applyFont="1">
      <alignment horizontal="right" readingOrder="0" shrinkToFit="0" vertical="center" wrapText="0"/>
    </xf>
    <xf borderId="0" fillId="12" fontId="3" numFmtId="0" xfId="0" applyAlignment="1" applyFont="1">
      <alignment shrinkToFit="0" vertical="center" wrapText="0"/>
    </xf>
    <xf borderId="0" fillId="12" fontId="3" numFmtId="49" xfId="0" applyAlignment="1" applyFont="1" applyNumberFormat="1">
      <alignment shrinkToFit="0" vertical="center" wrapText="0"/>
    </xf>
    <xf borderId="0" fillId="12" fontId="3" numFmtId="4" xfId="0" applyAlignment="1" applyFont="1" applyNumberFormat="1">
      <alignment shrinkToFit="0" vertical="center" wrapText="0"/>
    </xf>
    <xf borderId="0" fillId="12" fontId="3" numFmtId="166" xfId="0" applyAlignment="1" applyFont="1" applyNumberFormat="1">
      <alignment shrinkToFit="0" vertical="center" wrapText="0"/>
    </xf>
    <xf borderId="0" fillId="12" fontId="3" numFmtId="1" xfId="0" applyAlignment="1" applyFont="1" applyNumberFormat="1">
      <alignment shrinkToFit="0" vertical="center" wrapText="0"/>
    </xf>
    <xf borderId="0" fillId="15" fontId="18" numFmtId="0" xfId="0" applyAlignment="1" applyFill="1" applyFont="1">
      <alignment shrinkToFit="0" vertical="center" wrapText="0"/>
    </xf>
    <xf borderId="0" fillId="15" fontId="18" numFmtId="49" xfId="0" applyAlignment="1" applyFont="1" applyNumberFormat="1">
      <alignment shrinkToFit="0" vertical="center" wrapText="0"/>
    </xf>
    <xf borderId="0" fillId="15" fontId="18" numFmtId="4" xfId="0" applyAlignment="1" applyFont="1" applyNumberFormat="1">
      <alignment shrinkToFit="0" vertical="center" wrapText="0"/>
    </xf>
    <xf borderId="0" fillId="15" fontId="18" numFmtId="166" xfId="0" applyAlignment="1" applyFont="1" applyNumberFormat="1">
      <alignment shrinkToFit="0" vertical="center" wrapText="0"/>
    </xf>
    <xf borderId="0" fillId="15" fontId="18" numFmtId="1" xfId="0" applyAlignment="1" applyFont="1" applyNumberFormat="1">
      <alignment shrinkToFit="0" vertical="center" wrapText="0"/>
    </xf>
    <xf borderId="0" fillId="15" fontId="19" numFmtId="165" xfId="0" applyAlignment="1" applyFont="1" applyNumberFormat="1">
      <alignment shrinkToFit="0" vertical="center" wrapText="0"/>
    </xf>
    <xf borderId="0" fillId="15" fontId="20" numFmtId="10" xfId="0" applyAlignment="1" applyFont="1" applyNumberFormat="1">
      <alignment shrinkToFit="0" vertical="center" wrapText="0"/>
    </xf>
    <xf borderId="0" fillId="15" fontId="1" numFmtId="10" xfId="0" applyAlignment="1" applyFont="1" applyNumberFormat="1">
      <alignment shrinkToFit="0" vertical="center" wrapText="0"/>
    </xf>
    <xf borderId="0" fillId="0" fontId="21"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6" fontId="3" numFmtId="0" xfId="0" applyFont="1"/>
    <xf borderId="0" fillId="6" fontId="1" numFmtId="0" xfId="0" applyFont="1"/>
    <xf borderId="0" fillId="16" fontId="3" numFmtId="0" xfId="0" applyAlignment="1" applyFill="1" applyFont="1">
      <alignment readingOrder="0" shrinkToFit="0" vertical="center" wrapText="0"/>
    </xf>
    <xf borderId="0" fillId="16" fontId="3" numFmtId="0" xfId="0" applyAlignment="1" applyFont="1">
      <alignment readingOrder="0" shrinkToFit="0" vertical="center" wrapText="1"/>
    </xf>
    <xf borderId="0" fillId="16" fontId="3"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6" fontId="3" numFmtId="0" xfId="0" applyAlignment="1" applyFont="1">
      <alignment readingOrder="0"/>
    </xf>
    <xf borderId="0" fillId="0" fontId="1" numFmtId="0" xfId="0" applyFont="1"/>
    <xf borderId="0" fillId="6" fontId="22" numFmtId="0" xfId="0" applyAlignment="1" applyFont="1">
      <alignment readingOrder="0"/>
    </xf>
    <xf borderId="0" fillId="6" fontId="3" numFmtId="171" xfId="0" applyAlignment="1" applyFont="1" applyNumberFormat="1">
      <alignment readingOrder="0"/>
    </xf>
    <xf borderId="0" fillId="6" fontId="3" numFmtId="4" xfId="0" applyAlignment="1" applyFont="1" applyNumberFormat="1">
      <alignment readingOrder="0"/>
    </xf>
    <xf borderId="0" fillId="6" fontId="23" numFmtId="0" xfId="0" applyAlignment="1" applyFont="1">
      <alignment horizontal="left" readingOrder="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0" xfId="0" applyAlignment="1" applyFont="1" applyNumberFormat="1">
      <alignment readingOrder="0" shrinkToFit="0" vertical="center" wrapText="0"/>
    </xf>
    <xf borderId="0" fillId="6" fontId="23" numFmtId="0" xfId="0" applyAlignment="1" applyFont="1">
      <alignment horizontal="left" readingOrder="0" shrinkToFit="0" vertical="center" wrapText="0"/>
    </xf>
    <xf borderId="7" fillId="17" fontId="20" numFmtId="0" xfId="0" applyAlignment="1" applyBorder="1" applyFill="1" applyFont="1">
      <alignment readingOrder="0"/>
    </xf>
    <xf borderId="7" fillId="0" fontId="1" numFmtId="0" xfId="0" applyAlignment="1" applyBorder="1" applyFont="1">
      <alignment readingOrder="0"/>
    </xf>
    <xf borderId="7" fillId="0" fontId="1" numFmtId="0" xfId="0" applyAlignment="1" applyBorder="1" applyFont="1">
      <alignment readingOrder="0"/>
    </xf>
    <xf borderId="7" fillId="18" fontId="20" numFmtId="0" xfId="0" applyAlignment="1" applyBorder="1" applyFill="1" applyFont="1">
      <alignment readingOrder="0"/>
    </xf>
    <xf borderId="7" fillId="18" fontId="20" numFmtId="0" xfId="0" applyAlignment="1" applyBorder="1" applyFont="1">
      <alignment readingOrder="0" shrinkToFit="0" wrapText="0"/>
    </xf>
    <xf borderId="7" fillId="6" fontId="1" numFmtId="0" xfId="0" applyAlignment="1" applyBorder="1" applyFont="1">
      <alignment readingOrder="0"/>
    </xf>
    <xf borderId="7" fillId="6" fontId="1" numFmtId="172" xfId="0" applyAlignment="1" applyBorder="1" applyFont="1" applyNumberFormat="1">
      <alignment readingOrder="0"/>
    </xf>
    <xf borderId="7" fillId="6" fontId="1" numFmtId="0" xfId="0" applyAlignment="1" applyBorder="1" applyFont="1">
      <alignment readingOrder="0"/>
    </xf>
    <xf borderId="7" fillId="6" fontId="1" numFmtId="173" xfId="0" applyAlignment="1" applyBorder="1" applyFont="1" applyNumberFormat="1">
      <alignment readingOrder="0"/>
    </xf>
    <xf borderId="7" fillId="6" fontId="1" numFmtId="173" xfId="0" applyBorder="1" applyFont="1" applyNumberFormat="1"/>
    <xf borderId="7" fillId="6" fontId="1" numFmtId="2" xfId="0" applyBorder="1" applyFont="1" applyNumberFormat="1"/>
    <xf borderId="7" fillId="6" fontId="1" numFmtId="2" xfId="0" applyAlignment="1" applyBorder="1" applyFont="1" applyNumberFormat="1">
      <alignment readingOrder="0"/>
    </xf>
    <xf borderId="7" fillId="6" fontId="1" numFmtId="0" xfId="0" applyAlignment="1" applyBorder="1" applyFont="1">
      <alignment shrinkToFit="0" wrapText="0"/>
    </xf>
    <xf borderId="7" fillId="6" fontId="1" numFmtId="0" xfId="0" applyBorder="1" applyFont="1"/>
    <xf borderId="7" fillId="19" fontId="1" numFmtId="0" xfId="0" applyAlignment="1" applyBorder="1" applyFill="1" applyFont="1">
      <alignment readingOrder="0"/>
    </xf>
    <xf borderId="7" fillId="19" fontId="1" numFmtId="172" xfId="0" applyAlignment="1" applyBorder="1" applyFont="1" applyNumberFormat="1">
      <alignment readingOrder="0"/>
    </xf>
    <xf borderId="7" fillId="19" fontId="1" numFmtId="0" xfId="0" applyAlignment="1" applyBorder="1" applyFont="1">
      <alignment readingOrder="0"/>
    </xf>
    <xf borderId="7" fillId="19" fontId="1" numFmtId="173" xfId="0" applyAlignment="1" applyBorder="1" applyFont="1" applyNumberFormat="1">
      <alignment readingOrder="0"/>
    </xf>
    <xf borderId="7" fillId="19" fontId="1" numFmtId="173" xfId="0" applyBorder="1" applyFont="1" applyNumberFormat="1"/>
    <xf borderId="7" fillId="19" fontId="1" numFmtId="2" xfId="0" applyBorder="1" applyFont="1" applyNumberFormat="1"/>
    <xf borderId="7" fillId="19" fontId="1" numFmtId="2" xfId="0" applyAlignment="1" applyBorder="1" applyFont="1" applyNumberFormat="1">
      <alignment readingOrder="0"/>
    </xf>
    <xf borderId="7" fillId="19" fontId="24" numFmtId="0" xfId="0" applyAlignment="1" applyBorder="1" applyFont="1">
      <alignment shrinkToFit="0" wrapText="0"/>
    </xf>
    <xf borderId="7" fillId="19" fontId="1" numFmtId="0" xfId="0" applyBorder="1" applyFont="1"/>
    <xf borderId="7" fillId="19" fontId="1" numFmtId="0" xfId="0" applyAlignment="1" applyBorder="1" applyFont="1">
      <alignment shrinkToFit="0" wrapText="0"/>
    </xf>
    <xf borderId="7" fillId="6" fontId="25" numFmtId="0" xfId="0" applyAlignment="1" applyBorder="1" applyFont="1">
      <alignment shrinkToFit="0" wrapText="0"/>
    </xf>
    <xf borderId="0" fillId="0" fontId="1" numFmtId="0" xfId="0" applyFont="1"/>
    <xf borderId="0" fillId="0" fontId="1" numFmtId="172" xfId="0" applyFont="1" applyNumberFormat="1"/>
    <xf borderId="0" fillId="0" fontId="1" numFmtId="173" xfId="0" applyFont="1" applyNumberFormat="1"/>
    <xf borderId="0" fillId="0" fontId="1" numFmtId="2" xfId="0" applyFont="1" applyNumberFormat="1"/>
    <xf borderId="0" fillId="0" fontId="2" numFmtId="0" xfId="0" applyAlignment="1" applyFont="1">
      <alignment readingOrder="0"/>
    </xf>
    <xf borderId="0" fillId="0" fontId="1" numFmtId="10"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CD9D4"/>
          <bgColor rgb="FFCCD9D4"/>
        </patternFill>
      </fill>
      <border/>
    </dxf>
    <dxf>
      <font/>
      <fill>
        <patternFill patternType="solid">
          <fgColor rgb="FFCCCCCC"/>
          <bgColor rgb="FFCCCCCC"/>
        </patternFill>
      </fill>
      <border/>
    </dxf>
    <dxf>
      <font/>
      <fill>
        <patternFill patternType="solid">
          <fgColor rgb="FFC9DAF8"/>
          <bgColor rgb="FFC9DAF8"/>
        </patternFill>
      </fill>
      <border/>
    </dxf>
    <dxf>
      <font/>
      <fill>
        <patternFill patternType="solid">
          <fgColor rgb="FFEEF7E3"/>
          <bgColor rgb="FFEEF7E3"/>
        </patternFill>
      </fill>
      <border/>
    </dxf>
  </dxfs>
  <tableStyles count="7">
    <tableStyle count="4" pivot="0" name=" TSLA LEAPS vs Spreads-style">
      <tableStyleElement dxfId="1" type="headerRow"/>
      <tableStyleElement dxfId="2" type="firstRowStripe"/>
      <tableStyleElement dxfId="3" type="secondRowStripe"/>
      <tableStyleElement dxfId="4" size="0" type="wholeTable"/>
    </tableStyle>
    <tableStyle count="5" pivot="0" name="Positions-style">
      <tableStyleElement dxfId="1" type="headerRow"/>
      <tableStyleElement dxfId="2" type="firstRowStripe"/>
      <tableStyleElement dxfId="3" type="secondRowStripe"/>
      <tableStyleElement dxfId="5" type="totalRow"/>
      <tableStyleElement dxfId="4" size="0" type="wholeTable"/>
    </tableStyle>
    <tableStyle count="5" pivot="0" name="Positions-style 2">
      <tableStyleElement dxfId="1" type="headerRow"/>
      <tableStyleElement dxfId="2" type="firstRowStripe"/>
      <tableStyleElement dxfId="3" type="secondRowStripe"/>
      <tableStyleElement dxfId="5" type="totalRow"/>
      <tableStyleElement dxfId="4" size="0" type="wholeTable"/>
    </tableStyle>
    <tableStyle count="4" pivot="0" name="Positions-style 3">
      <tableStyleElement dxfId="1" type="headerRow"/>
      <tableStyleElement dxfId="2" type="firstRowStripe"/>
      <tableStyleElement dxfId="3" type="secondRowStripe"/>
      <tableStyleElement dxfId="4" size="0" type="wholeTable"/>
    </tableStyle>
    <tableStyle count="4" pivot="0" name="Inputs-style">
      <tableStyleElement dxfId="1" type="headerRow"/>
      <tableStyleElement dxfId="2" type="firstRowStripe"/>
      <tableStyleElement dxfId="3" type="secondRowStripe"/>
      <tableStyleElement dxfId="4" size="0" type="wholeTable"/>
    </tableStyle>
    <tableStyle count="4" pivot="0" name="OptionPricesUploaded-style">
      <tableStyleElement dxfId="1" type="headerRow"/>
      <tableStyleElement dxfId="2" type="firstRowStripe"/>
      <tableStyleElement dxfId="3" type="secondRowStripe"/>
      <tableStyleElement dxfId="4" size="0" type="wholeTable"/>
    </tableStyle>
    <tableStyle count="2" pivot="0" name="SpreadFinder-style">
      <tableStyleElement dxfId="2"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LowerDelta vs ROI (outliers above = good deals)</a:t>
            </a:r>
          </a:p>
        </c:rich>
      </c:tx>
      <c:overlay val="0"/>
    </c:title>
    <c:plotArea>
      <c:layout/>
      <c:scatterChart>
        <c:scatterStyle val="lineMarker"/>
        <c:ser>
          <c:idx val="0"/>
          <c:order val="0"/>
          <c:spPr>
            <a:ln>
              <a:noFill/>
            </a:ln>
          </c:spPr>
          <c:marker>
            <c:symbol val="circle"/>
            <c:size val="5"/>
            <c:spPr>
              <a:solidFill>
                <a:schemeClr val="accent1"/>
              </a:solidFill>
              <a:ln cmpd="sng">
                <a:solidFill>
                  <a:schemeClr val="accent1"/>
                </a:solidFill>
              </a:ln>
            </c:spPr>
          </c:marker>
          <c:xVal>
            <c:numRef>
              <c:f>SpreadFinder!$Q$21:$Q$255</c:f>
            </c:numRef>
          </c:xVal>
          <c:yVal>
            <c:numRef>
              <c:f>SpreadFinder!$I$21:$I$255</c:f>
              <c:numCache/>
            </c:numRef>
          </c:yVal>
        </c:ser>
        <c:ser>
          <c:idx val="1"/>
          <c:order val="1"/>
          <c:spPr>
            <a:ln>
              <a:noFill/>
            </a:ln>
          </c:spPr>
          <c:marker>
            <c:symbol val="circle"/>
            <c:size val="5"/>
            <c:spPr>
              <a:solidFill>
                <a:schemeClr val="accent2"/>
              </a:solidFill>
              <a:ln cmpd="sng">
                <a:solidFill>
                  <a:schemeClr val="accent2"/>
                </a:solidFill>
              </a:ln>
            </c:spPr>
          </c:marker>
          <c:xVal>
            <c:numRef>
              <c:f>SpreadFinder!$Q$21:$Q$255</c:f>
            </c:numRef>
          </c:xVal>
          <c:yVal>
            <c:numRef>
              <c:f>SpreadFinder!$H$21:$H$255</c:f>
              <c:numCache/>
            </c:numRef>
          </c:yVal>
        </c:ser>
        <c:dLbls>
          <c:showLegendKey val="0"/>
          <c:showVal val="0"/>
          <c:showCatName val="0"/>
          <c:showSerName val="0"/>
          <c:showPercent val="0"/>
          <c:showBubbleSize val="0"/>
        </c:dLbls>
        <c:axId val="1095982565"/>
        <c:axId val="41968173"/>
      </c:scatterChart>
      <c:valAx>
        <c:axId val="1095982565"/>
        <c:scaling>
          <c:orientation val="minMax"/>
          <c:max val="1.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LowerDelta (probability)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968173"/>
      </c:valAx>
      <c:valAx>
        <c:axId val="41968173"/>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5982565"/>
      </c:valAx>
    </c:plotArea>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TSLA Portfolio Value by Price ($)</a:t>
            </a:r>
          </a:p>
        </c:rich>
      </c:tx>
      <c:overlay val="0"/>
    </c:title>
    <c:plotArea>
      <c:layout/>
      <c:lineChart>
        <c:ser>
          <c:idx val="0"/>
          <c:order val="0"/>
          <c:tx>
            <c:v>Shares $</c:v>
          </c:tx>
          <c:spPr>
            <a:ln cmpd="sng">
              <a:solidFill>
                <a:srgbClr val="4285F4"/>
              </a:solidFill>
            </a:ln>
          </c:spPr>
          <c:marker>
            <c:symbol val="none"/>
          </c:marker>
          <c:cat>
            <c:strRef>
              <c:f>TSLAPortfolioValueByPrice!$A$85:$A$196</c:f>
            </c:strRef>
          </c:cat>
          <c:val>
            <c:numRef>
              <c:f>TSLAPortfolioValueByPrice!$B$85:$B$196</c:f>
              <c:numCache/>
            </c:numRef>
          </c:val>
          <c:smooth val="0"/>
        </c:ser>
        <c:ser>
          <c:idx val="1"/>
          <c:order val="1"/>
          <c:tx>
            <c:v>Options $</c:v>
          </c:tx>
          <c:spPr>
            <a:ln cmpd="sng">
              <a:solidFill>
                <a:srgbClr val="EA4335"/>
              </a:solidFill>
            </a:ln>
          </c:spPr>
          <c:marker>
            <c:symbol val="none"/>
          </c:marker>
          <c:cat>
            <c:strRef>
              <c:f>TSLAPortfolioValueByPrice!$A$85:$A$196</c:f>
            </c:strRef>
          </c:cat>
          <c:val>
            <c:numRef>
              <c:f>TSLAPortfolioValueByPrice!$C$85:$C$196</c:f>
              <c:numCache/>
            </c:numRef>
          </c:val>
          <c:smooth val="0"/>
        </c:ser>
        <c:ser>
          <c:idx val="2"/>
          <c:order val="2"/>
          <c:tx>
            <c:v>Total $</c:v>
          </c:tx>
          <c:spPr>
            <a:ln cmpd="sng">
              <a:solidFill>
                <a:srgbClr val="FBBC04"/>
              </a:solidFill>
            </a:ln>
          </c:spPr>
          <c:marker>
            <c:symbol val="none"/>
          </c:marker>
          <c:cat>
            <c:strRef>
              <c:f>TSLAPortfolioValueByPrice!$A$85:$A$196</c:f>
            </c:strRef>
          </c:cat>
          <c:val>
            <c:numRef>
              <c:f>TSLAPortfolioValueByPrice!$D$85:$D$196</c:f>
              <c:numCache/>
            </c:numRef>
          </c:val>
          <c:smooth val="0"/>
        </c:ser>
        <c:axId val="637513285"/>
        <c:axId val="1498380277"/>
      </c:lineChart>
      <c:catAx>
        <c:axId val="6375132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TSLA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1498380277"/>
      </c:catAx>
      <c:valAx>
        <c:axId val="14983802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Portfolio Value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7513285"/>
      </c:valAx>
    </c:plotArea>
    <c:legend>
      <c:legendPos val="r"/>
      <c:overlay val="0"/>
      <c:txPr>
        <a:bodyPr/>
        <a:lstStyle/>
        <a:p>
          <a:pPr lvl="0">
            <a:defRPr b="0">
              <a:solidFill>
                <a:srgbClr val="1A1A1A"/>
              </a:solidFill>
              <a:latin typeface="+mn-lt"/>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TSLA Portfolio Value by Price (%)</a:t>
            </a:r>
          </a:p>
        </c:rich>
      </c:tx>
      <c:overlay val="0"/>
    </c:title>
    <c:plotArea>
      <c:layout/>
      <c:lineChart>
        <c:ser>
          <c:idx val="0"/>
          <c:order val="0"/>
          <c:tx>
            <c:v>Shares % ROI</c:v>
          </c:tx>
          <c:spPr>
            <a:ln cmpd="sng">
              <a:solidFill>
                <a:srgbClr val="4285F4"/>
              </a:solidFill>
            </a:ln>
          </c:spPr>
          <c:marker>
            <c:symbol val="none"/>
          </c:marker>
          <c:cat>
            <c:strRef>
              <c:f>TSLAPortfolioValueByPrice!$A$85:$A$196</c:f>
            </c:strRef>
          </c:cat>
          <c:val>
            <c:numRef>
              <c:f>TSLAPortfolioValueByPrice!$E$85:$E$196</c:f>
              <c:numCache/>
            </c:numRef>
          </c:val>
          <c:smooth val="0"/>
        </c:ser>
        <c:ser>
          <c:idx val="1"/>
          <c:order val="1"/>
          <c:tx>
            <c:v>Options % ROI</c:v>
          </c:tx>
          <c:spPr>
            <a:ln cmpd="sng">
              <a:solidFill>
                <a:srgbClr val="EA4335"/>
              </a:solidFill>
            </a:ln>
          </c:spPr>
          <c:marker>
            <c:symbol val="none"/>
          </c:marker>
          <c:cat>
            <c:strRef>
              <c:f>TSLAPortfolioValueByPrice!$A$85:$A$196</c:f>
            </c:strRef>
          </c:cat>
          <c:val>
            <c:numRef>
              <c:f>TSLAPortfolioValueByPrice!$F$85:$F$196</c:f>
              <c:numCache/>
            </c:numRef>
          </c:val>
          <c:smooth val="0"/>
        </c:ser>
        <c:axId val="569172470"/>
        <c:axId val="1144193057"/>
      </c:lineChart>
      <c:catAx>
        <c:axId val="5691724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TSLA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1144193057"/>
      </c:catAx>
      <c:valAx>
        <c:axId val="11441930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Return (ROI)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9172470"/>
      </c:valAx>
    </c:plotArea>
    <c:legend>
      <c:legendPos val="r"/>
      <c:overlay val="0"/>
      <c:txPr>
        <a:bodyPr/>
        <a:lstStyle/>
        <a:p>
          <a:pPr lvl="0">
            <a:defRPr b="0">
              <a:solidFill>
                <a:srgbClr val="1A1A1A"/>
              </a:solidFill>
              <a:latin typeface="+mn-lt"/>
            </a:defRPr>
          </a:pPr>
        </a:p>
      </c:txPr>
    </c:legend>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TSLA Individual Spreads ($)</a:t>
            </a:r>
          </a:p>
        </c:rich>
      </c:tx>
      <c:overlay val="0"/>
    </c:title>
    <c:plotArea>
      <c:layout/>
      <c:lineChart>
        <c:ser>
          <c:idx val="0"/>
          <c:order val="0"/>
          <c:tx>
            <c:v>Dec 28 300/440</c:v>
          </c:tx>
          <c:spPr>
            <a:ln cmpd="sng">
              <a:solidFill>
                <a:srgbClr val="4285F4"/>
              </a:solidFill>
            </a:ln>
          </c:spPr>
          <c:marker>
            <c:symbol val="none"/>
          </c:marker>
          <c:cat>
            <c:strRef>
              <c:f>TSLAPortfolioValueByPrice!$A$85:$A$196</c:f>
            </c:strRef>
          </c:cat>
          <c:val>
            <c:numRef>
              <c:f>TSLAPortfolioValueByPrice!$G$85:$G$196</c:f>
              <c:numCache/>
            </c:numRef>
          </c:val>
          <c:smooth val="0"/>
        </c:ser>
        <c:ser>
          <c:idx val="1"/>
          <c:order val="1"/>
          <c:tx>
            <c:v>Jun 28 350/450</c:v>
          </c:tx>
          <c:spPr>
            <a:ln cmpd="sng">
              <a:solidFill>
                <a:srgbClr val="EA4335"/>
              </a:solidFill>
            </a:ln>
          </c:spPr>
          <c:marker>
            <c:symbol val="none"/>
          </c:marker>
          <c:cat>
            <c:strRef>
              <c:f>TSLAPortfolioValueByPrice!$A$85:$A$196</c:f>
            </c:strRef>
          </c:cat>
          <c:val>
            <c:numRef>
              <c:f>TSLAPortfolioValueByPrice!$H$85:$H$196</c:f>
              <c:numCache/>
            </c:numRef>
          </c:val>
          <c:smooth val="0"/>
        </c:ser>
        <c:ser>
          <c:idx val="2"/>
          <c:order val="2"/>
          <c:tx>
            <c:v>Dec 28 350/450</c:v>
          </c:tx>
          <c:spPr>
            <a:ln cmpd="sng">
              <a:solidFill>
                <a:srgbClr val="FBBC04"/>
              </a:solidFill>
            </a:ln>
          </c:spPr>
          <c:marker>
            <c:symbol val="none"/>
          </c:marker>
          <c:cat>
            <c:strRef>
              <c:f>TSLAPortfolioValueByPrice!$A$85:$A$196</c:f>
            </c:strRef>
          </c:cat>
          <c:val>
            <c:numRef>
              <c:f>TSLAPortfolioValueByPrice!$I$85:$I$196</c:f>
              <c:numCache/>
            </c:numRef>
          </c:val>
          <c:smooth val="0"/>
        </c:ser>
        <c:ser>
          <c:idx val="3"/>
          <c:order val="3"/>
          <c:tx>
            <c:v>Dec 28 350/550</c:v>
          </c:tx>
          <c:spPr>
            <a:ln cmpd="sng">
              <a:solidFill>
                <a:srgbClr val="34A853"/>
              </a:solidFill>
            </a:ln>
          </c:spPr>
          <c:marker>
            <c:symbol val="none"/>
          </c:marker>
          <c:cat>
            <c:strRef>
              <c:f>TSLAPortfolioValueByPrice!$A$85:$A$196</c:f>
            </c:strRef>
          </c:cat>
          <c:val>
            <c:numRef>
              <c:f>TSLAPortfolioValueByPrice!$J$85:$J$196</c:f>
              <c:numCache/>
            </c:numRef>
          </c:val>
          <c:smooth val="0"/>
        </c:ser>
        <c:ser>
          <c:idx val="4"/>
          <c:order val="4"/>
          <c:tx>
            <c:v>Dec 28 400/450</c:v>
          </c:tx>
          <c:spPr>
            <a:ln cmpd="sng">
              <a:solidFill>
                <a:srgbClr val="FF6D01"/>
              </a:solidFill>
            </a:ln>
          </c:spPr>
          <c:marker>
            <c:symbol val="none"/>
          </c:marker>
          <c:cat>
            <c:strRef>
              <c:f>TSLAPortfolioValueByPrice!$A$85:$A$196</c:f>
            </c:strRef>
          </c:cat>
          <c:val>
            <c:numRef>
              <c:f>TSLAPortfolioValueByPrice!$K$85:$K$196</c:f>
              <c:numCache/>
            </c:numRef>
          </c:val>
          <c:smooth val="0"/>
        </c:ser>
        <c:ser>
          <c:idx val="5"/>
          <c:order val="5"/>
          <c:tx>
            <c:v>Jun 28 400/550</c:v>
          </c:tx>
          <c:spPr>
            <a:ln cmpd="sng">
              <a:solidFill>
                <a:srgbClr val="46BDC6"/>
              </a:solidFill>
            </a:ln>
          </c:spPr>
          <c:marker>
            <c:symbol val="none"/>
          </c:marker>
          <c:cat>
            <c:strRef>
              <c:f>TSLAPortfolioValueByPrice!$A$85:$A$196</c:f>
            </c:strRef>
          </c:cat>
          <c:val>
            <c:numRef>
              <c:f>TSLAPortfolioValueByPrice!$L$85:$L$196</c:f>
              <c:numCache/>
            </c:numRef>
          </c:val>
          <c:smooth val="0"/>
        </c:ser>
        <c:ser>
          <c:idx val="6"/>
          <c:order val="6"/>
          <c:tx>
            <c:v>Dec 28 400/550</c:v>
          </c:tx>
          <c:spPr>
            <a:ln cmpd="sng">
              <a:solidFill>
                <a:srgbClr val="7BAAF7"/>
              </a:solidFill>
            </a:ln>
          </c:spPr>
          <c:marker>
            <c:symbol val="none"/>
          </c:marker>
          <c:cat>
            <c:strRef>
              <c:f>TSLAPortfolioValueByPrice!$A$85:$A$196</c:f>
            </c:strRef>
          </c:cat>
          <c:val>
            <c:numRef>
              <c:f>TSLAPortfolioValueByPrice!$M$85:$M$196</c:f>
              <c:numCache/>
            </c:numRef>
          </c:val>
          <c:smooth val="0"/>
        </c:ser>
        <c:ser>
          <c:idx val="7"/>
          <c:order val="7"/>
          <c:tx>
            <c:v>Jun 28 500/700</c:v>
          </c:tx>
          <c:spPr>
            <a:ln cmpd="sng">
              <a:solidFill>
                <a:srgbClr val="F07B72"/>
              </a:solidFill>
            </a:ln>
          </c:spPr>
          <c:marker>
            <c:symbol val="none"/>
          </c:marker>
          <c:cat>
            <c:strRef>
              <c:f>TSLAPortfolioValueByPrice!$A$85:$A$196</c:f>
            </c:strRef>
          </c:cat>
          <c:val>
            <c:numRef>
              <c:f>TSLAPortfolioValueByPrice!$N$85:$N$196</c:f>
              <c:numCache/>
            </c:numRef>
          </c:val>
          <c:smooth val="0"/>
        </c:ser>
        <c:ser>
          <c:idx val="8"/>
          <c:order val="8"/>
          <c:tx>
            <c:v>Dec 28 500/700</c:v>
          </c:tx>
          <c:spPr>
            <a:ln cmpd="sng">
              <a:solidFill>
                <a:srgbClr val="FCD04F"/>
              </a:solidFill>
            </a:ln>
          </c:spPr>
          <c:marker>
            <c:symbol val="none"/>
          </c:marker>
          <c:cat>
            <c:strRef>
              <c:f>TSLAPortfolioValueByPrice!$A$85:$A$196</c:f>
            </c:strRef>
          </c:cat>
          <c:val>
            <c:numRef>
              <c:f>TSLAPortfolioValueByPrice!$O$85:$O$196</c:f>
              <c:numCache/>
            </c:numRef>
          </c:val>
          <c:smooth val="0"/>
        </c:ser>
        <c:ser>
          <c:idx val="9"/>
          <c:order val="9"/>
          <c:tx>
            <c:v>Jan 26 IC 380/450/450/580 (put)</c:v>
          </c:tx>
          <c:spPr>
            <a:ln cmpd="sng">
              <a:solidFill>
                <a:srgbClr val="71C287"/>
              </a:solidFill>
            </a:ln>
          </c:spPr>
          <c:marker>
            <c:symbol val="none"/>
          </c:marker>
          <c:cat>
            <c:strRef>
              <c:f>TSLAPortfolioValueByPrice!$A$85:$A$196</c:f>
            </c:strRef>
          </c:cat>
          <c:val>
            <c:numRef>
              <c:f>TSLAPortfolioValueByPrice!$P$85:$P$196</c:f>
              <c:numCache/>
            </c:numRef>
          </c:val>
          <c:smooth val="0"/>
        </c:ser>
        <c:ser>
          <c:idx val="10"/>
          <c:order val="10"/>
          <c:tx>
            <c:v>Jan 26 IC 380/450/450/580 (call)</c:v>
          </c:tx>
          <c:spPr>
            <a:ln cmpd="sng">
              <a:solidFill>
                <a:srgbClr val="FF994D"/>
              </a:solidFill>
            </a:ln>
          </c:spPr>
          <c:marker>
            <c:symbol val="none"/>
          </c:marker>
          <c:cat>
            <c:strRef>
              <c:f>TSLAPortfolioValueByPrice!$A$85:$A$196</c:f>
            </c:strRef>
          </c:cat>
          <c:val>
            <c:numRef>
              <c:f>TSLAPortfolioValueByPrice!$Q$85:$Q$196</c:f>
              <c:numCache/>
            </c:numRef>
          </c:val>
          <c:smooth val="0"/>
        </c:ser>
        <c:axId val="553581140"/>
        <c:axId val="650055491"/>
      </c:lineChart>
      <c:catAx>
        <c:axId val="5535811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TSLA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650055491"/>
      </c:catAx>
      <c:valAx>
        <c:axId val="6500554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Spread Value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3581140"/>
      </c:valAx>
    </c:plotArea>
    <c:legend>
      <c:legendPos val="r"/>
      <c:overlay val="0"/>
      <c:txPr>
        <a:bodyPr/>
        <a:lstStyle/>
        <a:p>
          <a:pPr lvl="0">
            <a:defRPr b="0">
              <a:solidFill>
                <a:srgbClr val="1A1A1A"/>
              </a:solidFill>
              <a:latin typeface="+mn-lt"/>
            </a:defRPr>
          </a:pPr>
        </a:p>
      </c:txPr>
    </c:legend>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TSLA Individual Spreads ROI</a:t>
            </a:r>
          </a:p>
        </c:rich>
      </c:tx>
      <c:overlay val="0"/>
    </c:title>
    <c:plotArea>
      <c:layout/>
      <c:lineChart>
        <c:ser>
          <c:idx val="0"/>
          <c:order val="0"/>
          <c:tx>
            <c:v>Dec 28 300/440</c:v>
          </c:tx>
          <c:spPr>
            <a:ln cmpd="sng">
              <a:solidFill>
                <a:srgbClr val="4285F4"/>
              </a:solidFill>
            </a:ln>
          </c:spPr>
          <c:marker>
            <c:symbol val="none"/>
          </c:marker>
          <c:cat>
            <c:strRef>
              <c:f>TSLAPortfolioValueByPrice!$A$85:$A$196</c:f>
            </c:strRef>
          </c:cat>
          <c:val>
            <c:numRef>
              <c:f>TSLAPortfolioValueByPrice!$R$85:$R$196</c:f>
              <c:numCache/>
            </c:numRef>
          </c:val>
          <c:smooth val="0"/>
        </c:ser>
        <c:ser>
          <c:idx val="1"/>
          <c:order val="1"/>
          <c:tx>
            <c:v>Jun 28 350/450</c:v>
          </c:tx>
          <c:spPr>
            <a:ln cmpd="sng">
              <a:solidFill>
                <a:srgbClr val="EA4335"/>
              </a:solidFill>
            </a:ln>
          </c:spPr>
          <c:marker>
            <c:symbol val="none"/>
          </c:marker>
          <c:cat>
            <c:strRef>
              <c:f>TSLAPortfolioValueByPrice!$A$85:$A$196</c:f>
            </c:strRef>
          </c:cat>
          <c:val>
            <c:numRef>
              <c:f>TSLAPortfolioValueByPrice!$S$85:$S$196</c:f>
              <c:numCache/>
            </c:numRef>
          </c:val>
          <c:smooth val="0"/>
        </c:ser>
        <c:ser>
          <c:idx val="2"/>
          <c:order val="2"/>
          <c:tx>
            <c:v>Dec 28 350/450</c:v>
          </c:tx>
          <c:spPr>
            <a:ln cmpd="sng">
              <a:solidFill>
                <a:srgbClr val="FBBC04"/>
              </a:solidFill>
            </a:ln>
          </c:spPr>
          <c:marker>
            <c:symbol val="none"/>
          </c:marker>
          <c:cat>
            <c:strRef>
              <c:f>TSLAPortfolioValueByPrice!$A$85:$A$196</c:f>
            </c:strRef>
          </c:cat>
          <c:val>
            <c:numRef>
              <c:f>TSLAPortfolioValueByPrice!$T$85:$T$196</c:f>
              <c:numCache/>
            </c:numRef>
          </c:val>
          <c:smooth val="0"/>
        </c:ser>
        <c:ser>
          <c:idx val="3"/>
          <c:order val="3"/>
          <c:tx>
            <c:v>Dec 28 350/550</c:v>
          </c:tx>
          <c:spPr>
            <a:ln cmpd="sng">
              <a:solidFill>
                <a:srgbClr val="34A853"/>
              </a:solidFill>
            </a:ln>
          </c:spPr>
          <c:marker>
            <c:symbol val="none"/>
          </c:marker>
          <c:cat>
            <c:strRef>
              <c:f>TSLAPortfolioValueByPrice!$A$85:$A$196</c:f>
            </c:strRef>
          </c:cat>
          <c:val>
            <c:numRef>
              <c:f>TSLAPortfolioValueByPrice!$U$85:$U$196</c:f>
              <c:numCache/>
            </c:numRef>
          </c:val>
          <c:smooth val="0"/>
        </c:ser>
        <c:ser>
          <c:idx val="4"/>
          <c:order val="4"/>
          <c:tx>
            <c:v>Dec 28 400/450</c:v>
          </c:tx>
          <c:spPr>
            <a:ln cmpd="sng">
              <a:solidFill>
                <a:srgbClr val="FF6D01"/>
              </a:solidFill>
            </a:ln>
          </c:spPr>
          <c:marker>
            <c:symbol val="none"/>
          </c:marker>
          <c:cat>
            <c:strRef>
              <c:f>TSLAPortfolioValueByPrice!$A$85:$A$196</c:f>
            </c:strRef>
          </c:cat>
          <c:val>
            <c:numRef>
              <c:f>TSLAPortfolioValueByPrice!$V$85:$V$196</c:f>
              <c:numCache/>
            </c:numRef>
          </c:val>
          <c:smooth val="0"/>
        </c:ser>
        <c:ser>
          <c:idx val="5"/>
          <c:order val="5"/>
          <c:tx>
            <c:v>Jun 28 400/550</c:v>
          </c:tx>
          <c:spPr>
            <a:ln cmpd="sng">
              <a:solidFill>
                <a:srgbClr val="46BDC6"/>
              </a:solidFill>
            </a:ln>
          </c:spPr>
          <c:marker>
            <c:symbol val="none"/>
          </c:marker>
          <c:cat>
            <c:strRef>
              <c:f>TSLAPortfolioValueByPrice!$A$85:$A$196</c:f>
            </c:strRef>
          </c:cat>
          <c:val>
            <c:numRef>
              <c:f>TSLAPortfolioValueByPrice!$W$85:$W$196</c:f>
              <c:numCache/>
            </c:numRef>
          </c:val>
          <c:smooth val="0"/>
        </c:ser>
        <c:ser>
          <c:idx val="6"/>
          <c:order val="6"/>
          <c:tx>
            <c:v>Dec 28 400/550</c:v>
          </c:tx>
          <c:spPr>
            <a:ln cmpd="sng">
              <a:solidFill>
                <a:srgbClr val="7BAAF7"/>
              </a:solidFill>
            </a:ln>
          </c:spPr>
          <c:marker>
            <c:symbol val="none"/>
          </c:marker>
          <c:cat>
            <c:strRef>
              <c:f>TSLAPortfolioValueByPrice!$A$85:$A$196</c:f>
            </c:strRef>
          </c:cat>
          <c:val>
            <c:numRef>
              <c:f>TSLAPortfolioValueByPrice!$X$85:$X$196</c:f>
              <c:numCache/>
            </c:numRef>
          </c:val>
          <c:smooth val="0"/>
        </c:ser>
        <c:ser>
          <c:idx val="7"/>
          <c:order val="7"/>
          <c:tx>
            <c:v>Jun 28 500/700</c:v>
          </c:tx>
          <c:spPr>
            <a:ln cmpd="sng">
              <a:solidFill>
                <a:srgbClr val="F07B72"/>
              </a:solidFill>
            </a:ln>
          </c:spPr>
          <c:marker>
            <c:symbol val="none"/>
          </c:marker>
          <c:cat>
            <c:strRef>
              <c:f>TSLAPortfolioValueByPrice!$A$85:$A$196</c:f>
            </c:strRef>
          </c:cat>
          <c:val>
            <c:numRef>
              <c:f>TSLAPortfolioValueByPrice!$Y$85:$Y$196</c:f>
              <c:numCache/>
            </c:numRef>
          </c:val>
          <c:smooth val="0"/>
        </c:ser>
        <c:ser>
          <c:idx val="8"/>
          <c:order val="8"/>
          <c:tx>
            <c:v>Dec 28 500/700</c:v>
          </c:tx>
          <c:spPr>
            <a:ln cmpd="sng">
              <a:solidFill>
                <a:srgbClr val="FCD04F"/>
              </a:solidFill>
            </a:ln>
          </c:spPr>
          <c:marker>
            <c:symbol val="none"/>
          </c:marker>
          <c:cat>
            <c:strRef>
              <c:f>TSLAPortfolioValueByPrice!$A$85:$A$196</c:f>
            </c:strRef>
          </c:cat>
          <c:val>
            <c:numRef>
              <c:f>TSLAPortfolioValueByPrice!$Z$85:$Z$196</c:f>
              <c:numCache/>
            </c:numRef>
          </c:val>
          <c:smooth val="0"/>
        </c:ser>
        <c:ser>
          <c:idx val="9"/>
          <c:order val="9"/>
          <c:tx>
            <c:v>Jan 26 IC 380/450/450/580 (put)</c:v>
          </c:tx>
          <c:spPr>
            <a:ln cmpd="sng">
              <a:solidFill>
                <a:srgbClr val="71C287"/>
              </a:solidFill>
            </a:ln>
          </c:spPr>
          <c:marker>
            <c:symbol val="none"/>
          </c:marker>
          <c:cat>
            <c:strRef>
              <c:f>TSLAPortfolioValueByPrice!$A$85:$A$196</c:f>
            </c:strRef>
          </c:cat>
          <c:val>
            <c:numRef>
              <c:f>TSLAPortfolioValueByPrice!$AA$85:$AA$196</c:f>
              <c:numCache/>
            </c:numRef>
          </c:val>
          <c:smooth val="0"/>
        </c:ser>
        <c:ser>
          <c:idx val="10"/>
          <c:order val="10"/>
          <c:tx>
            <c:v>Jan 26 IC 380/450/450/580 (call)</c:v>
          </c:tx>
          <c:spPr>
            <a:ln cmpd="sng">
              <a:solidFill>
                <a:srgbClr val="FF994D"/>
              </a:solidFill>
            </a:ln>
          </c:spPr>
          <c:marker>
            <c:symbol val="none"/>
          </c:marker>
          <c:cat>
            <c:strRef>
              <c:f>TSLAPortfolioValueByPrice!$A$85:$A$196</c:f>
            </c:strRef>
          </c:cat>
          <c:val>
            <c:numRef>
              <c:f>TSLAPortfolioValueByPrice!$AB$85:$AB$196</c:f>
              <c:numCache/>
            </c:numRef>
          </c:val>
          <c:smooth val="0"/>
        </c:ser>
        <c:axId val="1115199239"/>
        <c:axId val="102398481"/>
      </c:lineChart>
      <c:catAx>
        <c:axId val="11151992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TSLA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102398481"/>
      </c:catAx>
      <c:valAx>
        <c:axId val="1023984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Return (ROI)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5199239"/>
      </c:valAx>
    </c:plotArea>
    <c:legend>
      <c:legendPos val="r"/>
      <c:overlay val="0"/>
      <c:txPr>
        <a:bodyPr/>
        <a:lstStyle/>
        <a:p>
          <a:pPr lvl="0">
            <a:defRPr b="0">
              <a:solidFill>
                <a:srgbClr val="1A1A1A"/>
              </a:solidFill>
              <a:latin typeface="+mn-lt"/>
            </a:defRPr>
          </a:pPr>
        </a:p>
      </c:txPr>
    </c:legend>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6667500" cy="4762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14</xdr:row>
      <xdr:rowOff>0</xdr:rowOff>
    </xdr:from>
    <xdr:ext cx="5715000" cy="3533775"/>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28</xdr:row>
      <xdr:rowOff>0</xdr:rowOff>
    </xdr:from>
    <xdr:ext cx="5715000" cy="3533775"/>
    <xdr:graphicFrame>
      <xdr:nvGraphicFramePr>
        <xdr:cNvPr id="4" name="Chart 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42</xdr:row>
      <xdr:rowOff>0</xdr:rowOff>
    </xdr:from>
    <xdr:ext cx="5715000" cy="3533775"/>
    <xdr:graphicFrame>
      <xdr:nvGraphicFramePr>
        <xdr:cNvPr id="5" name="Chart 5"/>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k Riggins" id="{0daea861-f112-4cbe-bf27-07cd0f83fe86}" providerId="google-sheets"/>
</x18tc:personList>
</file>

<file path=xl/tables/table1.xml><?xml version="1.0" encoding="utf-8"?>
<table xmlns="http://schemas.openxmlformats.org/spreadsheetml/2006/main" ref="A10:Y27" displayName="TSLA_Strategies_Gains" name="TSLA_Strategies_Gains" id="1">
  <tableColumns count="25">
    <tableColumn name="TSLA per share" id="1"/>
    <tableColumn name="Shares" id="2"/>
    <tableColumn name="350 LEAPs" id="3"/>
    <tableColumn name="450 LEAPs" id="4"/>
    <tableColumn name="700 LEAPs" id="5"/>
    <tableColumn name="300/400" id="6"/>
    <tableColumn name="300/400 2" id="7"/>
    <tableColumn name="300/440" id="8"/>
    <tableColumn name="300/600" id="9"/>
    <tableColumn name="350/450" id="10"/>
    <tableColumn name="350/550" id="11"/>
    <tableColumn name="350/550 2" id="12"/>
    <tableColumn name="400/450" id="13"/>
    <tableColumn name="400/550" id="14"/>
    <tableColumn name="400/550 2" id="15"/>
    <tableColumn name="400/600" id="16"/>
    <tableColumn name="450/500" id="17"/>
    <tableColumn name="450/460" id="18"/>
    <tableColumn name="460/480" id="19"/>
    <tableColumn name="450/550" id="20"/>
    <tableColumn name="450/650" id="21"/>
    <tableColumn name="500/700" id="22"/>
    <tableColumn name="550/650" id="23"/>
    <tableColumn name="650/700" id="24"/>
    <tableColumn name="700/800" id="25"/>
  </tableColumns>
  <tableStyleInfo name=" TSLA LEAPS vs Spreads-style" showColumnStripes="0" showFirstColumn="1" showLastColumn="1" showRowStripes="1"/>
</table>
</file>

<file path=xl/tables/table2.xml><?xml version="1.0" encoding="utf-8"?>
<table xmlns="http://schemas.openxmlformats.org/spreadsheetml/2006/main" totalsRowCount="1" ref="B3:S79" displayName="BullCallSpreads" name="BullCallSpreads" id="2">
  <autoFilter ref="$B$3:$S$79"/>
  <tableColumns count="18">
    <tableColumn name="Symbol" id="1"/>
    <tableColumn name="Spread" id="2"/>
    <tableColumn name="Long Strike" id="3"/>
    <tableColumn name="Short Strike" id="4"/>
    <tableColumn name="Break Even" id="5"/>
    <tableColumn name="Expiration" id="6"/>
    <tableColumn name="Rec Debit" id="7"/>
    <tableColumn name="Rec Credit" id="8"/>
    <tableColumn name="Link" id="9"/>
    <tableColumn name="Target" id="10"/>
    <tableColumn totalsRowFunction="custom" name="Target Invst" id="11"/>
    <tableColumn name="Contracts" id="12"/>
    <tableColumn name="Debit" id="13"/>
    <tableColumn name="Avg Debit" id="14"/>
    <tableColumn totalsRowFunction="custom" name="Investment" id="15"/>
    <tableColumn totalsRowFunction="custom" name="Gain" id="16"/>
    <tableColumn totalsRowFunction="custom" name="Gain %" id="17"/>
    <tableColumn name="Max Gain %" id="18"/>
  </tableColumns>
  <tableStyleInfo name="Positions-style" showColumnStripes="0" showFirstColumn="1" showLastColumn="1" showRowStripes="1"/>
</table>
</file>

<file path=xl/tables/table3.xml><?xml version="1.0" encoding="utf-8"?>
<table xmlns="http://schemas.openxmlformats.org/spreadsheetml/2006/main" totalsRowCount="1" ref="U3:AJ6" displayName="Iron_Condors" name="Iron_Condors" id="3">
  <tableColumns count="16">
    <tableColumn name="Symbol" id="1"/>
    <tableColumn name="Expiration" id="2"/>
    <tableColumn name="Status" id="3"/>
    <tableColumn name="Start" id="4"/>
    <tableColumn name="Link" id="5"/>
    <tableColumn name="Buy Put" id="6"/>
    <tableColumn name="Sell put" id="7"/>
    <tableColumn name="Sell Call" id="8"/>
    <tableColumn name="Buy Call" id="9"/>
    <tableColumn name="Break Even" id="10"/>
    <tableColumn name="Credit" id="11"/>
    <tableColumn name="Rec Credit" id="12"/>
    <tableColumn name="Rec Debit" id="13"/>
    <tableColumn name="Qty" id="14"/>
    <tableColumn totalsRowFunction="custom" name="Net" id="15"/>
    <tableColumn totalsRowFunction="custom" name="Gain" id="16"/>
  </tableColumns>
  <tableStyleInfo name="Positions-style 2" showColumnStripes="0" showFirstColumn="1" showLastColumn="1" showRowStripes="1"/>
</table>
</file>

<file path=xl/tables/table4.xml><?xml version="1.0" encoding="utf-8"?>
<table xmlns="http://schemas.openxmlformats.org/spreadsheetml/2006/main" ref="U10:AC22" displayName="Stocks" name="Stocks" id="4">
  <tableColumns count="9">
    <tableColumn name="Symbol" id="1"/>
    <tableColumn name="Date" id="2"/>
    <tableColumn name="Price" id="3"/>
    <tableColumn name="Qty" id="4"/>
    <tableColumn name="Ave Price" id="5"/>
    <tableColumn name="Investment" id="6"/>
    <tableColumn name="CurrentPrice" id="7"/>
    <tableColumn name="Net" id="8"/>
    <tableColumn name="Gain" id="9"/>
  </tableColumns>
  <tableStyleInfo name="Positions-style 3" showColumnStripes="0" showFirstColumn="1" showLastColumn="1" showRowStripes="1"/>
</table>
</file>

<file path=xl/tables/table5.xml><?xml version="1.0" encoding="utf-8"?>
<table xmlns="http://schemas.openxmlformats.org/spreadsheetml/2006/main" ref="A1:C7" displayName="Inputs" name="Inputs" id="5">
  <tableColumns count="3">
    <tableColumn name="Name" id="1"/>
    <tableColumn name="Value" id="2"/>
    <tableColumn name="Description" id="3"/>
  </tableColumns>
  <tableStyleInfo name="Inputs-style" showColumnStripes="0" showFirstColumn="1" showLastColumn="1" showRowStripes="1"/>
</table>
</file>

<file path=xl/tables/table6.xml><?xml version="1.0" encoding="utf-8"?>
<table xmlns="http://schemas.openxmlformats.org/spreadsheetml/2006/main" ref="A1:L867" displayName="OptionPricesUploaded" name="OptionPricesUploaded" id="6">
  <autoFilter ref="$A$1:$L$867"/>
  <tableColumns count="12">
    <tableColumn name="symbol" id="1"/>
    <tableColumn name="expiration" id="2"/>
    <tableColumn name="strike" id="3"/>
    <tableColumn name="type" id="4"/>
    <tableColumn name="bid" id="5"/>
    <tableColumn name="mid" id="6"/>
    <tableColumn name="ask" id="7"/>
    <tableColumn name="iv" id="8"/>
    <tableColumn name="delta" id="9"/>
    <tableColumn name="volume" id="10"/>
    <tableColumn name="openint" id="11"/>
    <tableColumn name="moneyness" id="12"/>
  </tableColumns>
  <tableStyleInfo name="OptionPricesUploaded-style" showColumnStripes="0" showFirstColumn="1" showLastColumn="1" showRowStripes="1"/>
</table>
</file>

<file path=xl/tables/table7.xml><?xml version="1.0" encoding="utf-8"?>
<table xmlns="http://schemas.openxmlformats.org/spreadsheetml/2006/main" headerRowCount="0" ref="A2:C10" displayName="Table_1" name="Table_1" id="7">
  <tableColumns count="3">
    <tableColumn name="Column1" id="1"/>
    <tableColumn name="Column2" id="2"/>
    <tableColumn name="Column3" id="3"/>
  </tableColumns>
  <tableStyleInfo name="SpreadFind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7" dT="2025-12-19T17:50:23.00" personId="{0daea861-f112-4cbe-bf27-07cd0f83fe86}" id="{28441218-76c7-4722-a644-c0df0070dcdd}" done="0">
    <x18tc:text xml:space="preserve">Surprisingly small because you can only buy a few contracts</x18tc:text>
  </x18tc:threadedComment>
  <x18tc:threadedComment ref="A2" dT="2025-12-19T19:23:37.00" personId="{0daea861-f112-4cbe-bf27-07cd0f83fe86}" id="{117c4590-7711-449f-a003-7147b49de7cb}" done="0">
    <x18tc:text xml:space="preserve">Number of shares or contracts we can buy with our Investment, rounded down</x18tc:text>
  </x18tc:threadedComment>
  <x18tc:threadedComment ref="A8" dT="2025-12-19T19:25:41.00" personId="{0daea861-f112-4cbe-bf27-07cd0f83fe86}" id="{c83bbd6e-af38-43d2-8e28-ae65d5d67f9d}" done="0">
    <x18tc:text xml:space="preserve">Without fractional quantities, we cannot invest 100% of available funds</x18tc:text>
  </x18tc:threadedComment>
  <x18tc:threadedComment ref="A6" dT="2026-01-03T15:08:05.00" personId="{0daea861-f112-4cbe-bf27-07cd0f83fe86}" id="{61b252aa-438e-4cd7-8eb3-e48b1bb01c4b}" done="0">
    <x18tc:text xml:space="preserve">Net price of the spread after buying the low leg and selling the upper one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 dT="2026-01-13T13:37:29.00" personId="{0daea861-f112-4cbe-bf27-07cd0f83fe86}" id="{fa95b820-ff61-45b0-9930-47bfdadeaa7f}" done="0">
    <x18tc:text xml:space="preserve">TSLA/OptionPrices/Barchart.com</x18tc:text>
    <x18tc:extLst>
      <ext uri="{F7C98A9C-CBB3-438F-8F68-D28B6AF4A901}">
        <xltc2:checksum/>
        <xltc2:hyperlink startIndex="18" length="12" url="http://Barchart.com"/>
      </ext>
    </x18tc:extLst>
  </x18tc:threadedComment>
  <x18tc:threadedComment ref="A5" dT="2025-12-19T15:32:46.00" personId="{0daea861-f112-4cbe-bf27-07cd0f83fe86}" id="{ca0bb10d-c5bf-4d63-a0df-5fcd490def4e}" done="0">
    <x18tc:text xml:space="preserve">When buying options, we have to pay closer to Ask than Bid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optionstrat.com/8I3KWqZfN1Xs" TargetMode="External"/><Relationship Id="rId10" Type="http://schemas.openxmlformats.org/officeDocument/2006/relationships/hyperlink" Target="https://optionstrat.com/G7N3PsJdJy2e" TargetMode="External"/><Relationship Id="rId12" Type="http://schemas.openxmlformats.org/officeDocument/2006/relationships/drawing" Target="../drawings/drawing3.xml"/><Relationship Id="rId1" Type="http://schemas.openxmlformats.org/officeDocument/2006/relationships/hyperlink" Target="https://optionstrat.com/FTIl2EggYZoo" TargetMode="External"/><Relationship Id="rId2" Type="http://schemas.openxmlformats.org/officeDocument/2006/relationships/hyperlink" Target="https://optionstrat.com/VOUvLKt884pn" TargetMode="External"/><Relationship Id="rId3" Type="http://schemas.openxmlformats.org/officeDocument/2006/relationships/hyperlink" Target="https://optionstrat.com/XKUiiOIeBNHm" TargetMode="External"/><Relationship Id="rId4" Type="http://schemas.openxmlformats.org/officeDocument/2006/relationships/hyperlink" Target="https://optionstrat.com/TG7vQjv91ABh" TargetMode="External"/><Relationship Id="rId9" Type="http://schemas.openxmlformats.org/officeDocument/2006/relationships/hyperlink" Target="https://optionstrat.com/0ObqiG1ismKF" TargetMode="External"/><Relationship Id="rId17" Type="http://schemas.openxmlformats.org/officeDocument/2006/relationships/table" Target="../tables/table3.xml"/><Relationship Id="rId16" Type="http://schemas.openxmlformats.org/officeDocument/2006/relationships/table" Target="../tables/table2.xml"/><Relationship Id="rId5" Type="http://schemas.openxmlformats.org/officeDocument/2006/relationships/hyperlink" Target="https://optionstrat.com/PxIITSwWeXfl" TargetMode="External"/><Relationship Id="rId6" Type="http://schemas.openxmlformats.org/officeDocument/2006/relationships/hyperlink" Target="https://optionstrat.com/LYejacDbLSwI" TargetMode="External"/><Relationship Id="rId18" Type="http://schemas.openxmlformats.org/officeDocument/2006/relationships/table" Target="../tables/table4.xml"/><Relationship Id="rId7" Type="http://schemas.openxmlformats.org/officeDocument/2006/relationships/hyperlink" Target="https://optionstrat.com/vOPx0VrfIOAb" TargetMode="External"/><Relationship Id="rId8" Type="http://schemas.openxmlformats.org/officeDocument/2006/relationships/hyperlink" Target="https://optionstrat.com/V0osZTQKda2n"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script.google.com/macros/library/d/1qvAlZ99zluKSr3ws4NsxH8xXo1FncbWzu6Yq6raBumHdCLpLDaKveM0T/6" TargetMode="External"/><Relationship Id="rId9" Type="http://schemas.openxmlformats.org/officeDocument/2006/relationships/table" Target="../tables/table5.xml"/><Relationship Id="rId5" Type="http://schemas.openxmlformats.org/officeDocument/2006/relationships/hyperlink" Target="https://script.google.com/macros/library/d/1qvAlZ99zluKSr3ws4NsxH8xXo1FncbWzu6Yq6raBumHdCLpLDaKveM0T/50" TargetMode="External"/><Relationship Id="rId6" Type="http://schemas.openxmlformats.org/officeDocument/2006/relationships/drawing" Target="../drawings/drawing4.xml"/><Relationship Id="rId7"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0"/>
  <cols>
    <col customWidth="1" min="1" max="1" width="13.13"/>
    <col customWidth="1" min="2" max="2" width="17.88"/>
    <col customWidth="1" min="3" max="3" width="17.63"/>
    <col customWidth="1" min="4" max="5" width="16.63"/>
    <col customWidth="1" min="6" max="7" width="11.63"/>
    <col customWidth="1" min="8" max="8" width="12.13"/>
    <col customWidth="1" min="9" max="9" width="9.25"/>
    <col customWidth="1" min="10" max="11" width="11.25"/>
    <col customWidth="1" min="12" max="12" width="11.63"/>
    <col customWidth="1" min="13" max="13" width="11.13"/>
    <col customWidth="1" min="14" max="14" width="12.13"/>
    <col customWidth="1" min="15" max="16" width="11.25"/>
    <col customWidth="1" min="17" max="17" width="11.63"/>
    <col customWidth="1" min="18" max="18" width="12.0"/>
    <col customWidth="1" min="19" max="19" width="11.5"/>
    <col customWidth="1" min="20" max="20" width="11.25"/>
    <col customWidth="1" min="21" max="21" width="11.0"/>
    <col customWidth="1" min="22" max="22" width="9.38"/>
    <col customWidth="1" min="23" max="24" width="12.38"/>
    <col customWidth="1" min="25" max="25" width="12.75"/>
    <col customWidth="1" min="26" max="39" width="7.63"/>
  </cols>
  <sheetData>
    <row r="1" ht="27.75" customHeight="1">
      <c r="A1" s="1" t="s">
        <v>0</v>
      </c>
      <c r="B1" s="2"/>
      <c r="C1" s="3"/>
      <c r="D1" s="3"/>
      <c r="E1" s="3"/>
      <c r="F1" s="4"/>
      <c r="G1" s="4"/>
      <c r="H1" s="2">
        <v>16.0</v>
      </c>
      <c r="I1" s="3"/>
      <c r="J1" s="5">
        <v>8.0</v>
      </c>
      <c r="K1" s="6">
        <v>0.0</v>
      </c>
      <c r="L1" s="6">
        <v>8.0</v>
      </c>
      <c r="M1" s="2">
        <v>4.0</v>
      </c>
      <c r="N1" s="7">
        <v>2.0</v>
      </c>
      <c r="P1" s="3"/>
      <c r="Q1" s="3"/>
      <c r="R1" s="3"/>
      <c r="S1" s="8"/>
      <c r="T1" s="3"/>
      <c r="U1" s="9"/>
      <c r="V1" s="10">
        <v>2.0</v>
      </c>
      <c r="W1" s="3"/>
      <c r="X1" s="3"/>
      <c r="Y1" s="3"/>
    </row>
    <row r="2" ht="27.75" customHeight="1">
      <c r="A2" s="11" t="s">
        <v>1</v>
      </c>
      <c r="B2" s="2">
        <f>rounddown(Investment/TSLA_market_price,0)</f>
        <v>230</v>
      </c>
      <c r="C2" s="3" t="str">
        <f>rounddown(Investment/C6/100,0)</f>
        <v>Loading...</v>
      </c>
      <c r="D2" s="3">
        <f>rounddown(Investment/D6/100,0)</f>
        <v>6</v>
      </c>
      <c r="E2" s="3" t="str">
        <f>rounddown(Investment/E6/100,0)</f>
        <v>Loading...</v>
      </c>
      <c r="F2" s="3" t="str">
        <f>rounddown(Investment/F6/100,0)</f>
        <v>Loading...</v>
      </c>
      <c r="G2" s="3" t="str">
        <f>rounddown(Investment/G6/100,0)</f>
        <v>Loading...</v>
      </c>
      <c r="H2" s="3">
        <f>rounddown(Investment/H6/100,0)</f>
        <v>16</v>
      </c>
      <c r="I2" s="3" t="str">
        <f>rounddown(Investment/I6/100,0)</f>
        <v>Loading...</v>
      </c>
      <c r="J2" s="9" t="str">
        <f>rounddown(Investment/J6/100,0)</f>
        <v>Loading...</v>
      </c>
      <c r="K2" s="12" t="str">
        <f>rounddown(Investment/K6/100,0)</f>
        <v>Loading...</v>
      </c>
      <c r="L2" s="12" t="str">
        <f>rounddown(Investment/L6/100,0)</f>
        <v>Loading...</v>
      </c>
      <c r="M2" s="3">
        <f>rounddown(Investment/M6/100,0)</f>
        <v>51</v>
      </c>
      <c r="N2" s="13" t="str">
        <f>rounddown(Investment/N6/100,0)</f>
        <v>Loading...</v>
      </c>
      <c r="O2" s="3" t="str">
        <f>rounddown(Investment/O6/100,0)</f>
        <v>Loading...</v>
      </c>
      <c r="P2" s="3" t="str">
        <f>rounddown(Investment/P6/100,0)</f>
        <v>Loading...</v>
      </c>
      <c r="Q2" s="3">
        <f>rounddown(Investment/Q6/100,0)</f>
        <v>59</v>
      </c>
      <c r="R2" s="3" t="str">
        <f>rounddown(Investment/R6/100,0)</f>
        <v>Loading...</v>
      </c>
      <c r="S2" s="8" t="str">
        <f>rounddown(Investment/S6/100,0)</f>
        <v>Loading...</v>
      </c>
      <c r="T2" s="3" t="str">
        <f>rounddown(Investment/T6/100,0)</f>
        <v>Loading...</v>
      </c>
      <c r="U2" s="9" t="str">
        <f>rounddown(Investment/U6/100,0)</f>
        <v>Loading...</v>
      </c>
      <c r="V2" s="13" t="str">
        <f>rounddown(Investment/V6/100,0)</f>
        <v>Loading...</v>
      </c>
      <c r="W2" s="3" t="str">
        <f>rounddown(Investment/W6/100,0)</f>
        <v>Loading...</v>
      </c>
      <c r="X2" s="3" t="str">
        <f>rounddown(Investment/X6/100,0)</f>
        <v>Loading...</v>
      </c>
      <c r="Y2" s="3" t="str">
        <f>rounddown(Investment/Y6/100,0)</f>
        <v>Loading...</v>
      </c>
    </row>
    <row r="3">
      <c r="A3" s="11" t="s">
        <v>2</v>
      </c>
      <c r="B3" s="14"/>
      <c r="C3" s="11">
        <f>IFERROR(__xludf.DUMMYFUNCTION("index(SPLIT(C$10, "" ""),1)"),350.0)</f>
        <v>350</v>
      </c>
      <c r="D3" s="11">
        <f>IFERROR(__xludf.DUMMYFUNCTION("index(SPLIT(D$10, "" ""),1)"),450.0)</f>
        <v>450</v>
      </c>
      <c r="E3" s="11">
        <f>IFERROR(__xludf.DUMMYFUNCTION("index(SPLIT(E$10, "" ""),1)"),700.0)</f>
        <v>700</v>
      </c>
      <c r="F3" s="11">
        <f>IFERROR(__xludf.DUMMYFUNCTION("index(split(index(SPLIT(F$10, "" ""),1), ""/"", 1),1)"),300.0)</f>
        <v>300</v>
      </c>
      <c r="G3" s="11">
        <f>IFERROR(__xludf.DUMMYFUNCTION("index(split(index(SPLIT(G$10, "" ""),1), ""/"", 1),1)"),300.0)</f>
        <v>300</v>
      </c>
      <c r="H3" s="11">
        <f>IFERROR(__xludf.DUMMYFUNCTION("index(split(index(SPLIT(H$10, "" ""),1), ""/"", 1),1)"),300.0)</f>
        <v>300</v>
      </c>
      <c r="I3" s="11">
        <f>IFERROR(__xludf.DUMMYFUNCTION("index(split(index(SPLIT(I$10, "" ""),1), ""/"", 1),1)"),300.0)</f>
        <v>300</v>
      </c>
      <c r="J3" s="15">
        <f>IFERROR(__xludf.DUMMYFUNCTION("index(split(index(SPLIT(J$10, "" ""),1), ""/"", 1),1)"),350.0)</f>
        <v>350</v>
      </c>
      <c r="K3" s="16">
        <f>IFERROR(__xludf.DUMMYFUNCTION("index(split(index(SPLIT(K$10, "" ""),1), ""/"", 1),1)"),350.0)</f>
        <v>350</v>
      </c>
      <c r="L3" s="16">
        <f>IFERROR(__xludf.DUMMYFUNCTION("index(split(index(SPLIT(L$10, "" ""),1), ""/"", 1),1)"),350.0)</f>
        <v>350</v>
      </c>
      <c r="M3" s="11">
        <f>IFERROR(__xludf.DUMMYFUNCTION("index(split(index(SPLIT(M$10, "" ""),1), ""/"", 1),1)"),400.0)</f>
        <v>400</v>
      </c>
      <c r="N3" s="17">
        <f>IFERROR(__xludf.DUMMYFUNCTION("index(split(index(SPLIT(N$10, "" ""),1), ""/"", 1),1)"),400.0)</f>
        <v>400</v>
      </c>
      <c r="O3" s="11">
        <f>IFERROR(__xludf.DUMMYFUNCTION("index(split(index(SPLIT(O$10, "" ""),1), ""/"", 1),1)"),400.0)</f>
        <v>400</v>
      </c>
      <c r="P3" s="11">
        <f>IFERROR(__xludf.DUMMYFUNCTION("index(split(index(SPLIT(P$10, "" ""),1), ""/"", 1),1)"),400.0)</f>
        <v>400</v>
      </c>
      <c r="Q3" s="11">
        <f>IFERROR(__xludf.DUMMYFUNCTION("index(split(index(SPLIT(Q$10, "" ""),1), ""/"", 1),1)"),450.0)</f>
        <v>450</v>
      </c>
      <c r="R3" s="11">
        <f>IFERROR(__xludf.DUMMYFUNCTION("index(split(index(SPLIT(R$10, "" ""),1), ""/"", 1),1)"),450.0)</f>
        <v>450</v>
      </c>
      <c r="S3" s="18">
        <f>IFERROR(__xludf.DUMMYFUNCTION("index(split(index(SPLIT(S$10, "" ""),1), ""/"", 1),1)"),460.0)</f>
        <v>460</v>
      </c>
      <c r="T3" s="11">
        <f>IFERROR(__xludf.DUMMYFUNCTION("index(split(index(SPLIT(T$10, "" ""),1), ""/"", 1),1)"),450.0)</f>
        <v>450</v>
      </c>
      <c r="U3" s="15">
        <f>IFERROR(__xludf.DUMMYFUNCTION("index(split(index(SPLIT(U$10, "" ""),1), ""/"", 1),1)"),450.0)</f>
        <v>450</v>
      </c>
      <c r="V3" s="17">
        <f>IFERROR(__xludf.DUMMYFUNCTION("index(split(index(SPLIT(V$10, "" ""),1), ""/"", 1),1)"),500.0)</f>
        <v>500</v>
      </c>
      <c r="W3" s="11">
        <f>IFERROR(__xludf.DUMMYFUNCTION("index(split(index(SPLIT(W$10, "" ""),1), ""/"", 1),1)"),550.0)</f>
        <v>550</v>
      </c>
      <c r="X3" s="11">
        <f>IFERROR(__xludf.DUMMYFUNCTION("index(split(index(SPLIT(X$10, "" ""),1), ""/"", 1),1)"),650.0)</f>
        <v>650</v>
      </c>
      <c r="Y3" s="11">
        <f>IFERROR(__xludf.DUMMYFUNCTION("index(split(index(SPLIT(Y$10, "" ""),1), ""/"", 1),1)"),700.0)</f>
        <v>700</v>
      </c>
    </row>
    <row r="4">
      <c r="A4" s="11"/>
      <c r="B4" s="14"/>
      <c r="C4" s="11"/>
      <c r="D4" s="11"/>
      <c r="E4" s="11"/>
      <c r="F4" s="14">
        <f>IFERROR(__xludf.DUMMYFUNCTION("index(split(index(SPLIT(F$10, "" ""),1), ""/"", 1),2)"),400.0)</f>
        <v>400</v>
      </c>
      <c r="G4" s="14">
        <f>IFERROR(__xludf.DUMMYFUNCTION("index(split(index(SPLIT(G$10, "" ""),1), ""/"", 1),2)"),400.0)</f>
        <v>400</v>
      </c>
      <c r="H4" s="14">
        <f>IFERROR(__xludf.DUMMYFUNCTION("index(split(index(SPLIT(H$10, "" ""),1), ""/"", 1),2)"),440.0)</f>
        <v>440</v>
      </c>
      <c r="I4" s="14">
        <f>IFERROR(__xludf.DUMMYFUNCTION("index(split(index(SPLIT(I$10, "" ""),1), ""/"", 1),2)"),600.0)</f>
        <v>600</v>
      </c>
      <c r="J4" s="19">
        <f>IFERROR(__xludf.DUMMYFUNCTION("index(split(index(SPLIT(J$10, "" ""),1), ""/"", 1),2)"),450.0)</f>
        <v>450</v>
      </c>
      <c r="K4" s="20">
        <f>IFERROR(__xludf.DUMMYFUNCTION("index(split(index(SPLIT(K$10, "" ""),1), ""/"", 1),2)"),550.0)</f>
        <v>550</v>
      </c>
      <c r="L4" s="20">
        <f>IFERROR(__xludf.DUMMYFUNCTION("index(split(index(SPLIT(L$10, "" ""),1), ""/"", 1),2)"),550.0)</f>
        <v>550</v>
      </c>
      <c r="M4" s="14">
        <f>IFERROR(__xludf.DUMMYFUNCTION("index(split(index(SPLIT(M$10, "" ""),1), ""/"", 1),2)"),450.0)</f>
        <v>450</v>
      </c>
      <c r="N4" s="21">
        <f>IFERROR(__xludf.DUMMYFUNCTION("index(split(index(SPLIT(N$10, "" ""),1), ""/"", 1),2)"),550.0)</f>
        <v>550</v>
      </c>
      <c r="O4" s="14">
        <f>IFERROR(__xludf.DUMMYFUNCTION("index(split(index(SPLIT(O$10, "" ""),1), ""/"", 1),2)"),550.0)</f>
        <v>550</v>
      </c>
      <c r="P4" s="14">
        <f>IFERROR(__xludf.DUMMYFUNCTION("index(split(index(SPLIT(P$10, "" ""),1), ""/"", 1),2)"),600.0)</f>
        <v>600</v>
      </c>
      <c r="Q4" s="14">
        <f>IFERROR(__xludf.DUMMYFUNCTION("index(split(index(SPLIT(Q$10, "" ""),1), ""/"", 1),2)"),500.0)</f>
        <v>500</v>
      </c>
      <c r="R4" s="14">
        <f>IFERROR(__xludf.DUMMYFUNCTION("index(split(index(SPLIT(R$10, "" ""),1), ""/"", 1),2)"),460.0)</f>
        <v>460</v>
      </c>
      <c r="S4" s="22">
        <f>IFERROR(__xludf.DUMMYFUNCTION("index(split(index(SPLIT(S$10, "" ""),1), ""/"", 1),2)"),480.0)</f>
        <v>480</v>
      </c>
      <c r="T4" s="14">
        <f>IFERROR(__xludf.DUMMYFUNCTION("index(split(index(SPLIT(T$10, "" ""),1), ""/"", 1),2)"),550.0)</f>
        <v>550</v>
      </c>
      <c r="U4" s="19">
        <f>IFERROR(__xludf.DUMMYFUNCTION("index(split(index(SPLIT(U$10, "" ""),1), ""/"", 1),2)"),650.0)</f>
        <v>650</v>
      </c>
      <c r="V4" s="21">
        <f>IFERROR(__xludf.DUMMYFUNCTION("index(split(index(SPLIT(V$10, "" ""),1), ""/"", 1),2)"),700.0)</f>
        <v>700</v>
      </c>
      <c r="W4" s="14">
        <f>IFERROR(__xludf.DUMMYFUNCTION("index(split(index(SPLIT(W$10, "" ""),1), ""/"", 1),2)"),650.0)</f>
        <v>650</v>
      </c>
      <c r="X4" s="14">
        <f>IFERROR(__xludf.DUMMYFUNCTION("index(split(index(SPLIT(X$10, "" ""),1), ""/"", 1),2)"),700.0)</f>
        <v>700</v>
      </c>
      <c r="Y4" s="14">
        <f>IFERROR(__xludf.DUMMYFUNCTION("index(split(index(SPLIT(Y$10, "" ""),1), ""/"", 1),2)"),800.0)</f>
        <v>800</v>
      </c>
    </row>
    <row r="5">
      <c r="A5" s="11" t="s">
        <v>3</v>
      </c>
      <c r="B5" s="14"/>
      <c r="C5" s="23">
        <v>46920.0</v>
      </c>
      <c r="D5" s="23">
        <v>46920.0</v>
      </c>
      <c r="E5" s="23">
        <v>46920.0</v>
      </c>
      <c r="F5" s="23">
        <v>46920.0</v>
      </c>
      <c r="G5" s="24">
        <v>47102.0</v>
      </c>
      <c r="H5" s="23">
        <v>46920.0</v>
      </c>
      <c r="I5" s="23">
        <v>46920.0</v>
      </c>
      <c r="J5" s="23">
        <v>46920.0</v>
      </c>
      <c r="K5" s="23">
        <v>46920.0</v>
      </c>
      <c r="L5" s="24">
        <v>47102.0</v>
      </c>
      <c r="M5" s="23">
        <v>46920.0</v>
      </c>
      <c r="N5" s="23">
        <v>46920.0</v>
      </c>
      <c r="O5" s="24">
        <v>47102.0</v>
      </c>
      <c r="P5" s="23">
        <v>46920.0</v>
      </c>
      <c r="Q5" s="23">
        <v>46920.0</v>
      </c>
      <c r="R5" s="23">
        <v>46920.0</v>
      </c>
      <c r="S5" s="24">
        <v>47102.0</v>
      </c>
      <c r="T5" s="23">
        <v>46920.0</v>
      </c>
      <c r="U5" s="23">
        <v>46920.0</v>
      </c>
      <c r="V5" s="23">
        <v>46920.0</v>
      </c>
      <c r="W5" s="23">
        <v>46920.0</v>
      </c>
      <c r="X5" s="23">
        <v>46920.0</v>
      </c>
      <c r="Y5" s="23">
        <v>46920.0</v>
      </c>
    </row>
    <row r="6">
      <c r="A6" s="11" t="s">
        <v>4</v>
      </c>
      <c r="B6" s="14">
        <f>TSLA_market_price</f>
        <v>432.95</v>
      </c>
      <c r="C6" s="14" t="str">
        <f t="shared" ref="C6:E6" si="1">XLookupByKeys({"TSLA", $D$5, C3, "Call"}, {"symbol", "expiration", "strike", "type"}, "mid", "OptionPricesUploaded")                  
</f>
        <v>Loading...</v>
      </c>
      <c r="D6" s="14">
        <f t="shared" si="1"/>
        <v>155.95</v>
      </c>
      <c r="E6" s="14" t="str">
        <f t="shared" si="1"/>
        <v>Loading...</v>
      </c>
      <c r="F6" s="14" t="str">
        <f t="shared" ref="F6:Y6" si="2">recommendBullCallSpreadOpenDebit("TSLA", F5, F3, F4, 60, {"symbol","expiration","lowerStrike","upperStrike","patience"}) </f>
        <v>Loading...</v>
      </c>
      <c r="G6" s="14" t="str">
        <f t="shared" si="2"/>
        <v>Loading...</v>
      </c>
      <c r="H6" s="14">
        <f t="shared" si="2"/>
        <v>62.37</v>
      </c>
      <c r="I6" s="14" t="str">
        <f t="shared" si="2"/>
        <v>Loading...</v>
      </c>
      <c r="J6" s="14" t="str">
        <f t="shared" si="2"/>
        <v>Loading...</v>
      </c>
      <c r="K6" s="14" t="str">
        <f t="shared" si="2"/>
        <v>Loading...</v>
      </c>
      <c r="L6" s="14" t="str">
        <f t="shared" si="2"/>
        <v>Loading...</v>
      </c>
      <c r="M6" s="14">
        <f t="shared" si="2"/>
        <v>19.31</v>
      </c>
      <c r="N6" s="14" t="str">
        <f t="shared" si="2"/>
        <v>Loading...</v>
      </c>
      <c r="O6" s="14" t="str">
        <f t="shared" si="2"/>
        <v>Loading...</v>
      </c>
      <c r="P6" s="14" t="str">
        <f t="shared" si="2"/>
        <v>Loading...</v>
      </c>
      <c r="Q6" s="14">
        <f t="shared" si="2"/>
        <v>16.91</v>
      </c>
      <c r="R6" s="14" t="str">
        <f t="shared" si="2"/>
        <v>Loading...</v>
      </c>
      <c r="S6" s="14" t="str">
        <f t="shared" si="2"/>
        <v>Loading...</v>
      </c>
      <c r="T6" s="14" t="str">
        <f t="shared" si="2"/>
        <v>Loading...</v>
      </c>
      <c r="U6" s="14" t="str">
        <f t="shared" si="2"/>
        <v>Loading...</v>
      </c>
      <c r="V6" s="14" t="str">
        <f t="shared" si="2"/>
        <v>Loading...</v>
      </c>
      <c r="W6" s="14" t="str">
        <f t="shared" si="2"/>
        <v>Loading...</v>
      </c>
      <c r="X6" s="14" t="str">
        <f t="shared" si="2"/>
        <v>Loading...</v>
      </c>
      <c r="Y6" s="14" t="str">
        <f t="shared" si="2"/>
        <v>Loading...</v>
      </c>
    </row>
    <row r="7">
      <c r="A7" s="11" t="s">
        <v>5</v>
      </c>
      <c r="B7" s="14"/>
      <c r="C7" s="14"/>
      <c r="D7" s="14"/>
      <c r="E7" s="14"/>
      <c r="I7" s="14"/>
      <c r="J7" s="25">
        <f>209.05-167.76+0.66 +0.66</f>
        <v>42.61</v>
      </c>
      <c r="K7" s="20"/>
      <c r="L7" s="16">
        <v>65.0</v>
      </c>
      <c r="M7" s="14"/>
      <c r="N7" s="21"/>
      <c r="O7" s="14"/>
      <c r="P7" s="14"/>
      <c r="Q7" s="14"/>
      <c r="R7" s="14"/>
      <c r="S7" s="22"/>
      <c r="T7" s="14"/>
      <c r="U7" s="19"/>
      <c r="V7" s="26">
        <v>45.5</v>
      </c>
      <c r="W7" s="14"/>
      <c r="X7" s="14"/>
      <c r="Y7" s="14"/>
    </row>
    <row r="8">
      <c r="A8" s="11" t="s">
        <v>6</v>
      </c>
      <c r="B8" s="14">
        <f>B6*B2</f>
        <v>99578.5</v>
      </c>
      <c r="C8" s="14" t="str">
        <f t="shared" ref="C8:N8" si="3">C6*C2*100</f>
        <v>Loading...</v>
      </c>
      <c r="D8" s="14">
        <f t="shared" si="3"/>
        <v>93570</v>
      </c>
      <c r="E8" s="14" t="str">
        <f t="shared" si="3"/>
        <v>Loading...</v>
      </c>
      <c r="F8" s="14" t="str">
        <f t="shared" si="3"/>
        <v>Loading...</v>
      </c>
      <c r="G8" s="14" t="str">
        <f t="shared" si="3"/>
        <v>Loading...</v>
      </c>
      <c r="H8" s="14">
        <f t="shared" si="3"/>
        <v>99792</v>
      </c>
      <c r="I8" s="14" t="str">
        <f t="shared" si="3"/>
        <v>Loading...</v>
      </c>
      <c r="J8" s="19" t="str">
        <f t="shared" si="3"/>
        <v>Loading...</v>
      </c>
      <c r="K8" s="20" t="str">
        <f t="shared" si="3"/>
        <v>Loading...</v>
      </c>
      <c r="L8" s="20" t="str">
        <f t="shared" si="3"/>
        <v>Loading...</v>
      </c>
      <c r="M8" s="14">
        <f t="shared" si="3"/>
        <v>98481</v>
      </c>
      <c r="N8" s="21" t="str">
        <f t="shared" si="3"/>
        <v>Loading...</v>
      </c>
      <c r="O8" s="14" t="str">
        <f>O1*O2*100</f>
        <v>Loading...</v>
      </c>
      <c r="P8" s="14" t="str">
        <f t="shared" ref="P8:Y8" si="4">P6*P2*100</f>
        <v>Loading...</v>
      </c>
      <c r="Q8" s="14">
        <f t="shared" si="4"/>
        <v>99769</v>
      </c>
      <c r="R8" s="14" t="str">
        <f t="shared" si="4"/>
        <v>Loading...</v>
      </c>
      <c r="S8" s="22" t="str">
        <f t="shared" si="4"/>
        <v>Loading...</v>
      </c>
      <c r="T8" s="14" t="str">
        <f t="shared" si="4"/>
        <v>Loading...</v>
      </c>
      <c r="U8" s="19" t="str">
        <f t="shared" si="4"/>
        <v>Loading...</v>
      </c>
      <c r="V8" s="21" t="str">
        <f t="shared" si="4"/>
        <v>Loading...</v>
      </c>
      <c r="W8" s="14" t="str">
        <f t="shared" si="4"/>
        <v>Loading...</v>
      </c>
      <c r="X8" s="14" t="str">
        <f t="shared" si="4"/>
        <v>Loading...</v>
      </c>
      <c r="Y8" s="14" t="str">
        <f t="shared" si="4"/>
        <v>Loading...</v>
      </c>
    </row>
    <row r="9">
      <c r="A9" s="14"/>
      <c r="B9" s="14"/>
      <c r="C9" s="14"/>
      <c r="D9" s="14"/>
      <c r="E9" s="27"/>
      <c r="F9" s="27" t="str">
        <f t="shared" ref="F9:Y9" si="5">buildOptionStratUrl(F10,"TSLA","bull-call-spread",F5)
</f>
        <v>Loading...</v>
      </c>
      <c r="G9" s="27" t="str">
        <f t="shared" si="5"/>
        <v>Loading...</v>
      </c>
      <c r="H9" s="28" t="str">
        <f t="shared" si="5"/>
        <v>https://optionstrat.com/build/bull-call-spread/TSLA/.TSLA280616C300,-.TSLA280616C440</v>
      </c>
      <c r="I9" s="27" t="str">
        <f t="shared" si="5"/>
        <v>Loading...</v>
      </c>
      <c r="J9" s="29" t="str">
        <f t="shared" si="5"/>
        <v>https://optionstrat.com/build/bull-call-spread/TSLA/.TSLA280616C350,-.TSLA280616C450</v>
      </c>
      <c r="K9" s="30" t="str">
        <f t="shared" si="5"/>
        <v>Loading...</v>
      </c>
      <c r="L9" s="30" t="str">
        <f t="shared" si="5"/>
        <v>Loading...</v>
      </c>
      <c r="M9" s="27" t="str">
        <f t="shared" si="5"/>
        <v>Loading...</v>
      </c>
      <c r="N9" s="28" t="str">
        <f t="shared" si="5"/>
        <v>https://optionstrat.com/build/bull-call-spread/TSLA/.TSLA280616C400,-.TSLA280616C550</v>
      </c>
      <c r="O9" s="27" t="str">
        <f t="shared" si="5"/>
        <v>Loading...</v>
      </c>
      <c r="P9" s="28" t="str">
        <f t="shared" si="5"/>
        <v>https://optionstrat.com/build/bull-call-spread/TSLA/.TSLA280616C400,-.TSLA280616C600</v>
      </c>
      <c r="Q9" s="27" t="str">
        <f t="shared" si="5"/>
        <v>Loading...</v>
      </c>
      <c r="R9" s="27" t="str">
        <f t="shared" si="5"/>
        <v>Loading...</v>
      </c>
      <c r="S9" s="28" t="str">
        <f t="shared" si="5"/>
        <v>https://optionstrat.com/build/bull-call-spread/TSLA/.TSLA281215C460,-.TSLA281215C480</v>
      </c>
      <c r="T9" s="27" t="str">
        <f t="shared" si="5"/>
        <v>Loading...</v>
      </c>
      <c r="U9" s="31" t="str">
        <f t="shared" si="5"/>
        <v>Loading...</v>
      </c>
      <c r="V9" s="27" t="str">
        <f t="shared" si="5"/>
        <v>Loading...</v>
      </c>
      <c r="W9" s="27" t="str">
        <f t="shared" si="5"/>
        <v>Loading...</v>
      </c>
      <c r="X9" s="27" t="str">
        <f t="shared" si="5"/>
        <v>Loading...</v>
      </c>
      <c r="Y9" s="27" t="str">
        <f t="shared" si="5"/>
        <v>Loading...</v>
      </c>
    </row>
    <row r="10" ht="22.5" customHeight="1">
      <c r="A10" s="32" t="s">
        <v>7</v>
      </c>
      <c r="B10" s="33" t="s">
        <v>8</v>
      </c>
      <c r="C10" s="33" t="s">
        <v>9</v>
      </c>
      <c r="D10" s="33" t="s">
        <v>10</v>
      </c>
      <c r="E10" s="33" t="s">
        <v>11</v>
      </c>
      <c r="F10" s="33" t="s">
        <v>12</v>
      </c>
      <c r="G10" s="33" t="s">
        <v>13</v>
      </c>
      <c r="H10" s="34" t="s">
        <v>14</v>
      </c>
      <c r="I10" s="33" t="s">
        <v>15</v>
      </c>
      <c r="J10" s="35" t="s">
        <v>16</v>
      </c>
      <c r="K10" s="34" t="s">
        <v>17</v>
      </c>
      <c r="L10" s="34" t="s">
        <v>18</v>
      </c>
      <c r="M10" s="33" t="s">
        <v>19</v>
      </c>
      <c r="N10" s="36" t="s">
        <v>20</v>
      </c>
      <c r="O10" s="33" t="s">
        <v>21</v>
      </c>
      <c r="P10" s="33" t="s">
        <v>22</v>
      </c>
      <c r="Q10" s="33" t="s">
        <v>23</v>
      </c>
      <c r="R10" s="33" t="s">
        <v>24</v>
      </c>
      <c r="S10" s="37" t="s">
        <v>25</v>
      </c>
      <c r="T10" s="38" t="s">
        <v>26</v>
      </c>
      <c r="U10" s="35" t="s">
        <v>27</v>
      </c>
      <c r="V10" s="36" t="s">
        <v>28</v>
      </c>
      <c r="W10" s="33" t="s">
        <v>29</v>
      </c>
      <c r="X10" s="33" t="s">
        <v>30</v>
      </c>
      <c r="Y10" s="33" t="s">
        <v>31</v>
      </c>
    </row>
    <row r="11" ht="22.5" customHeight="1">
      <c r="A11" s="39">
        <v>300.0</v>
      </c>
      <c r="B11" s="40">
        <f>(A11-TSLA_market_price)*B$2</f>
        <v>-30578.5</v>
      </c>
      <c r="C11" s="41" t="str">
        <f t="shared" ref="C11:E11" si="6">if(($A11 &lt; C$3), -C$8, ($A11-C$3)*C$2*100-C$8)</f>
        <v>Loading...</v>
      </c>
      <c r="D11" s="41">
        <f t="shared" si="6"/>
        <v>-93570</v>
      </c>
      <c r="E11" s="41" t="str">
        <f t="shared" si="6"/>
        <v>Loading...</v>
      </c>
      <c r="F11" s="40" t="str">
        <f t="shared" ref="F11:P11" si="7">if($A11 &lt; F$3, 0, ($A11-F$3)*F$2*100)-if($A11 &lt; F$4, 0, ($A11-F$4)*F$2*100)-F$8</f>
        <v>Loading...</v>
      </c>
      <c r="G11" s="40" t="str">
        <f t="shared" si="7"/>
        <v>Loading...</v>
      </c>
      <c r="H11" s="40">
        <f t="shared" si="7"/>
        <v>-99792</v>
      </c>
      <c r="I11" s="40" t="str">
        <f t="shared" si="7"/>
        <v>Loading...</v>
      </c>
      <c r="J11" s="42" t="str">
        <f t="shared" si="7"/>
        <v>Loading...</v>
      </c>
      <c r="K11" s="43" t="str">
        <f t="shared" si="7"/>
        <v>Loading...</v>
      </c>
      <c r="L11" s="43" t="str">
        <f t="shared" si="7"/>
        <v>Loading...</v>
      </c>
      <c r="M11" s="40">
        <f t="shared" si="7"/>
        <v>-98481</v>
      </c>
      <c r="N11" s="44" t="str">
        <f t="shared" si="7"/>
        <v>Loading...</v>
      </c>
      <c r="O11" s="40" t="str">
        <f t="shared" si="7"/>
        <v>Loading...</v>
      </c>
      <c r="P11" s="40" t="str">
        <f t="shared" si="7"/>
        <v>Loading...</v>
      </c>
      <c r="Q11" s="40">
        <f t="shared" ref="Q11:Y11" si="8">if($A11 &lt; Q$3, 0, ($A11-Q$3)*Q$2*100)+if($A11 &lt; Q$4, 0, ($A11-Q$4)*Q$2*100)-Q$8</f>
        <v>-99769</v>
      </c>
      <c r="R11" s="40" t="str">
        <f t="shared" si="8"/>
        <v>Loading...</v>
      </c>
      <c r="S11" s="45" t="str">
        <f t="shared" si="8"/>
        <v>Loading...</v>
      </c>
      <c r="T11" s="40" t="str">
        <f t="shared" si="8"/>
        <v>Loading...</v>
      </c>
      <c r="U11" s="42" t="str">
        <f t="shared" si="8"/>
        <v>Loading...</v>
      </c>
      <c r="V11" s="44" t="str">
        <f t="shared" si="8"/>
        <v>Loading...</v>
      </c>
      <c r="W11" s="40" t="str">
        <f t="shared" si="8"/>
        <v>Loading...</v>
      </c>
      <c r="X11" s="40" t="str">
        <f t="shared" si="8"/>
        <v>Loading...</v>
      </c>
      <c r="Y11" s="40" t="str">
        <f t="shared" si="8"/>
        <v>Loading...</v>
      </c>
    </row>
    <row r="12" ht="22.5" customHeight="1">
      <c r="A12" s="39">
        <v>350.0</v>
      </c>
      <c r="B12" s="40">
        <f>(A12-TSLA_market_price)*B$2</f>
        <v>-19078.5</v>
      </c>
      <c r="C12" s="41" t="str">
        <f t="shared" ref="C12:E12" si="9">if(($A12 &lt; C$3), -C$8, ($A12-C$3)*C$2*100-C$8)</f>
        <v>Loading...</v>
      </c>
      <c r="D12" s="41">
        <f t="shared" si="9"/>
        <v>-93570</v>
      </c>
      <c r="E12" s="41" t="str">
        <f t="shared" si="9"/>
        <v>Loading...</v>
      </c>
      <c r="F12" s="46" t="str">
        <f t="shared" ref="F12:Y12" si="10">if($A12 &lt; F$3, 0, ($A12-F$3)*F$2*100)-if($A12 &lt; F$4, 0, ($A12-F$4)*F$2*100)-F$8</f>
        <v>Loading...</v>
      </c>
      <c r="G12" s="46" t="str">
        <f t="shared" si="10"/>
        <v>Loading...</v>
      </c>
      <c r="H12" s="46">
        <f t="shared" si="10"/>
        <v>-19792</v>
      </c>
      <c r="I12" s="46" t="str">
        <f t="shared" si="10"/>
        <v>Loading...</v>
      </c>
      <c r="J12" s="42" t="str">
        <f t="shared" si="10"/>
        <v>Loading...</v>
      </c>
      <c r="K12" s="43" t="str">
        <f t="shared" si="10"/>
        <v>Loading...</v>
      </c>
      <c r="L12" s="43" t="str">
        <f t="shared" si="10"/>
        <v>Loading...</v>
      </c>
      <c r="M12" s="40">
        <f t="shared" si="10"/>
        <v>-98481</v>
      </c>
      <c r="N12" s="47" t="str">
        <f t="shared" si="10"/>
        <v>Loading...</v>
      </c>
      <c r="O12" s="40" t="str">
        <f t="shared" si="10"/>
        <v>Loading...</v>
      </c>
      <c r="P12" s="40" t="str">
        <f t="shared" si="10"/>
        <v>Loading...</v>
      </c>
      <c r="Q12" s="40">
        <f t="shared" si="10"/>
        <v>-99769</v>
      </c>
      <c r="R12" s="40" t="str">
        <f t="shared" si="10"/>
        <v>Loading...</v>
      </c>
      <c r="S12" s="48" t="str">
        <f t="shared" si="10"/>
        <v>Loading...</v>
      </c>
      <c r="T12" s="40" t="str">
        <f t="shared" si="10"/>
        <v>Loading...</v>
      </c>
      <c r="U12" s="42" t="str">
        <f t="shared" si="10"/>
        <v>Loading...</v>
      </c>
      <c r="V12" s="47" t="str">
        <f t="shared" si="10"/>
        <v>Loading...</v>
      </c>
      <c r="W12" s="40" t="str">
        <f t="shared" si="10"/>
        <v>Loading...</v>
      </c>
      <c r="X12" s="40" t="str">
        <f t="shared" si="10"/>
        <v>Loading...</v>
      </c>
      <c r="Y12" s="40" t="str">
        <f t="shared" si="10"/>
        <v>Loading...</v>
      </c>
    </row>
    <row r="13" ht="22.5" customHeight="1">
      <c r="A13" s="39">
        <v>392.0</v>
      </c>
      <c r="B13" s="40">
        <f>(A13-TSLA_market_price)*B$2</f>
        <v>-9418.5</v>
      </c>
      <c r="C13" s="41" t="str">
        <f t="shared" ref="C13:E13" si="11">if(($A13 &lt; C$3), -C$8, ($A13-C$3)*C$2*100-C$8)</f>
        <v>Loading...</v>
      </c>
      <c r="D13" s="41">
        <f t="shared" si="11"/>
        <v>-93570</v>
      </c>
      <c r="E13" s="41" t="str">
        <f t="shared" si="11"/>
        <v>Loading...</v>
      </c>
      <c r="F13" s="40" t="str">
        <f t="shared" ref="F13:Y13" si="12">if($A13 &lt; F$3, 0, ($A13-F$3)*F$2*100)-if($A13 &lt; F$4, 0, ($A13-F$4)*F$2*100)-F$8</f>
        <v>Loading...</v>
      </c>
      <c r="G13" s="40" t="str">
        <f t="shared" si="12"/>
        <v>Loading...</v>
      </c>
      <c r="H13" s="40">
        <f t="shared" si="12"/>
        <v>47408</v>
      </c>
      <c r="I13" s="40" t="str">
        <f t="shared" si="12"/>
        <v>Loading...</v>
      </c>
      <c r="J13" s="42" t="str">
        <f t="shared" si="12"/>
        <v>Loading...</v>
      </c>
      <c r="K13" s="43" t="str">
        <f t="shared" si="12"/>
        <v>Loading...</v>
      </c>
      <c r="L13" s="43" t="str">
        <f t="shared" si="12"/>
        <v>Loading...</v>
      </c>
      <c r="M13" s="46">
        <f t="shared" si="12"/>
        <v>-98481</v>
      </c>
      <c r="N13" s="49" t="str">
        <f t="shared" si="12"/>
        <v>Loading...</v>
      </c>
      <c r="O13" s="46" t="str">
        <f t="shared" si="12"/>
        <v>Loading...</v>
      </c>
      <c r="P13" s="46" t="str">
        <f t="shared" si="12"/>
        <v>Loading...</v>
      </c>
      <c r="Q13" s="40">
        <f t="shared" si="12"/>
        <v>-99769</v>
      </c>
      <c r="R13" s="40" t="str">
        <f t="shared" si="12"/>
        <v>Loading...</v>
      </c>
      <c r="S13" s="45" t="str">
        <f t="shared" si="12"/>
        <v>Loading...</v>
      </c>
      <c r="T13" s="40" t="str">
        <f t="shared" si="12"/>
        <v>Loading...</v>
      </c>
      <c r="U13" s="42" t="str">
        <f t="shared" si="12"/>
        <v>Loading...</v>
      </c>
      <c r="V13" s="44" t="str">
        <f t="shared" si="12"/>
        <v>Loading...</v>
      </c>
      <c r="W13" s="40" t="str">
        <f t="shared" si="12"/>
        <v>Loading...</v>
      </c>
      <c r="X13" s="40" t="str">
        <f t="shared" si="12"/>
        <v>Loading...</v>
      </c>
      <c r="Y13" s="40" t="str">
        <f t="shared" si="12"/>
        <v>Loading...</v>
      </c>
    </row>
    <row r="14" ht="22.5" customHeight="1">
      <c r="A14" s="39">
        <v>400.0</v>
      </c>
      <c r="B14" s="40">
        <f>(A14-TSLA_market_price)*B$2</f>
        <v>-7578.5</v>
      </c>
      <c r="C14" s="41" t="str">
        <f t="shared" ref="C14:E14" si="13">if(($A14 &lt; C$3), -C$8, ($A14-C$3)*C$2*100-C$8)</f>
        <v>Loading...</v>
      </c>
      <c r="D14" s="41">
        <f t="shared" si="13"/>
        <v>-93570</v>
      </c>
      <c r="E14" s="41" t="str">
        <f t="shared" si="13"/>
        <v>Loading...</v>
      </c>
      <c r="F14" s="50" t="str">
        <f t="shared" ref="F14:Y14" si="14">if($A14 &lt; F$3, 0, ($A14-F$3)*F$2*100)-if($A14 &lt; F$4, 0, ($A14-F$4)*F$2*100)-F$8</f>
        <v>Loading...</v>
      </c>
      <c r="G14" s="50" t="str">
        <f t="shared" si="14"/>
        <v>Loading...</v>
      </c>
      <c r="H14" s="41">
        <f t="shared" si="14"/>
        <v>60208</v>
      </c>
      <c r="I14" s="41" t="str">
        <f t="shared" si="14"/>
        <v>Loading...</v>
      </c>
      <c r="J14" s="42" t="str">
        <f t="shared" si="14"/>
        <v>Loading...</v>
      </c>
      <c r="K14" s="43" t="str">
        <f t="shared" si="14"/>
        <v>Loading...</v>
      </c>
      <c r="L14" s="43" t="str">
        <f t="shared" si="14"/>
        <v>Loading...</v>
      </c>
      <c r="M14" s="46">
        <f t="shared" si="14"/>
        <v>-98481</v>
      </c>
      <c r="N14" s="49" t="str">
        <f t="shared" si="14"/>
        <v>Loading...</v>
      </c>
      <c r="O14" s="46" t="str">
        <f t="shared" si="14"/>
        <v>Loading...</v>
      </c>
      <c r="P14" s="46" t="str">
        <f t="shared" si="14"/>
        <v>Loading...</v>
      </c>
      <c r="Q14" s="40">
        <f t="shared" si="14"/>
        <v>-99769</v>
      </c>
      <c r="R14" s="40" t="str">
        <f t="shared" si="14"/>
        <v>Loading...</v>
      </c>
      <c r="S14" s="48" t="str">
        <f t="shared" si="14"/>
        <v>Loading...</v>
      </c>
      <c r="T14" s="40" t="str">
        <f t="shared" si="14"/>
        <v>Loading...</v>
      </c>
      <c r="U14" s="42" t="str">
        <f t="shared" si="14"/>
        <v>Loading...</v>
      </c>
      <c r="V14" s="47" t="str">
        <f t="shared" si="14"/>
        <v>Loading...</v>
      </c>
      <c r="W14" s="40" t="str">
        <f t="shared" si="14"/>
        <v>Loading...</v>
      </c>
      <c r="X14" s="40" t="str">
        <f t="shared" si="14"/>
        <v>Loading...</v>
      </c>
      <c r="Y14" s="40" t="str">
        <f t="shared" si="14"/>
        <v>Loading...</v>
      </c>
    </row>
    <row r="15" ht="22.5" customHeight="1">
      <c r="A15" s="51">
        <v>425.0</v>
      </c>
      <c r="B15" s="40">
        <f>(A15-TSLA_market_price)*B$2</f>
        <v>-1828.5</v>
      </c>
      <c r="C15" s="41" t="str">
        <f t="shared" ref="C15:E15" si="15">if(($A15 &lt; C$3), -C$8, ($A15-C$3)*C$2*100-C$8)</f>
        <v>Loading...</v>
      </c>
      <c r="D15" s="41">
        <f t="shared" si="15"/>
        <v>-93570</v>
      </c>
      <c r="E15" s="41" t="str">
        <f t="shared" si="15"/>
        <v>Loading...</v>
      </c>
      <c r="F15" s="41" t="str">
        <f t="shared" ref="F15:Y15" si="16">if($A15 &lt; F$3, 0, ($A15-F$3)*F$2*100)-if($A15 &lt; F$4, 0, ($A15-F$4)*F$2*100)-F$8</f>
        <v>Loading...</v>
      </c>
      <c r="G15" s="41" t="str">
        <f t="shared" si="16"/>
        <v>Loading...</v>
      </c>
      <c r="H15" s="41">
        <f t="shared" si="16"/>
        <v>100208</v>
      </c>
      <c r="I15" s="41" t="str">
        <f t="shared" si="16"/>
        <v>Loading...</v>
      </c>
      <c r="J15" s="42" t="str">
        <f t="shared" si="16"/>
        <v>Loading...</v>
      </c>
      <c r="K15" s="43" t="str">
        <f t="shared" si="16"/>
        <v>Loading...</v>
      </c>
      <c r="L15" s="43" t="str">
        <f t="shared" si="16"/>
        <v>Loading...</v>
      </c>
      <c r="M15" s="46">
        <f t="shared" si="16"/>
        <v>29019</v>
      </c>
      <c r="N15" s="49" t="str">
        <f t="shared" si="16"/>
        <v>Loading...</v>
      </c>
      <c r="O15" s="46" t="str">
        <f t="shared" si="16"/>
        <v>Loading...</v>
      </c>
      <c r="P15" s="46" t="str">
        <f t="shared" si="16"/>
        <v>Loading...</v>
      </c>
      <c r="Q15" s="40">
        <f t="shared" si="16"/>
        <v>-99769</v>
      </c>
      <c r="R15" s="40" t="str">
        <f t="shared" si="16"/>
        <v>Loading...</v>
      </c>
      <c r="S15" s="48" t="str">
        <f t="shared" si="16"/>
        <v>Loading...</v>
      </c>
      <c r="T15" s="40" t="str">
        <f t="shared" si="16"/>
        <v>Loading...</v>
      </c>
      <c r="U15" s="42" t="str">
        <f t="shared" si="16"/>
        <v>Loading...</v>
      </c>
      <c r="V15" s="47" t="str">
        <f t="shared" si="16"/>
        <v>Loading...</v>
      </c>
      <c r="W15" s="40" t="str">
        <f t="shared" si="16"/>
        <v>Loading...</v>
      </c>
      <c r="X15" s="40" t="str">
        <f t="shared" si="16"/>
        <v>Loading...</v>
      </c>
      <c r="Y15" s="40" t="str">
        <f t="shared" si="16"/>
        <v>Loading...</v>
      </c>
    </row>
    <row r="16" ht="22.5" customHeight="1">
      <c r="A16" s="39">
        <v>450.0</v>
      </c>
      <c r="B16" s="40">
        <f>(A16-TSLA_market_price)*B$2</f>
        <v>3921.5</v>
      </c>
      <c r="C16" s="41" t="str">
        <f t="shared" ref="C16:E16" si="17">if(($A16 &lt; C$3), -C$8, ($A16-C$3)*C$2*100-C$8)</f>
        <v>Loading...</v>
      </c>
      <c r="D16" s="41">
        <f t="shared" si="17"/>
        <v>-93570</v>
      </c>
      <c r="E16" s="41" t="str">
        <f t="shared" si="17"/>
        <v>Loading...</v>
      </c>
      <c r="F16" s="41" t="str">
        <f t="shared" ref="F16:Y16" si="18">if($A16 &lt; F$3, 0, ($A16-F$3)*F$2*100)-if($A16 &lt; F$4, 0, ($A16-F$4)*F$2*100)-F$8</f>
        <v>Loading...</v>
      </c>
      <c r="G16" s="41" t="str">
        <f t="shared" si="18"/>
        <v>Loading...</v>
      </c>
      <c r="H16" s="52">
        <f t="shared" si="18"/>
        <v>124208</v>
      </c>
      <c r="I16" s="40" t="str">
        <f t="shared" si="18"/>
        <v>Loading...</v>
      </c>
      <c r="J16" s="52" t="str">
        <f t="shared" si="18"/>
        <v>Loading...</v>
      </c>
      <c r="K16" s="43" t="str">
        <f t="shared" si="18"/>
        <v>Loading...</v>
      </c>
      <c r="L16" s="43" t="str">
        <f t="shared" si="18"/>
        <v>Loading...</v>
      </c>
      <c r="M16" s="50">
        <f t="shared" si="18"/>
        <v>156519</v>
      </c>
      <c r="N16" s="44" t="str">
        <f t="shared" si="18"/>
        <v>Loading...</v>
      </c>
      <c r="O16" s="40" t="str">
        <f t="shared" si="18"/>
        <v>Loading...</v>
      </c>
      <c r="P16" s="40" t="str">
        <f t="shared" si="18"/>
        <v>Loading...</v>
      </c>
      <c r="Q16" s="40">
        <f t="shared" si="18"/>
        <v>-99769</v>
      </c>
      <c r="R16" s="40" t="str">
        <f t="shared" si="18"/>
        <v>Loading...</v>
      </c>
      <c r="S16" s="45" t="str">
        <f t="shared" si="18"/>
        <v>Loading...</v>
      </c>
      <c r="T16" s="40" t="str">
        <f t="shared" si="18"/>
        <v>Loading...</v>
      </c>
      <c r="U16" s="42" t="str">
        <f t="shared" si="18"/>
        <v>Loading...</v>
      </c>
      <c r="V16" s="44" t="str">
        <f t="shared" si="18"/>
        <v>Loading...</v>
      </c>
      <c r="W16" s="40" t="str">
        <f t="shared" si="18"/>
        <v>Loading...</v>
      </c>
      <c r="X16" s="40" t="str">
        <f t="shared" si="18"/>
        <v>Loading...</v>
      </c>
      <c r="Y16" s="40" t="str">
        <f t="shared" si="18"/>
        <v>Loading...</v>
      </c>
    </row>
    <row r="17" ht="22.5" customHeight="1">
      <c r="A17" s="39">
        <v>483.0</v>
      </c>
      <c r="B17" s="40">
        <f>(A17-TSLA_market_price)*B$2</f>
        <v>11511.5</v>
      </c>
      <c r="C17" s="41" t="str">
        <f t="shared" ref="C17:E17" si="19">if(($A17 &lt; C$3), -C$8, ($A17-C$3)*C$2*100-C$8)</f>
        <v>Loading...</v>
      </c>
      <c r="D17" s="41">
        <f t="shared" si="19"/>
        <v>-73770</v>
      </c>
      <c r="E17" s="41" t="str">
        <f t="shared" si="19"/>
        <v>Loading...</v>
      </c>
      <c r="F17" s="40" t="str">
        <f t="shared" ref="F17:Y17" si="20">if($A17 &lt; F$3, 0, ($A17-F$3)*F$2*100)-if($A17 &lt; F$4, 0, ($A17-F$4)*F$2*100)-F$8</f>
        <v>Loading...</v>
      </c>
      <c r="G17" s="40" t="str">
        <f t="shared" si="20"/>
        <v>Loading...</v>
      </c>
      <c r="H17" s="40">
        <f t="shared" si="20"/>
        <v>124208</v>
      </c>
      <c r="I17" s="40" t="str">
        <f t="shared" si="20"/>
        <v>Loading...</v>
      </c>
      <c r="J17" s="42" t="str">
        <f t="shared" si="20"/>
        <v>Loading...</v>
      </c>
      <c r="K17" s="43" t="str">
        <f t="shared" si="20"/>
        <v>Loading...</v>
      </c>
      <c r="L17" s="43" t="str">
        <f t="shared" si="20"/>
        <v>Loading...</v>
      </c>
      <c r="M17" s="40">
        <f t="shared" si="20"/>
        <v>156519</v>
      </c>
      <c r="N17" s="47" t="str">
        <f t="shared" si="20"/>
        <v>Loading...</v>
      </c>
      <c r="O17" s="40" t="str">
        <f t="shared" si="20"/>
        <v>Loading...</v>
      </c>
      <c r="P17" s="40" t="str">
        <f t="shared" si="20"/>
        <v>Loading...</v>
      </c>
      <c r="Q17" s="40">
        <f t="shared" si="20"/>
        <v>94931</v>
      </c>
      <c r="R17" s="52" t="str">
        <f t="shared" si="20"/>
        <v>Loading...</v>
      </c>
      <c r="S17" s="53" t="str">
        <f t="shared" si="20"/>
        <v>Loading...</v>
      </c>
      <c r="T17" s="46" t="str">
        <f t="shared" si="20"/>
        <v>Loading...</v>
      </c>
      <c r="U17" s="42" t="str">
        <f t="shared" si="20"/>
        <v>Loading...</v>
      </c>
      <c r="V17" s="47" t="str">
        <f t="shared" si="20"/>
        <v>Loading...</v>
      </c>
      <c r="W17" s="40" t="str">
        <f t="shared" si="20"/>
        <v>Loading...</v>
      </c>
      <c r="X17" s="40" t="str">
        <f t="shared" si="20"/>
        <v>Loading...</v>
      </c>
      <c r="Y17" s="40" t="str">
        <f t="shared" si="20"/>
        <v>Loading...</v>
      </c>
    </row>
    <row r="18" ht="22.5" customHeight="1">
      <c r="A18" s="39">
        <v>488.0</v>
      </c>
      <c r="B18" s="40">
        <f>(A18-TSLA_market_price)*B$2</f>
        <v>12661.5</v>
      </c>
      <c r="C18" s="41" t="str">
        <f t="shared" ref="C18:E18" si="21">if(($A18 &lt; C$3), -C$8, ($A18-C$3)*C$2*100-C$8)</f>
        <v>Loading...</v>
      </c>
      <c r="D18" s="41">
        <f t="shared" si="21"/>
        <v>-70770</v>
      </c>
      <c r="E18" s="41" t="str">
        <f t="shared" si="21"/>
        <v>Loading...</v>
      </c>
      <c r="F18" s="40" t="str">
        <f t="shared" ref="F18:Y18" si="22">if($A18 &lt; F$3, 0, ($A18-F$3)*F$2*100)-if($A18 &lt; F$4, 0, ($A18-F$4)*F$2*100)-F$8</f>
        <v>Loading...</v>
      </c>
      <c r="G18" s="40" t="str">
        <f t="shared" si="22"/>
        <v>Loading...</v>
      </c>
      <c r="H18" s="40">
        <f t="shared" si="22"/>
        <v>124208</v>
      </c>
      <c r="I18" s="40" t="str">
        <f t="shared" si="22"/>
        <v>Loading...</v>
      </c>
      <c r="J18" s="42" t="str">
        <f t="shared" si="22"/>
        <v>Loading...</v>
      </c>
      <c r="K18" s="43" t="str">
        <f t="shared" si="22"/>
        <v>Loading...</v>
      </c>
      <c r="L18" s="43" t="str">
        <f t="shared" si="22"/>
        <v>Loading...</v>
      </c>
      <c r="M18" s="40">
        <f t="shared" si="22"/>
        <v>156519</v>
      </c>
      <c r="N18" s="44" t="str">
        <f t="shared" si="22"/>
        <v>Loading...</v>
      </c>
      <c r="O18" s="40" t="str">
        <f t="shared" si="22"/>
        <v>Loading...</v>
      </c>
      <c r="P18" s="40" t="str">
        <f t="shared" si="22"/>
        <v>Loading...</v>
      </c>
      <c r="Q18" s="40">
        <f t="shared" si="22"/>
        <v>124431</v>
      </c>
      <c r="R18" s="40" t="str">
        <f t="shared" si="22"/>
        <v>Loading...</v>
      </c>
      <c r="S18" s="45" t="str">
        <f t="shared" si="22"/>
        <v>Loading...</v>
      </c>
      <c r="T18" s="40" t="str">
        <f t="shared" si="22"/>
        <v>Loading...</v>
      </c>
      <c r="U18" s="42" t="str">
        <f t="shared" si="22"/>
        <v>Loading...</v>
      </c>
      <c r="V18" s="44" t="str">
        <f t="shared" si="22"/>
        <v>Loading...</v>
      </c>
      <c r="W18" s="40" t="str">
        <f t="shared" si="22"/>
        <v>Loading...</v>
      </c>
      <c r="X18" s="40" t="str">
        <f t="shared" si="22"/>
        <v>Loading...</v>
      </c>
      <c r="Y18" s="40" t="str">
        <f t="shared" si="22"/>
        <v>Loading...</v>
      </c>
    </row>
    <row r="19" ht="22.5" customHeight="1">
      <c r="A19" s="39">
        <v>500.0</v>
      </c>
      <c r="B19" s="40">
        <f>(A19-TSLA_market_price)*B$2</f>
        <v>15421.5</v>
      </c>
      <c r="C19" s="41" t="str">
        <f t="shared" ref="C19:E19" si="23">if(($A19 &lt; C$3), -C$8, ($A19-C$3)*C$2*100-C$8)</f>
        <v>Loading...</v>
      </c>
      <c r="D19" s="41">
        <f t="shared" si="23"/>
        <v>-63570</v>
      </c>
      <c r="E19" s="41" t="str">
        <f t="shared" si="23"/>
        <v>Loading...</v>
      </c>
      <c r="F19" s="40" t="str">
        <f t="shared" ref="F19:Y19" si="24">if($A19 &lt; F$3, 0, ($A19-F$3)*F$2*100)-if($A19 &lt; F$4, 0, ($A19-F$4)*F$2*100)-F$8</f>
        <v>Loading...</v>
      </c>
      <c r="G19" s="40" t="str">
        <f t="shared" si="24"/>
        <v>Loading...</v>
      </c>
      <c r="H19" s="40">
        <f t="shared" si="24"/>
        <v>124208</v>
      </c>
      <c r="I19" s="40" t="str">
        <f t="shared" si="24"/>
        <v>Loading...</v>
      </c>
      <c r="J19" s="42" t="str">
        <f t="shared" si="24"/>
        <v>Loading...</v>
      </c>
      <c r="K19" s="43" t="str">
        <f t="shared" si="24"/>
        <v>Loading...</v>
      </c>
      <c r="L19" s="43" t="str">
        <f t="shared" si="24"/>
        <v>Loading...</v>
      </c>
      <c r="M19" s="40">
        <f t="shared" si="24"/>
        <v>156519</v>
      </c>
      <c r="N19" s="47" t="str">
        <f t="shared" si="24"/>
        <v>Loading...</v>
      </c>
      <c r="O19" s="40" t="str">
        <f t="shared" si="24"/>
        <v>Loading...</v>
      </c>
      <c r="P19" s="40" t="str">
        <f t="shared" si="24"/>
        <v>Loading...</v>
      </c>
      <c r="Q19" s="52">
        <f t="shared" si="24"/>
        <v>195231</v>
      </c>
      <c r="R19" s="46" t="str">
        <f t="shared" si="24"/>
        <v>Loading...</v>
      </c>
      <c r="S19" s="54" t="str">
        <f t="shared" si="24"/>
        <v>Loading...</v>
      </c>
      <c r="T19" s="40" t="str">
        <f t="shared" si="24"/>
        <v>Loading...</v>
      </c>
      <c r="U19" s="42" t="str">
        <f t="shared" si="24"/>
        <v>Loading...</v>
      </c>
      <c r="V19" s="47" t="str">
        <f t="shared" si="24"/>
        <v>Loading...</v>
      </c>
      <c r="W19" s="40" t="str">
        <f t="shared" si="24"/>
        <v>Loading...</v>
      </c>
      <c r="X19" s="40" t="str">
        <f t="shared" si="24"/>
        <v>Loading...</v>
      </c>
      <c r="Y19" s="40" t="str">
        <f t="shared" si="24"/>
        <v>Loading...</v>
      </c>
    </row>
    <row r="20" ht="22.5" customHeight="1">
      <c r="A20" s="39">
        <v>550.0</v>
      </c>
      <c r="B20" s="40">
        <f>(A20-TSLA_market_price)*B$2</f>
        <v>26921.5</v>
      </c>
      <c r="C20" s="41" t="str">
        <f t="shared" ref="C20:E20" si="25">if(($A20 &lt; C$3), -C$8, ($A20-C$3)*C$2*100-C$8)</f>
        <v>Loading...</v>
      </c>
      <c r="D20" s="41">
        <f t="shared" si="25"/>
        <v>-33570</v>
      </c>
      <c r="E20" s="41" t="str">
        <f t="shared" si="25"/>
        <v>Loading...</v>
      </c>
      <c r="F20" s="40" t="str">
        <f t="shared" ref="F20:Y20" si="26">if($A20 &lt; F$3, 0, ($A20-F$3)*F$2*100)-if($A20 &lt; F$4, 0, ($A20-F$4)*F$2*100)-F$8</f>
        <v>Loading...</v>
      </c>
      <c r="G20" s="40" t="str">
        <f t="shared" si="26"/>
        <v>Loading...</v>
      </c>
      <c r="H20" s="40">
        <f t="shared" si="26"/>
        <v>124208</v>
      </c>
      <c r="I20" s="40" t="str">
        <f t="shared" si="26"/>
        <v>Loading...</v>
      </c>
      <c r="J20" s="42" t="str">
        <f t="shared" si="26"/>
        <v>Loading...</v>
      </c>
      <c r="K20" s="52" t="str">
        <f t="shared" si="26"/>
        <v>Loading...</v>
      </c>
      <c r="L20" s="52" t="str">
        <f t="shared" si="26"/>
        <v>Loading...</v>
      </c>
      <c r="M20" s="40">
        <f t="shared" si="26"/>
        <v>156519</v>
      </c>
      <c r="N20" s="55" t="str">
        <f t="shared" si="26"/>
        <v>Loading...</v>
      </c>
      <c r="O20" s="52" t="str">
        <f t="shared" si="26"/>
        <v>Loading...</v>
      </c>
      <c r="P20" s="40" t="str">
        <f t="shared" si="26"/>
        <v>Loading...</v>
      </c>
      <c r="Q20" s="46">
        <f t="shared" si="26"/>
        <v>195231</v>
      </c>
      <c r="R20" s="46" t="str">
        <f t="shared" si="26"/>
        <v>Loading...</v>
      </c>
      <c r="S20" s="56" t="str">
        <f t="shared" si="26"/>
        <v>Loading...</v>
      </c>
      <c r="T20" s="50" t="str">
        <f t="shared" si="26"/>
        <v>Loading...</v>
      </c>
      <c r="U20" s="42" t="str">
        <f t="shared" si="26"/>
        <v>Loading...</v>
      </c>
      <c r="V20" s="49" t="str">
        <f t="shared" si="26"/>
        <v>Loading...</v>
      </c>
      <c r="W20" s="46" t="str">
        <f t="shared" si="26"/>
        <v>Loading...</v>
      </c>
      <c r="X20" s="46" t="str">
        <f t="shared" si="26"/>
        <v>Loading...</v>
      </c>
      <c r="Y20" s="46" t="str">
        <f t="shared" si="26"/>
        <v>Loading...</v>
      </c>
    </row>
    <row r="21" ht="22.5" customHeight="1">
      <c r="A21" s="39">
        <v>600.0</v>
      </c>
      <c r="B21" s="40">
        <f>(A21-TSLA_market_price)*B$2</f>
        <v>38421.5</v>
      </c>
      <c r="C21" s="41" t="str">
        <f t="shared" ref="C21:E21" si="27">if(($A21 &lt; C$3), -C$8, ($A21-C$3)*C$2*100-C$8)</f>
        <v>Loading...</v>
      </c>
      <c r="D21" s="41">
        <f t="shared" si="27"/>
        <v>-3570</v>
      </c>
      <c r="E21" s="41" t="str">
        <f t="shared" si="27"/>
        <v>Loading...</v>
      </c>
      <c r="F21" s="40" t="str">
        <f t="shared" ref="F21:Y21" si="28">if($A21 &lt; F$3, 0, ($A21-F$3)*F$2*100)-if($A21 &lt; F$4, 0, ($A21-F$4)*F$2*100)-F$8</f>
        <v>Loading...</v>
      </c>
      <c r="G21" s="40" t="str">
        <f t="shared" si="28"/>
        <v>Loading...</v>
      </c>
      <c r="H21" s="40">
        <f t="shared" si="28"/>
        <v>124208</v>
      </c>
      <c r="I21" s="52" t="str">
        <f t="shared" si="28"/>
        <v>Loading...</v>
      </c>
      <c r="J21" s="42" t="str">
        <f t="shared" si="28"/>
        <v>Loading...</v>
      </c>
      <c r="K21" s="43" t="str">
        <f t="shared" si="28"/>
        <v>Loading...</v>
      </c>
      <c r="L21" s="43" t="str">
        <f t="shared" si="28"/>
        <v>Loading...</v>
      </c>
      <c r="M21" s="40">
        <f t="shared" si="28"/>
        <v>156519</v>
      </c>
      <c r="N21" s="57" t="str">
        <f t="shared" si="28"/>
        <v>Loading...</v>
      </c>
      <c r="O21" s="40" t="str">
        <f t="shared" si="28"/>
        <v>Loading...</v>
      </c>
      <c r="P21" s="52" t="str">
        <f t="shared" si="28"/>
        <v>Loading...</v>
      </c>
      <c r="Q21" s="46">
        <f t="shared" si="28"/>
        <v>195231</v>
      </c>
      <c r="R21" s="46" t="str">
        <f t="shared" si="28"/>
        <v>Loading...</v>
      </c>
      <c r="S21" s="56" t="str">
        <f t="shared" si="28"/>
        <v>Loading...</v>
      </c>
      <c r="T21" s="40" t="str">
        <f t="shared" si="28"/>
        <v>Loading...</v>
      </c>
      <c r="U21" s="42" t="str">
        <f t="shared" si="28"/>
        <v>Loading...</v>
      </c>
      <c r="V21" s="49" t="str">
        <f t="shared" si="28"/>
        <v>Loading...</v>
      </c>
      <c r="W21" s="46" t="str">
        <f t="shared" si="28"/>
        <v>Loading...</v>
      </c>
      <c r="X21" s="46" t="str">
        <f t="shared" si="28"/>
        <v>Loading...</v>
      </c>
      <c r="Y21" s="46" t="str">
        <f t="shared" si="28"/>
        <v>Loading...</v>
      </c>
    </row>
    <row r="22" ht="22.5" customHeight="1">
      <c r="A22" s="39">
        <v>700.0</v>
      </c>
      <c r="B22" s="40">
        <f>(A22-TSLA_market_price)*B$2</f>
        <v>61421.5</v>
      </c>
      <c r="C22" s="41" t="str">
        <f t="shared" ref="C22:E22" si="29">if(($A22 &lt; C$3), -C$8, ($A22-C$3)*C$2*100-C$8)</f>
        <v>Loading...</v>
      </c>
      <c r="D22" s="41">
        <f t="shared" si="29"/>
        <v>56430</v>
      </c>
      <c r="E22" s="41" t="str">
        <f t="shared" si="29"/>
        <v>Loading...</v>
      </c>
      <c r="F22" s="40" t="str">
        <f t="shared" ref="F22:Y22" si="30">if($A22 &lt; F$3, 0, ($A22-F$3)*F$2*100)-if($A22 &lt; F$4, 0, ($A22-F$4)*F$2*100)-F$8</f>
        <v>Loading...</v>
      </c>
      <c r="G22" s="40" t="str">
        <f t="shared" si="30"/>
        <v>Loading...</v>
      </c>
      <c r="H22" s="40">
        <f t="shared" si="30"/>
        <v>124208</v>
      </c>
      <c r="I22" s="40" t="str">
        <f t="shared" si="30"/>
        <v>Loading...</v>
      </c>
      <c r="J22" s="42" t="str">
        <f t="shared" si="30"/>
        <v>Loading...</v>
      </c>
      <c r="K22" s="43" t="str">
        <f t="shared" si="30"/>
        <v>Loading...</v>
      </c>
      <c r="L22" s="43" t="str">
        <f t="shared" si="30"/>
        <v>Loading...</v>
      </c>
      <c r="M22" s="40">
        <f t="shared" si="30"/>
        <v>156519</v>
      </c>
      <c r="N22" s="44" t="str">
        <f t="shared" si="30"/>
        <v>Loading...</v>
      </c>
      <c r="O22" s="40" t="str">
        <f t="shared" si="30"/>
        <v>Loading...</v>
      </c>
      <c r="P22" s="40" t="str">
        <f t="shared" si="30"/>
        <v>Loading...</v>
      </c>
      <c r="Q22" s="41">
        <f t="shared" si="30"/>
        <v>195231</v>
      </c>
      <c r="R22" s="41" t="str">
        <f t="shared" si="30"/>
        <v>Loading...</v>
      </c>
      <c r="S22" s="45" t="str">
        <f t="shared" si="30"/>
        <v>Loading...</v>
      </c>
      <c r="T22" s="40" t="str">
        <f t="shared" si="30"/>
        <v>Loading...</v>
      </c>
      <c r="U22" s="52" t="str">
        <f t="shared" si="30"/>
        <v>Loading...</v>
      </c>
      <c r="V22" s="58" t="str">
        <f t="shared" si="30"/>
        <v>Loading...</v>
      </c>
      <c r="W22" s="52" t="str">
        <f t="shared" si="30"/>
        <v>Loading...</v>
      </c>
      <c r="X22" s="52" t="str">
        <f t="shared" si="30"/>
        <v>Loading...</v>
      </c>
      <c r="Y22" s="46" t="str">
        <f t="shared" si="30"/>
        <v>Loading...</v>
      </c>
    </row>
    <row r="23" ht="22.5" customHeight="1">
      <c r="A23" s="39">
        <v>800.0</v>
      </c>
      <c r="B23" s="40">
        <f>(A23-TSLA_market_price)*B$2</f>
        <v>84421.5</v>
      </c>
      <c r="C23" s="41" t="str">
        <f t="shared" ref="C23:E23" si="31">if(($A23 &lt; C$3), -C$8, ($A23-C$3)*C$2*100-C$8)</f>
        <v>Loading...</v>
      </c>
      <c r="D23" s="41">
        <f t="shared" si="31"/>
        <v>116430</v>
      </c>
      <c r="E23" s="41" t="str">
        <f t="shared" si="31"/>
        <v>Loading...</v>
      </c>
      <c r="F23" s="40" t="str">
        <f t="shared" ref="F23:Y23" si="32">if($A23 &lt; F$3, 0, ($A23-F$3)*F$2*100)-if($A23 &lt; F$4, 0, ($A23-F$4)*F$2*100)-F$8</f>
        <v>Loading...</v>
      </c>
      <c r="G23" s="40" t="str">
        <f t="shared" si="32"/>
        <v>Loading...</v>
      </c>
      <c r="H23" s="40">
        <f t="shared" si="32"/>
        <v>124208</v>
      </c>
      <c r="I23" s="40" t="str">
        <f t="shared" si="32"/>
        <v>Loading...</v>
      </c>
      <c r="J23" s="42" t="str">
        <f t="shared" si="32"/>
        <v>Loading...</v>
      </c>
      <c r="K23" s="43" t="str">
        <f t="shared" si="32"/>
        <v>Loading...</v>
      </c>
      <c r="L23" s="43" t="str">
        <f t="shared" si="32"/>
        <v>Loading...</v>
      </c>
      <c r="M23" s="40">
        <f t="shared" si="32"/>
        <v>156519</v>
      </c>
      <c r="N23" s="47" t="str">
        <f t="shared" si="32"/>
        <v>Loading...</v>
      </c>
      <c r="O23" s="40" t="str">
        <f t="shared" si="32"/>
        <v>Loading...</v>
      </c>
      <c r="P23" s="40" t="str">
        <f t="shared" si="32"/>
        <v>Loading...</v>
      </c>
      <c r="Q23" s="40">
        <f t="shared" si="32"/>
        <v>195231</v>
      </c>
      <c r="R23" s="40" t="str">
        <f t="shared" si="32"/>
        <v>Loading...</v>
      </c>
      <c r="S23" s="48" t="str">
        <f t="shared" si="32"/>
        <v>Loading...</v>
      </c>
      <c r="T23" s="40" t="str">
        <f t="shared" si="32"/>
        <v>Loading...</v>
      </c>
      <c r="U23" s="42" t="str">
        <f t="shared" si="32"/>
        <v>Loading...</v>
      </c>
      <c r="V23" s="47" t="str">
        <f t="shared" si="32"/>
        <v>Loading...</v>
      </c>
      <c r="W23" s="40" t="str">
        <f t="shared" si="32"/>
        <v>Loading...</v>
      </c>
      <c r="X23" s="40" t="str">
        <f t="shared" si="32"/>
        <v>Loading...</v>
      </c>
      <c r="Y23" s="52" t="str">
        <f t="shared" si="32"/>
        <v>Loading...</v>
      </c>
    </row>
    <row r="24" ht="22.5" customHeight="1">
      <c r="A24" s="39">
        <v>900.0</v>
      </c>
      <c r="B24" s="40">
        <f>(A24-TSLA_market_price)*B$2</f>
        <v>107421.5</v>
      </c>
      <c r="C24" s="41" t="str">
        <f t="shared" ref="C24:E24" si="33">if(($A24 &lt; C$3), -C$8, ($A24-C$3)*C$2*100-C$8)</f>
        <v>Loading...</v>
      </c>
      <c r="D24" s="41">
        <f t="shared" si="33"/>
        <v>176430</v>
      </c>
      <c r="E24" s="41" t="str">
        <f t="shared" si="33"/>
        <v>Loading...</v>
      </c>
      <c r="F24" s="40" t="str">
        <f t="shared" ref="F24:Y24" si="34">if($A24 &lt; F$3, 0, ($A24-F$3)*F$2*100)-if($A24 &lt; F$4, 0, ($A24-F$4)*F$2*100)-F$8</f>
        <v>Loading...</v>
      </c>
      <c r="G24" s="40" t="str">
        <f t="shared" si="34"/>
        <v>Loading...</v>
      </c>
      <c r="H24" s="40">
        <f t="shared" si="34"/>
        <v>124208</v>
      </c>
      <c r="I24" s="40" t="str">
        <f t="shared" si="34"/>
        <v>Loading...</v>
      </c>
      <c r="J24" s="42" t="str">
        <f t="shared" si="34"/>
        <v>Loading...</v>
      </c>
      <c r="K24" s="43" t="str">
        <f t="shared" si="34"/>
        <v>Loading...</v>
      </c>
      <c r="L24" s="43" t="str">
        <f t="shared" si="34"/>
        <v>Loading...</v>
      </c>
      <c r="M24" s="40">
        <f t="shared" si="34"/>
        <v>156519</v>
      </c>
      <c r="N24" s="44" t="str">
        <f t="shared" si="34"/>
        <v>Loading...</v>
      </c>
      <c r="O24" s="40" t="str">
        <f t="shared" si="34"/>
        <v>Loading...</v>
      </c>
      <c r="P24" s="40" t="str">
        <f t="shared" si="34"/>
        <v>Loading...</v>
      </c>
      <c r="Q24" s="40">
        <f t="shared" si="34"/>
        <v>195231</v>
      </c>
      <c r="R24" s="40" t="str">
        <f t="shared" si="34"/>
        <v>Loading...</v>
      </c>
      <c r="S24" s="45" t="str">
        <f t="shared" si="34"/>
        <v>Loading...</v>
      </c>
      <c r="T24" s="40" t="str">
        <f t="shared" si="34"/>
        <v>Loading...</v>
      </c>
      <c r="U24" s="42" t="str">
        <f t="shared" si="34"/>
        <v>Loading...</v>
      </c>
      <c r="V24" s="44" t="str">
        <f t="shared" si="34"/>
        <v>Loading...</v>
      </c>
      <c r="W24" s="40" t="str">
        <f t="shared" si="34"/>
        <v>Loading...</v>
      </c>
      <c r="X24" s="40" t="str">
        <f t="shared" si="34"/>
        <v>Loading...</v>
      </c>
      <c r="Y24" s="40" t="str">
        <f t="shared" si="34"/>
        <v>Loading...</v>
      </c>
    </row>
    <row r="25" ht="22.5" customHeight="1">
      <c r="A25" s="39">
        <v>1000.0</v>
      </c>
      <c r="B25" s="40">
        <f>(A25-TSLA_market_price)*B$2</f>
        <v>130421.5</v>
      </c>
      <c r="C25" s="41" t="str">
        <f t="shared" ref="C25:E25" si="35">if(($A25 &lt; C$3), -C$8, ($A25-C$3)*C$2*100-C$8)</f>
        <v>Loading...</v>
      </c>
      <c r="D25" s="41">
        <f t="shared" si="35"/>
        <v>236430</v>
      </c>
      <c r="E25" s="41" t="str">
        <f t="shared" si="35"/>
        <v>Loading...</v>
      </c>
      <c r="F25" s="40" t="str">
        <f t="shared" ref="F25:Y25" si="36">if($A25 &lt; F$3, 0, ($A25-F$3)*F$2*100)-if($A25 &lt; F$4, 0, ($A25-F$4)*F$2*100)-F$8</f>
        <v>Loading...</v>
      </c>
      <c r="G25" s="40" t="str">
        <f t="shared" si="36"/>
        <v>Loading...</v>
      </c>
      <c r="H25" s="40">
        <f t="shared" si="36"/>
        <v>124208</v>
      </c>
      <c r="I25" s="40" t="str">
        <f t="shared" si="36"/>
        <v>Loading...</v>
      </c>
      <c r="J25" s="42" t="str">
        <f t="shared" si="36"/>
        <v>Loading...</v>
      </c>
      <c r="K25" s="43" t="str">
        <f t="shared" si="36"/>
        <v>Loading...</v>
      </c>
      <c r="L25" s="43" t="str">
        <f t="shared" si="36"/>
        <v>Loading...</v>
      </c>
      <c r="M25" s="40">
        <f t="shared" si="36"/>
        <v>156519</v>
      </c>
      <c r="N25" s="47" t="str">
        <f t="shared" si="36"/>
        <v>Loading...</v>
      </c>
      <c r="O25" s="40" t="str">
        <f t="shared" si="36"/>
        <v>Loading...</v>
      </c>
      <c r="P25" s="40" t="str">
        <f t="shared" si="36"/>
        <v>Loading...</v>
      </c>
      <c r="Q25" s="40">
        <f t="shared" si="36"/>
        <v>195231</v>
      </c>
      <c r="R25" s="40" t="str">
        <f t="shared" si="36"/>
        <v>Loading...</v>
      </c>
      <c r="S25" s="48" t="str">
        <f t="shared" si="36"/>
        <v>Loading...</v>
      </c>
      <c r="T25" s="40" t="str">
        <f t="shared" si="36"/>
        <v>Loading...</v>
      </c>
      <c r="U25" s="42" t="str">
        <f t="shared" si="36"/>
        <v>Loading...</v>
      </c>
      <c r="V25" s="47" t="str">
        <f t="shared" si="36"/>
        <v>Loading...</v>
      </c>
      <c r="W25" s="40" t="str">
        <f t="shared" si="36"/>
        <v>Loading...</v>
      </c>
      <c r="X25" s="40" t="str">
        <f t="shared" si="36"/>
        <v>Loading...</v>
      </c>
      <c r="Y25" s="40" t="str">
        <f t="shared" si="36"/>
        <v>Loading...</v>
      </c>
    </row>
    <row r="26" ht="22.5" customHeight="1">
      <c r="A26" s="51">
        <v>1450.0</v>
      </c>
      <c r="B26" s="42">
        <f>(A26-TSLA_market_price)*B$2</f>
        <v>233921.5</v>
      </c>
      <c r="C26" s="41" t="str">
        <f t="shared" ref="C26:E26" si="37">if(($A26 &lt; C$3), -C$8, ($A26-C$3)*C$2*100-C$8)</f>
        <v>Loading...</v>
      </c>
      <c r="D26" s="41">
        <f t="shared" si="37"/>
        <v>506430</v>
      </c>
      <c r="E26" s="41" t="str">
        <f t="shared" si="37"/>
        <v>Loading...</v>
      </c>
      <c r="F26" s="40" t="str">
        <f t="shared" ref="F26:Y26" si="38">if($A26 &lt; F$3, 0, ($A26-F$3)*F$2*100)-if($A26 &lt; F$4, 0, ($A26-F$4)*F$2*100)-F$8</f>
        <v>Loading...</v>
      </c>
      <c r="G26" s="40" t="str">
        <f t="shared" si="38"/>
        <v>Loading...</v>
      </c>
      <c r="H26" s="40">
        <f t="shared" si="38"/>
        <v>124208</v>
      </c>
      <c r="I26" s="40" t="str">
        <f t="shared" si="38"/>
        <v>Loading...</v>
      </c>
      <c r="J26" s="42" t="str">
        <f t="shared" si="38"/>
        <v>Loading...</v>
      </c>
      <c r="K26" s="43" t="str">
        <f t="shared" si="38"/>
        <v>Loading...</v>
      </c>
      <c r="L26" s="43" t="str">
        <f t="shared" si="38"/>
        <v>Loading...</v>
      </c>
      <c r="M26" s="40">
        <f t="shared" si="38"/>
        <v>156519</v>
      </c>
      <c r="N26" s="44" t="str">
        <f t="shared" si="38"/>
        <v>Loading...</v>
      </c>
      <c r="O26" s="40" t="str">
        <f t="shared" si="38"/>
        <v>Loading...</v>
      </c>
      <c r="P26" s="40" t="str">
        <f t="shared" si="38"/>
        <v>Loading...</v>
      </c>
      <c r="Q26" s="40">
        <f t="shared" si="38"/>
        <v>195231</v>
      </c>
      <c r="R26" s="40" t="str">
        <f t="shared" si="38"/>
        <v>Loading...</v>
      </c>
      <c r="S26" s="45" t="str">
        <f t="shared" si="38"/>
        <v>Loading...</v>
      </c>
      <c r="T26" s="40" t="str">
        <f t="shared" si="38"/>
        <v>Loading...</v>
      </c>
      <c r="U26" s="42" t="str">
        <f t="shared" si="38"/>
        <v>Loading...</v>
      </c>
      <c r="V26" s="44" t="str">
        <f t="shared" si="38"/>
        <v>Loading...</v>
      </c>
      <c r="W26" s="40" t="str">
        <f t="shared" si="38"/>
        <v>Loading...</v>
      </c>
      <c r="X26" s="40" t="str">
        <f t="shared" si="38"/>
        <v>Loading...</v>
      </c>
      <c r="Y26" s="40" t="str">
        <f t="shared" si="38"/>
        <v>Loading...</v>
      </c>
    </row>
    <row r="27" ht="22.5" customHeight="1">
      <c r="A27" s="51">
        <v>2000.0</v>
      </c>
      <c r="B27" s="42">
        <f>(A27-TSLA_market_price)*B$2</f>
        <v>360421.5</v>
      </c>
      <c r="C27" s="41" t="str">
        <f t="shared" ref="C27:E27" si="39">if(($A27 &lt; C$3), -C$8, ($A27-C$3)*C$2*100-C$8)</f>
        <v>Loading...</v>
      </c>
      <c r="D27" s="41">
        <f t="shared" si="39"/>
        <v>836430</v>
      </c>
      <c r="E27" s="52" t="str">
        <f t="shared" si="39"/>
        <v>Loading...</v>
      </c>
      <c r="F27" s="41" t="str">
        <f t="shared" ref="F27:Y27" si="40">if($A27 &lt; F$3, 0, ($A27-F$3)*F$2*100)-if($A27 &lt; F$4, 0, ($A27-F$4)*F$2*100)-F$8</f>
        <v>Loading...</v>
      </c>
      <c r="G27" s="41" t="str">
        <f t="shared" si="40"/>
        <v>Loading...</v>
      </c>
      <c r="H27" s="41">
        <f t="shared" si="40"/>
        <v>124208</v>
      </c>
      <c r="I27" s="41" t="str">
        <f t="shared" si="40"/>
        <v>Loading...</v>
      </c>
      <c r="J27" s="42" t="str">
        <f t="shared" si="40"/>
        <v>Loading...</v>
      </c>
      <c r="K27" s="43" t="str">
        <f t="shared" si="40"/>
        <v>Loading...</v>
      </c>
      <c r="L27" s="43" t="str">
        <f t="shared" si="40"/>
        <v>Loading...</v>
      </c>
      <c r="M27" s="41">
        <f t="shared" si="40"/>
        <v>156519</v>
      </c>
      <c r="N27" s="59" t="str">
        <f t="shared" si="40"/>
        <v>Loading...</v>
      </c>
      <c r="O27" s="41" t="str">
        <f t="shared" si="40"/>
        <v>Loading...</v>
      </c>
      <c r="P27" s="41" t="str">
        <f t="shared" si="40"/>
        <v>Loading...</v>
      </c>
      <c r="Q27" s="41">
        <f t="shared" si="40"/>
        <v>195231</v>
      </c>
      <c r="R27" s="41" t="str">
        <f t="shared" si="40"/>
        <v>Loading...</v>
      </c>
      <c r="S27" s="60" t="str">
        <f t="shared" si="40"/>
        <v>Loading...</v>
      </c>
      <c r="T27" s="41" t="str">
        <f t="shared" si="40"/>
        <v>Loading...</v>
      </c>
      <c r="U27" s="42" t="str">
        <f t="shared" si="40"/>
        <v>Loading...</v>
      </c>
      <c r="V27" s="59" t="str">
        <f t="shared" si="40"/>
        <v>Loading...</v>
      </c>
      <c r="W27" s="41" t="str">
        <f t="shared" si="40"/>
        <v>Loading...</v>
      </c>
      <c r="X27" s="41" t="str">
        <f t="shared" si="40"/>
        <v>Loading...</v>
      </c>
      <c r="Y27" s="41" t="str">
        <f t="shared" si="40"/>
        <v>Loading...</v>
      </c>
    </row>
    <row r="28">
      <c r="J28" s="61"/>
      <c r="K28" s="62"/>
      <c r="L28" s="62"/>
      <c r="N28" s="63"/>
      <c r="S28" s="64"/>
      <c r="U28" s="61"/>
      <c r="V28" s="63"/>
    </row>
    <row r="29">
      <c r="J29" s="61"/>
      <c r="K29" s="62"/>
      <c r="L29" s="62"/>
      <c r="N29" s="63"/>
      <c r="S29" s="64"/>
      <c r="U29" s="61"/>
      <c r="V29" s="63"/>
    </row>
    <row r="30" ht="15.75" customHeight="1">
      <c r="J30" s="61"/>
      <c r="K30" s="62"/>
      <c r="L30" s="62"/>
      <c r="N30" s="63"/>
      <c r="S30" s="64"/>
      <c r="U30" s="61"/>
      <c r="V30" s="63"/>
    </row>
    <row r="31" ht="15.75" customHeight="1">
      <c r="J31" s="61"/>
      <c r="K31" s="62"/>
      <c r="L31" s="62"/>
      <c r="N31" s="63"/>
      <c r="S31" s="64"/>
      <c r="U31" s="61"/>
      <c r="V31" s="63"/>
    </row>
    <row r="32" ht="15.75" customHeight="1">
      <c r="J32" s="61"/>
      <c r="K32" s="62"/>
      <c r="L32" s="62"/>
      <c r="N32" s="63"/>
      <c r="S32" s="64"/>
      <c r="U32" s="61"/>
      <c r="V32" s="63"/>
    </row>
    <row r="33" ht="15.75" customHeight="1">
      <c r="J33" s="61"/>
      <c r="K33" s="62"/>
      <c r="L33" s="62"/>
      <c r="N33" s="63"/>
      <c r="S33" s="64"/>
      <c r="U33" s="61"/>
      <c r="V33" s="63"/>
    </row>
    <row r="34" ht="15.75" customHeight="1">
      <c r="J34" s="61"/>
      <c r="K34" s="62"/>
      <c r="L34" s="62"/>
      <c r="N34" s="63"/>
      <c r="S34" s="64"/>
      <c r="U34" s="61"/>
      <c r="V34" s="63"/>
    </row>
    <row r="35" ht="15.75" customHeight="1">
      <c r="J35" s="61"/>
      <c r="K35" s="62"/>
      <c r="L35" s="62"/>
      <c r="N35" s="63"/>
      <c r="S35" s="64"/>
      <c r="U35" s="61"/>
      <c r="V35" s="63"/>
    </row>
    <row r="36" ht="15.75" customHeight="1">
      <c r="J36" s="61"/>
      <c r="K36" s="62"/>
      <c r="L36" s="62"/>
      <c r="N36" s="63"/>
      <c r="S36" s="64"/>
      <c r="U36" s="61"/>
      <c r="V36" s="63"/>
    </row>
    <row r="37" ht="15.75" customHeight="1">
      <c r="D37" s="65" t="str">
        <f>TS</f>
        <v>#NAME?</v>
      </c>
      <c r="J37" s="61"/>
      <c r="K37" s="62"/>
      <c r="L37" s="62"/>
      <c r="N37" s="63"/>
      <c r="S37" s="64"/>
      <c r="U37" s="61"/>
      <c r="V37" s="63"/>
    </row>
    <row r="38" ht="15.75" customHeight="1">
      <c r="J38" s="61"/>
      <c r="K38" s="62"/>
      <c r="L38" s="62"/>
      <c r="N38" s="63"/>
      <c r="S38" s="64"/>
      <c r="U38" s="61"/>
      <c r="V38" s="63"/>
    </row>
    <row r="39" ht="15.75" customHeight="1">
      <c r="J39" s="61"/>
      <c r="K39" s="62"/>
      <c r="L39" s="62"/>
      <c r="N39" s="63"/>
      <c r="S39" s="64"/>
      <c r="U39" s="61"/>
      <c r="V39" s="63"/>
    </row>
    <row r="40" ht="15.75" customHeight="1">
      <c r="J40" s="61"/>
      <c r="K40" s="62"/>
      <c r="L40" s="62"/>
      <c r="N40" s="63"/>
      <c r="S40" s="64"/>
      <c r="U40" s="61"/>
      <c r="V40" s="63"/>
    </row>
    <row r="41" ht="15.75" customHeight="1">
      <c r="J41" s="61"/>
      <c r="K41" s="62"/>
      <c r="L41" s="62"/>
      <c r="N41" s="63"/>
      <c r="S41" s="64"/>
      <c r="U41" s="61"/>
      <c r="V41" s="63"/>
    </row>
    <row r="42" ht="15.75" customHeight="1">
      <c r="J42" s="61"/>
      <c r="K42" s="62"/>
      <c r="L42" s="62"/>
      <c r="N42" s="63"/>
      <c r="S42" s="64"/>
      <c r="U42" s="61"/>
      <c r="V42" s="63"/>
    </row>
    <row r="43" ht="15.75" customHeight="1">
      <c r="J43" s="61"/>
      <c r="K43" s="62"/>
      <c r="L43" s="62"/>
      <c r="N43" s="63"/>
      <c r="S43" s="64"/>
      <c r="U43" s="61"/>
      <c r="V43" s="63"/>
    </row>
    <row r="44" ht="15.75" customHeight="1">
      <c r="J44" s="61"/>
      <c r="K44" s="62"/>
      <c r="L44" s="62"/>
      <c r="N44" s="63"/>
      <c r="S44" s="64"/>
      <c r="U44" s="61"/>
      <c r="V44" s="63"/>
    </row>
    <row r="45" ht="15.75" customHeight="1">
      <c r="J45" s="66"/>
      <c r="K45" s="62"/>
      <c r="L45" s="62"/>
      <c r="M45" s="67"/>
      <c r="N45" s="68"/>
      <c r="O45" s="67"/>
      <c r="P45" s="67"/>
      <c r="S45" s="64"/>
      <c r="U45" s="61"/>
      <c r="V45" s="63"/>
    </row>
    <row r="46" ht="15.75" customHeight="1">
      <c r="J46" s="61"/>
      <c r="K46" s="62"/>
      <c r="L46" s="62"/>
      <c r="N46" s="63"/>
      <c r="S46" s="64"/>
      <c r="U46" s="61"/>
      <c r="V46" s="63"/>
    </row>
    <row r="47" ht="15.75" customHeight="1">
      <c r="J47" s="61"/>
      <c r="K47" s="62"/>
      <c r="L47" s="62"/>
      <c r="N47" s="63"/>
      <c r="S47" s="64"/>
      <c r="U47" s="61"/>
      <c r="V47" s="63"/>
    </row>
    <row r="48" ht="15.75" customHeight="1">
      <c r="J48" s="61"/>
      <c r="K48" s="62"/>
      <c r="L48" s="62"/>
      <c r="N48" s="63"/>
      <c r="S48" s="64"/>
      <c r="U48" s="61"/>
      <c r="V48" s="63"/>
    </row>
    <row r="49" ht="15.75" customHeight="1">
      <c r="J49" s="61"/>
      <c r="K49" s="62"/>
      <c r="L49" s="62"/>
      <c r="N49" s="63"/>
      <c r="S49" s="64"/>
      <c r="U49" s="61"/>
      <c r="V49" s="63"/>
    </row>
    <row r="50" ht="15.75" customHeight="1">
      <c r="J50" s="61"/>
      <c r="K50" s="62"/>
      <c r="L50" s="62"/>
      <c r="N50" s="63"/>
      <c r="S50" s="64"/>
      <c r="U50" s="61"/>
      <c r="V50" s="63"/>
    </row>
    <row r="51" ht="15.75" customHeight="1">
      <c r="J51" s="61"/>
      <c r="K51" s="62"/>
      <c r="L51" s="62"/>
      <c r="N51" s="63"/>
      <c r="S51" s="64"/>
      <c r="U51" s="61"/>
      <c r="V51" s="63"/>
    </row>
    <row r="52" ht="15.75" customHeight="1">
      <c r="J52" s="61"/>
      <c r="K52" s="62"/>
      <c r="L52" s="62"/>
      <c r="N52" s="63"/>
      <c r="S52" s="64"/>
      <c r="U52" s="61"/>
      <c r="V52" s="63"/>
    </row>
    <row r="53" ht="15.75" customHeight="1">
      <c r="J53" s="61"/>
      <c r="K53" s="62"/>
      <c r="L53" s="62"/>
      <c r="N53" s="63"/>
      <c r="S53" s="64"/>
      <c r="U53" s="61"/>
      <c r="V53" s="63"/>
    </row>
    <row r="54" ht="15.75" customHeight="1">
      <c r="J54" s="61"/>
      <c r="K54" s="62"/>
      <c r="L54" s="62"/>
      <c r="N54" s="63"/>
      <c r="S54" s="64"/>
      <c r="U54" s="61"/>
      <c r="V54" s="63"/>
    </row>
    <row r="55" ht="15.75" customHeight="1">
      <c r="J55" s="61"/>
      <c r="K55" s="62"/>
      <c r="L55" s="62"/>
      <c r="N55" s="63"/>
      <c r="S55" s="64"/>
      <c r="U55" s="61"/>
      <c r="V55" s="63"/>
    </row>
    <row r="56" ht="15.75" customHeight="1">
      <c r="J56" s="61"/>
      <c r="K56" s="62"/>
      <c r="L56" s="62"/>
      <c r="N56" s="63"/>
      <c r="S56" s="64"/>
      <c r="U56" s="61"/>
      <c r="V56" s="63"/>
    </row>
    <row r="57" ht="15.75" customHeight="1">
      <c r="J57" s="61"/>
      <c r="K57" s="62"/>
      <c r="L57" s="62"/>
      <c r="N57" s="63"/>
      <c r="S57" s="64"/>
      <c r="U57" s="61"/>
      <c r="V57" s="63"/>
    </row>
    <row r="58" ht="15.75" customHeight="1">
      <c r="J58" s="61"/>
      <c r="K58" s="62"/>
      <c r="L58" s="62"/>
      <c r="N58" s="63"/>
      <c r="S58" s="64"/>
      <c r="U58" s="61"/>
      <c r="V58" s="63"/>
    </row>
    <row r="59" ht="15.75" customHeight="1">
      <c r="J59" s="61"/>
      <c r="K59" s="62"/>
      <c r="L59" s="62"/>
      <c r="N59" s="63"/>
      <c r="S59" s="64"/>
      <c r="U59" s="61"/>
      <c r="V59" s="63"/>
    </row>
    <row r="60" ht="15.75" customHeight="1">
      <c r="J60" s="61"/>
      <c r="K60" s="62"/>
      <c r="L60" s="62"/>
      <c r="N60" s="63"/>
      <c r="S60" s="64"/>
      <c r="U60" s="61"/>
      <c r="V60" s="63"/>
    </row>
    <row r="61" ht="15.75" customHeight="1">
      <c r="J61" s="61"/>
      <c r="K61" s="62"/>
      <c r="L61" s="62"/>
      <c r="N61" s="63"/>
      <c r="S61" s="64"/>
      <c r="U61" s="61"/>
      <c r="V61" s="63"/>
    </row>
    <row r="62" ht="15.75" customHeight="1">
      <c r="J62" s="61"/>
      <c r="K62" s="62"/>
      <c r="L62" s="62"/>
      <c r="N62" s="63"/>
      <c r="S62" s="64"/>
      <c r="U62" s="61"/>
      <c r="V62" s="63"/>
    </row>
    <row r="63" ht="15.75" customHeight="1">
      <c r="J63" s="61"/>
      <c r="K63" s="62"/>
      <c r="L63" s="62"/>
      <c r="N63" s="63"/>
      <c r="S63" s="64"/>
      <c r="U63" s="61"/>
      <c r="V63" s="63"/>
    </row>
    <row r="64" ht="15.75" customHeight="1">
      <c r="J64" s="61"/>
      <c r="K64" s="62"/>
      <c r="L64" s="62"/>
      <c r="N64" s="63"/>
      <c r="S64" s="64"/>
      <c r="U64" s="61"/>
      <c r="V64" s="63"/>
    </row>
    <row r="65" ht="15.75" customHeight="1">
      <c r="J65" s="61"/>
      <c r="K65" s="62"/>
      <c r="L65" s="62"/>
      <c r="N65" s="63"/>
      <c r="S65" s="64"/>
      <c r="U65" s="61"/>
      <c r="V65" s="63"/>
    </row>
    <row r="66" ht="15.75" customHeight="1">
      <c r="J66" s="61"/>
      <c r="K66" s="62"/>
      <c r="L66" s="62"/>
      <c r="N66" s="63"/>
      <c r="S66" s="64"/>
      <c r="U66" s="61"/>
      <c r="V66" s="63"/>
    </row>
    <row r="67" ht="15.75" customHeight="1">
      <c r="J67" s="61"/>
      <c r="K67" s="62"/>
      <c r="L67" s="62"/>
      <c r="N67" s="63"/>
      <c r="S67" s="64"/>
      <c r="U67" s="61"/>
      <c r="V67" s="63"/>
    </row>
    <row r="68" ht="15.75" customHeight="1">
      <c r="J68" s="61"/>
      <c r="K68" s="62"/>
      <c r="L68" s="62"/>
      <c r="N68" s="63"/>
      <c r="S68" s="64"/>
      <c r="U68" s="61"/>
      <c r="V68" s="63"/>
    </row>
    <row r="69" ht="15.75" customHeight="1">
      <c r="J69" s="61"/>
      <c r="K69" s="62"/>
      <c r="L69" s="62"/>
      <c r="N69" s="63"/>
      <c r="S69" s="64"/>
      <c r="U69" s="61"/>
      <c r="V69" s="63"/>
    </row>
    <row r="70" ht="15.75" customHeight="1">
      <c r="J70" s="61"/>
      <c r="K70" s="62"/>
      <c r="L70" s="62"/>
      <c r="N70" s="63"/>
      <c r="S70" s="64"/>
      <c r="U70" s="61"/>
      <c r="V70" s="63"/>
    </row>
    <row r="71" ht="15.75" customHeight="1">
      <c r="J71" s="61"/>
      <c r="K71" s="62"/>
      <c r="L71" s="62"/>
      <c r="N71" s="63"/>
      <c r="S71" s="64"/>
      <c r="U71" s="61"/>
      <c r="V71" s="63"/>
    </row>
    <row r="72" ht="15.75" customHeight="1">
      <c r="J72" s="61"/>
      <c r="K72" s="62"/>
      <c r="L72" s="62"/>
      <c r="N72" s="63"/>
      <c r="S72" s="64"/>
      <c r="U72" s="61"/>
      <c r="V72" s="63"/>
    </row>
    <row r="73" ht="15.75" customHeight="1">
      <c r="J73" s="61"/>
      <c r="K73" s="62"/>
      <c r="L73" s="62"/>
      <c r="N73" s="63"/>
      <c r="S73" s="64"/>
      <c r="U73" s="61"/>
      <c r="V73" s="63"/>
    </row>
    <row r="74" ht="15.75" customHeight="1">
      <c r="J74" s="61"/>
      <c r="K74" s="62"/>
      <c r="L74" s="62"/>
      <c r="N74" s="63"/>
      <c r="S74" s="64"/>
      <c r="U74" s="61"/>
      <c r="V74" s="63"/>
    </row>
    <row r="75" ht="15.75" customHeight="1">
      <c r="J75" s="61"/>
      <c r="K75" s="62"/>
      <c r="L75" s="62"/>
      <c r="N75" s="63"/>
      <c r="S75" s="64"/>
      <c r="U75" s="61"/>
      <c r="V75" s="63"/>
    </row>
    <row r="76" ht="15.75" customHeight="1">
      <c r="J76" s="61"/>
      <c r="K76" s="62"/>
      <c r="L76" s="62"/>
      <c r="N76" s="63"/>
      <c r="S76" s="64"/>
      <c r="U76" s="61"/>
      <c r="V76" s="63"/>
    </row>
    <row r="77" ht="15.75" customHeight="1">
      <c r="J77" s="61"/>
      <c r="K77" s="62"/>
      <c r="L77" s="62"/>
      <c r="N77" s="63"/>
      <c r="S77" s="64"/>
      <c r="U77" s="61"/>
      <c r="V77" s="63"/>
    </row>
    <row r="78" ht="15.75" customHeight="1">
      <c r="J78" s="61"/>
      <c r="K78" s="62"/>
      <c r="L78" s="62"/>
      <c r="N78" s="63"/>
      <c r="S78" s="64"/>
      <c r="U78" s="61"/>
      <c r="V78" s="63"/>
    </row>
    <row r="79" ht="15.75" customHeight="1">
      <c r="J79" s="61"/>
      <c r="K79" s="62"/>
      <c r="L79" s="62"/>
      <c r="N79" s="63"/>
      <c r="S79" s="64"/>
      <c r="U79" s="61"/>
      <c r="V79" s="63"/>
    </row>
    <row r="80" ht="15.75" customHeight="1">
      <c r="J80" s="61"/>
      <c r="K80" s="62"/>
      <c r="L80" s="62"/>
      <c r="N80" s="63"/>
      <c r="S80" s="64"/>
      <c r="U80" s="61"/>
      <c r="V80" s="63"/>
    </row>
    <row r="81" ht="15.75" customHeight="1">
      <c r="J81" s="61"/>
      <c r="K81" s="62"/>
      <c r="L81" s="62"/>
      <c r="N81" s="63"/>
      <c r="S81" s="64"/>
      <c r="U81" s="61"/>
      <c r="V81" s="63"/>
    </row>
    <row r="82" ht="15.75" customHeight="1">
      <c r="J82" s="61"/>
      <c r="K82" s="62"/>
      <c r="L82" s="62"/>
      <c r="N82" s="63"/>
      <c r="S82" s="64"/>
      <c r="U82" s="61"/>
      <c r="V82" s="63"/>
    </row>
    <row r="83" ht="15.75" customHeight="1">
      <c r="J83" s="61"/>
      <c r="K83" s="62"/>
      <c r="L83" s="62"/>
      <c r="N83" s="63"/>
      <c r="S83" s="64"/>
      <c r="U83" s="61"/>
      <c r="V83" s="63"/>
    </row>
    <row r="84" ht="15.75" customHeight="1">
      <c r="J84" s="61"/>
      <c r="K84" s="62"/>
      <c r="L84" s="62"/>
      <c r="N84" s="63"/>
      <c r="S84" s="64"/>
      <c r="U84" s="61"/>
      <c r="V84" s="63"/>
    </row>
    <row r="85" ht="15.75" customHeight="1">
      <c r="J85" s="61"/>
      <c r="K85" s="62"/>
      <c r="L85" s="62"/>
      <c r="N85" s="63"/>
      <c r="S85" s="64"/>
      <c r="U85" s="61"/>
      <c r="V85" s="63"/>
    </row>
    <row r="86" ht="15.75" customHeight="1">
      <c r="J86" s="61"/>
      <c r="K86" s="62"/>
      <c r="L86" s="62"/>
      <c r="N86" s="63"/>
      <c r="S86" s="64"/>
      <c r="U86" s="61"/>
      <c r="V86" s="63"/>
    </row>
    <row r="87" ht="15.75" customHeight="1">
      <c r="J87" s="61"/>
      <c r="K87" s="62"/>
      <c r="L87" s="62"/>
      <c r="N87" s="63"/>
      <c r="S87" s="64"/>
      <c r="U87" s="61"/>
      <c r="V87" s="63"/>
    </row>
    <row r="88" ht="15.75" customHeight="1">
      <c r="J88" s="61"/>
      <c r="K88" s="62"/>
      <c r="L88" s="62"/>
      <c r="N88" s="63"/>
      <c r="S88" s="64"/>
      <c r="U88" s="61"/>
      <c r="V88" s="63"/>
    </row>
    <row r="89" ht="15.75" customHeight="1">
      <c r="J89" s="61"/>
      <c r="K89" s="62"/>
      <c r="L89" s="62"/>
      <c r="N89" s="63"/>
      <c r="S89" s="64"/>
      <c r="U89" s="61"/>
      <c r="V89" s="63"/>
    </row>
    <row r="90" ht="15.75" customHeight="1">
      <c r="J90" s="61"/>
      <c r="K90" s="62"/>
      <c r="L90" s="62"/>
      <c r="N90" s="63"/>
      <c r="S90" s="64"/>
      <c r="U90" s="61"/>
      <c r="V90" s="63"/>
    </row>
    <row r="91" ht="15.75" customHeight="1">
      <c r="J91" s="61"/>
      <c r="K91" s="62"/>
      <c r="L91" s="62"/>
      <c r="N91" s="63"/>
      <c r="S91" s="64"/>
      <c r="U91" s="61"/>
      <c r="V91" s="63"/>
    </row>
    <row r="92" ht="15.75" customHeight="1">
      <c r="J92" s="61"/>
      <c r="K92" s="62"/>
      <c r="L92" s="62"/>
      <c r="N92" s="63"/>
      <c r="S92" s="64"/>
      <c r="U92" s="61"/>
      <c r="V92" s="63"/>
    </row>
    <row r="93" ht="15.75" customHeight="1">
      <c r="J93" s="61"/>
      <c r="K93" s="62"/>
      <c r="L93" s="62"/>
      <c r="N93" s="63"/>
      <c r="S93" s="64"/>
      <c r="U93" s="61"/>
      <c r="V93" s="63"/>
    </row>
    <row r="94" ht="15.75" customHeight="1">
      <c r="J94" s="61"/>
      <c r="K94" s="62"/>
      <c r="L94" s="62"/>
      <c r="N94" s="63"/>
      <c r="S94" s="64"/>
      <c r="U94" s="61"/>
      <c r="V94" s="63"/>
    </row>
    <row r="95" ht="15.75" customHeight="1">
      <c r="J95" s="61"/>
      <c r="K95" s="62"/>
      <c r="L95" s="62"/>
      <c r="N95" s="63"/>
      <c r="S95" s="64"/>
      <c r="U95" s="61"/>
      <c r="V95" s="63"/>
    </row>
    <row r="96" ht="15.75" customHeight="1">
      <c r="J96" s="61"/>
      <c r="K96" s="62"/>
      <c r="L96" s="62"/>
      <c r="N96" s="63"/>
      <c r="S96" s="64"/>
      <c r="U96" s="61"/>
      <c r="V96" s="63"/>
    </row>
    <row r="97" ht="15.75" customHeight="1">
      <c r="J97" s="61"/>
      <c r="K97" s="62"/>
      <c r="L97" s="62"/>
      <c r="N97" s="63"/>
      <c r="S97" s="64"/>
      <c r="U97" s="61"/>
      <c r="V97" s="63"/>
    </row>
    <row r="98" ht="15.75" customHeight="1">
      <c r="J98" s="61"/>
      <c r="K98" s="62"/>
      <c r="L98" s="62"/>
      <c r="N98" s="63"/>
      <c r="S98" s="64"/>
      <c r="U98" s="61"/>
      <c r="V98" s="63"/>
    </row>
    <row r="99" ht="15.75" customHeight="1">
      <c r="J99" s="61"/>
      <c r="K99" s="62"/>
      <c r="L99" s="62"/>
      <c r="N99" s="63"/>
      <c r="S99" s="64"/>
      <c r="U99" s="61"/>
      <c r="V99" s="63"/>
    </row>
    <row r="100" ht="15.75" customHeight="1">
      <c r="J100" s="61"/>
      <c r="K100" s="62"/>
      <c r="L100" s="62"/>
      <c r="N100" s="63"/>
      <c r="S100" s="64"/>
      <c r="U100" s="61"/>
      <c r="V100" s="63"/>
    </row>
    <row r="101" ht="15.75" customHeight="1">
      <c r="J101" s="61"/>
      <c r="K101" s="62"/>
      <c r="L101" s="62"/>
      <c r="N101" s="63"/>
      <c r="S101" s="64"/>
      <c r="U101" s="61"/>
      <c r="V101" s="63"/>
    </row>
    <row r="102" ht="15.75" customHeight="1">
      <c r="J102" s="61"/>
      <c r="K102" s="62"/>
      <c r="L102" s="62"/>
      <c r="N102" s="63"/>
      <c r="S102" s="64"/>
      <c r="U102" s="61"/>
      <c r="V102" s="63"/>
    </row>
    <row r="103" ht="15.75" customHeight="1">
      <c r="J103" s="61"/>
      <c r="K103" s="62"/>
      <c r="L103" s="62"/>
      <c r="N103" s="63"/>
      <c r="S103" s="64"/>
      <c r="U103" s="61"/>
      <c r="V103" s="63"/>
    </row>
    <row r="104" ht="15.75" customHeight="1">
      <c r="J104" s="61"/>
      <c r="K104" s="62"/>
      <c r="L104" s="62"/>
      <c r="N104" s="63"/>
      <c r="S104" s="64"/>
      <c r="U104" s="61"/>
      <c r="V104" s="63"/>
    </row>
    <row r="105" ht="15.75" customHeight="1">
      <c r="J105" s="61"/>
      <c r="K105" s="62"/>
      <c r="L105" s="62"/>
      <c r="N105" s="63"/>
      <c r="S105" s="64"/>
      <c r="U105" s="61"/>
      <c r="V105" s="63"/>
    </row>
    <row r="106" ht="15.75" customHeight="1">
      <c r="J106" s="61"/>
      <c r="K106" s="62"/>
      <c r="L106" s="62"/>
      <c r="N106" s="63"/>
      <c r="S106" s="64"/>
      <c r="U106" s="61"/>
      <c r="V106" s="63"/>
    </row>
    <row r="107" ht="15.75" customHeight="1">
      <c r="J107" s="61"/>
      <c r="K107" s="62"/>
      <c r="L107" s="62"/>
      <c r="N107" s="63"/>
      <c r="S107" s="64"/>
      <c r="U107" s="61"/>
      <c r="V107" s="63"/>
    </row>
    <row r="108" ht="15.75" customHeight="1">
      <c r="J108" s="61"/>
      <c r="K108" s="62"/>
      <c r="L108" s="62"/>
      <c r="N108" s="63"/>
      <c r="S108" s="64"/>
      <c r="U108" s="61"/>
      <c r="V108" s="63"/>
    </row>
    <row r="109" ht="15.75" customHeight="1">
      <c r="J109" s="61"/>
      <c r="K109" s="62"/>
      <c r="L109" s="62"/>
      <c r="N109" s="63"/>
      <c r="S109" s="64"/>
      <c r="U109" s="61"/>
      <c r="V109" s="63"/>
    </row>
    <row r="110" ht="15.75" customHeight="1">
      <c r="J110" s="61"/>
      <c r="K110" s="62"/>
      <c r="L110" s="62"/>
      <c r="N110" s="63"/>
      <c r="S110" s="64"/>
      <c r="U110" s="61"/>
      <c r="V110" s="63"/>
    </row>
    <row r="111" ht="15.75" customHeight="1">
      <c r="J111" s="61"/>
      <c r="K111" s="62"/>
      <c r="L111" s="62"/>
      <c r="N111" s="63"/>
      <c r="S111" s="64"/>
      <c r="U111" s="61"/>
      <c r="V111" s="63"/>
    </row>
    <row r="112" ht="15.75" customHeight="1">
      <c r="J112" s="61"/>
      <c r="K112" s="62"/>
      <c r="L112" s="62"/>
      <c r="N112" s="63"/>
      <c r="S112" s="64"/>
      <c r="U112" s="61"/>
      <c r="V112" s="63"/>
    </row>
    <row r="113" ht="15.75" customHeight="1">
      <c r="J113" s="61"/>
      <c r="K113" s="62"/>
      <c r="L113" s="62"/>
      <c r="N113" s="63"/>
      <c r="S113" s="64"/>
      <c r="U113" s="61"/>
      <c r="V113" s="63"/>
    </row>
    <row r="114" ht="15.75" customHeight="1">
      <c r="J114" s="61"/>
      <c r="K114" s="62"/>
      <c r="L114" s="62"/>
      <c r="N114" s="63"/>
      <c r="S114" s="64"/>
      <c r="U114" s="61"/>
      <c r="V114" s="63"/>
    </row>
    <row r="115" ht="15.75" customHeight="1">
      <c r="J115" s="61"/>
      <c r="K115" s="62"/>
      <c r="L115" s="62"/>
      <c r="N115" s="63"/>
      <c r="S115" s="64"/>
      <c r="U115" s="61"/>
      <c r="V115" s="63"/>
    </row>
    <row r="116" ht="15.75" customHeight="1">
      <c r="J116" s="61"/>
      <c r="K116" s="62"/>
      <c r="L116" s="62"/>
      <c r="N116" s="63"/>
      <c r="S116" s="64"/>
      <c r="U116" s="61"/>
      <c r="V116" s="63"/>
    </row>
    <row r="117" ht="15.75" customHeight="1">
      <c r="J117" s="61"/>
      <c r="K117" s="62"/>
      <c r="L117" s="62"/>
      <c r="N117" s="63"/>
      <c r="S117" s="64"/>
      <c r="U117" s="61"/>
      <c r="V117" s="63"/>
    </row>
    <row r="118" ht="15.75" customHeight="1">
      <c r="J118" s="61"/>
      <c r="K118" s="62"/>
      <c r="L118" s="62"/>
      <c r="N118" s="63"/>
      <c r="S118" s="64"/>
      <c r="U118" s="61"/>
      <c r="V118" s="63"/>
    </row>
    <row r="119" ht="15.75" customHeight="1">
      <c r="J119" s="61"/>
      <c r="K119" s="62"/>
      <c r="L119" s="62"/>
      <c r="N119" s="63"/>
      <c r="S119" s="64"/>
      <c r="U119" s="61"/>
      <c r="V119" s="63"/>
    </row>
    <row r="120" ht="15.75" customHeight="1">
      <c r="J120" s="61"/>
      <c r="K120" s="62"/>
      <c r="L120" s="62"/>
      <c r="N120" s="63"/>
      <c r="S120" s="64"/>
      <c r="U120" s="61"/>
      <c r="V120" s="63"/>
    </row>
    <row r="121" ht="15.75" customHeight="1">
      <c r="J121" s="61"/>
      <c r="K121" s="62"/>
      <c r="L121" s="62"/>
      <c r="N121" s="63"/>
      <c r="S121" s="64"/>
      <c r="U121" s="61"/>
      <c r="V121" s="63"/>
    </row>
    <row r="122" ht="15.75" customHeight="1">
      <c r="J122" s="61"/>
      <c r="K122" s="62"/>
      <c r="L122" s="62"/>
      <c r="N122" s="63"/>
      <c r="S122" s="64"/>
      <c r="U122" s="61"/>
      <c r="V122" s="63"/>
    </row>
    <row r="123" ht="15.75" customHeight="1">
      <c r="J123" s="61"/>
      <c r="K123" s="62"/>
      <c r="L123" s="62"/>
      <c r="N123" s="63"/>
      <c r="S123" s="64"/>
      <c r="U123" s="61"/>
      <c r="V123" s="63"/>
    </row>
    <row r="124" ht="15.75" customHeight="1">
      <c r="J124" s="61"/>
      <c r="K124" s="62"/>
      <c r="L124" s="62"/>
      <c r="N124" s="63"/>
      <c r="S124" s="64"/>
      <c r="U124" s="61"/>
      <c r="V124" s="63"/>
    </row>
    <row r="125" ht="15.75" customHeight="1">
      <c r="J125" s="61"/>
      <c r="K125" s="62"/>
      <c r="L125" s="62"/>
      <c r="N125" s="63"/>
      <c r="S125" s="64"/>
      <c r="U125" s="61"/>
      <c r="V125" s="63"/>
    </row>
    <row r="126" ht="15.75" customHeight="1">
      <c r="J126" s="61"/>
      <c r="K126" s="62"/>
      <c r="L126" s="62"/>
      <c r="N126" s="63"/>
      <c r="S126" s="64"/>
      <c r="U126" s="61"/>
      <c r="V126" s="63"/>
    </row>
    <row r="127" ht="15.75" customHeight="1">
      <c r="J127" s="61"/>
      <c r="K127" s="62"/>
      <c r="L127" s="62"/>
      <c r="N127" s="63"/>
      <c r="S127" s="64"/>
      <c r="U127" s="61"/>
      <c r="V127" s="63"/>
    </row>
    <row r="128" ht="15.75" customHeight="1">
      <c r="J128" s="61"/>
      <c r="K128" s="62"/>
      <c r="L128" s="62"/>
      <c r="N128" s="63"/>
      <c r="S128" s="64"/>
      <c r="U128" s="61"/>
      <c r="V128" s="63"/>
    </row>
    <row r="129" ht="15.75" customHeight="1">
      <c r="J129" s="61"/>
      <c r="K129" s="62"/>
      <c r="L129" s="62"/>
      <c r="N129" s="63"/>
      <c r="S129" s="64"/>
      <c r="U129" s="61"/>
      <c r="V129" s="63"/>
    </row>
    <row r="130" ht="15.75" customHeight="1">
      <c r="J130" s="61"/>
      <c r="K130" s="62"/>
      <c r="L130" s="62"/>
      <c r="N130" s="63"/>
      <c r="S130" s="64"/>
      <c r="U130" s="61"/>
      <c r="V130" s="63"/>
    </row>
    <row r="131" ht="15.75" customHeight="1">
      <c r="J131" s="61"/>
      <c r="K131" s="62"/>
      <c r="L131" s="62"/>
      <c r="N131" s="63"/>
      <c r="S131" s="64"/>
      <c r="U131" s="61"/>
      <c r="V131" s="63"/>
    </row>
    <row r="132" ht="15.75" customHeight="1">
      <c r="J132" s="61"/>
      <c r="K132" s="62"/>
      <c r="L132" s="62"/>
      <c r="N132" s="63"/>
      <c r="S132" s="64"/>
      <c r="U132" s="61"/>
      <c r="V132" s="63"/>
    </row>
    <row r="133" ht="15.75" customHeight="1">
      <c r="J133" s="61"/>
      <c r="K133" s="62"/>
      <c r="L133" s="62"/>
      <c r="N133" s="63"/>
      <c r="S133" s="64"/>
      <c r="U133" s="61"/>
      <c r="V133" s="63"/>
    </row>
    <row r="134" ht="15.75" customHeight="1">
      <c r="J134" s="61"/>
      <c r="K134" s="62"/>
      <c r="L134" s="62"/>
      <c r="N134" s="63"/>
      <c r="S134" s="64"/>
      <c r="U134" s="61"/>
      <c r="V134" s="63"/>
    </row>
    <row r="135" ht="15.75" customHeight="1">
      <c r="J135" s="61"/>
      <c r="K135" s="62"/>
      <c r="L135" s="62"/>
      <c r="N135" s="63"/>
      <c r="S135" s="64"/>
      <c r="U135" s="61"/>
      <c r="V135" s="63"/>
    </row>
    <row r="136" ht="15.75" customHeight="1">
      <c r="J136" s="61"/>
      <c r="K136" s="62"/>
      <c r="L136" s="62"/>
      <c r="N136" s="63"/>
      <c r="S136" s="64"/>
      <c r="U136" s="61"/>
      <c r="V136" s="63"/>
    </row>
    <row r="137" ht="15.75" customHeight="1">
      <c r="J137" s="61"/>
      <c r="K137" s="62"/>
      <c r="L137" s="62"/>
      <c r="N137" s="63"/>
      <c r="S137" s="64"/>
      <c r="U137" s="61"/>
      <c r="V137" s="63"/>
    </row>
    <row r="138" ht="15.75" customHeight="1">
      <c r="J138" s="61"/>
      <c r="K138" s="62"/>
      <c r="L138" s="62"/>
      <c r="N138" s="63"/>
      <c r="S138" s="64"/>
      <c r="U138" s="61"/>
      <c r="V138" s="63"/>
    </row>
    <row r="139" ht="15.75" customHeight="1">
      <c r="J139" s="61"/>
      <c r="K139" s="62"/>
      <c r="L139" s="62"/>
      <c r="N139" s="63"/>
      <c r="S139" s="64"/>
      <c r="U139" s="61"/>
      <c r="V139" s="63"/>
    </row>
    <row r="140" ht="15.75" customHeight="1">
      <c r="J140" s="61"/>
      <c r="K140" s="62"/>
      <c r="L140" s="62"/>
      <c r="N140" s="63"/>
      <c r="S140" s="64"/>
      <c r="U140" s="61"/>
      <c r="V140" s="63"/>
    </row>
    <row r="141" ht="15.75" customHeight="1">
      <c r="J141" s="61"/>
      <c r="K141" s="62"/>
      <c r="L141" s="62"/>
      <c r="N141" s="63"/>
      <c r="S141" s="64"/>
      <c r="U141" s="61"/>
      <c r="V141" s="63"/>
    </row>
    <row r="142" ht="15.75" customHeight="1">
      <c r="J142" s="61"/>
      <c r="K142" s="62"/>
      <c r="L142" s="62"/>
      <c r="N142" s="63"/>
      <c r="S142" s="64"/>
      <c r="U142" s="61"/>
      <c r="V142" s="63"/>
    </row>
    <row r="143" ht="15.75" customHeight="1">
      <c r="J143" s="61"/>
      <c r="K143" s="62"/>
      <c r="L143" s="62"/>
      <c r="N143" s="63"/>
      <c r="S143" s="64"/>
      <c r="U143" s="61"/>
      <c r="V143" s="63"/>
    </row>
    <row r="144" ht="15.75" customHeight="1">
      <c r="J144" s="61"/>
      <c r="K144" s="62"/>
      <c r="L144" s="62"/>
      <c r="N144" s="63"/>
      <c r="S144" s="64"/>
      <c r="U144" s="61"/>
      <c r="V144" s="63"/>
    </row>
    <row r="145" ht="15.75" customHeight="1">
      <c r="J145" s="61"/>
      <c r="K145" s="62"/>
      <c r="L145" s="62"/>
      <c r="N145" s="63"/>
      <c r="S145" s="64"/>
      <c r="U145" s="61"/>
      <c r="V145" s="63"/>
    </row>
    <row r="146" ht="15.75" customHeight="1">
      <c r="J146" s="61"/>
      <c r="K146" s="62"/>
      <c r="L146" s="62"/>
      <c r="N146" s="63"/>
      <c r="S146" s="64"/>
      <c r="U146" s="61"/>
      <c r="V146" s="63"/>
    </row>
    <row r="147" ht="15.75" customHeight="1">
      <c r="J147" s="61"/>
      <c r="K147" s="62"/>
      <c r="L147" s="62"/>
      <c r="N147" s="63"/>
      <c r="S147" s="64"/>
      <c r="U147" s="61"/>
      <c r="V147" s="63"/>
    </row>
    <row r="148" ht="15.75" customHeight="1">
      <c r="J148" s="61"/>
      <c r="K148" s="62"/>
      <c r="L148" s="62"/>
      <c r="N148" s="63"/>
      <c r="S148" s="64"/>
      <c r="U148" s="61"/>
      <c r="V148" s="63"/>
    </row>
    <row r="149" ht="15.75" customHeight="1">
      <c r="J149" s="61"/>
      <c r="K149" s="62"/>
      <c r="L149" s="62"/>
      <c r="N149" s="63"/>
      <c r="S149" s="64"/>
      <c r="U149" s="61"/>
      <c r="V149" s="63"/>
    </row>
    <row r="150" ht="15.75" customHeight="1">
      <c r="J150" s="61"/>
      <c r="K150" s="62"/>
      <c r="L150" s="62"/>
      <c r="N150" s="63"/>
      <c r="S150" s="64"/>
      <c r="U150" s="61"/>
      <c r="V150" s="63"/>
    </row>
    <row r="151" ht="15.75" customHeight="1">
      <c r="J151" s="61"/>
      <c r="K151" s="62"/>
      <c r="L151" s="62"/>
      <c r="N151" s="63"/>
      <c r="S151" s="64"/>
      <c r="U151" s="61"/>
      <c r="V151" s="63"/>
    </row>
    <row r="152" ht="15.75" customHeight="1">
      <c r="J152" s="61"/>
      <c r="K152" s="62"/>
      <c r="L152" s="62"/>
      <c r="N152" s="63"/>
      <c r="S152" s="64"/>
      <c r="U152" s="61"/>
      <c r="V152" s="63"/>
    </row>
    <row r="153" ht="15.75" customHeight="1">
      <c r="J153" s="61"/>
      <c r="K153" s="62"/>
      <c r="L153" s="62"/>
      <c r="N153" s="63"/>
      <c r="S153" s="64"/>
      <c r="U153" s="61"/>
      <c r="V153" s="63"/>
    </row>
    <row r="154" ht="15.75" customHeight="1">
      <c r="J154" s="61"/>
      <c r="K154" s="62"/>
      <c r="L154" s="62"/>
      <c r="N154" s="63"/>
      <c r="S154" s="64"/>
      <c r="U154" s="61"/>
      <c r="V154" s="63"/>
    </row>
    <row r="155" ht="15.75" customHeight="1">
      <c r="J155" s="61"/>
      <c r="K155" s="62"/>
      <c r="L155" s="62"/>
      <c r="N155" s="63"/>
      <c r="S155" s="64"/>
      <c r="U155" s="61"/>
      <c r="V155" s="63"/>
    </row>
    <row r="156" ht="15.75" customHeight="1">
      <c r="J156" s="61"/>
      <c r="K156" s="62"/>
      <c r="L156" s="62"/>
      <c r="N156" s="63"/>
      <c r="S156" s="64"/>
      <c r="U156" s="61"/>
      <c r="V156" s="63"/>
    </row>
    <row r="157" ht="15.75" customHeight="1">
      <c r="J157" s="61"/>
      <c r="K157" s="62"/>
      <c r="L157" s="62"/>
      <c r="N157" s="63"/>
      <c r="S157" s="64"/>
      <c r="U157" s="61"/>
      <c r="V157" s="63"/>
    </row>
    <row r="158" ht="15.75" customHeight="1">
      <c r="J158" s="61"/>
      <c r="K158" s="62"/>
      <c r="L158" s="62"/>
      <c r="N158" s="63"/>
      <c r="S158" s="64"/>
      <c r="U158" s="61"/>
      <c r="V158" s="63"/>
    </row>
    <row r="159" ht="15.75" customHeight="1">
      <c r="J159" s="61"/>
      <c r="K159" s="62"/>
      <c r="L159" s="62"/>
      <c r="N159" s="63"/>
      <c r="S159" s="64"/>
      <c r="U159" s="61"/>
      <c r="V159" s="63"/>
    </row>
    <row r="160" ht="15.75" customHeight="1">
      <c r="J160" s="61"/>
      <c r="K160" s="62"/>
      <c r="L160" s="62"/>
      <c r="N160" s="63"/>
      <c r="S160" s="64"/>
      <c r="U160" s="61"/>
      <c r="V160" s="63"/>
    </row>
    <row r="161" ht="15.75" customHeight="1">
      <c r="J161" s="61"/>
      <c r="K161" s="62"/>
      <c r="L161" s="62"/>
      <c r="N161" s="63"/>
      <c r="S161" s="64"/>
      <c r="U161" s="61"/>
      <c r="V161" s="63"/>
    </row>
    <row r="162" ht="15.75" customHeight="1">
      <c r="J162" s="61"/>
      <c r="K162" s="62"/>
      <c r="L162" s="62"/>
      <c r="N162" s="63"/>
      <c r="S162" s="64"/>
      <c r="U162" s="61"/>
      <c r="V162" s="63"/>
    </row>
    <row r="163" ht="15.75" customHeight="1">
      <c r="J163" s="61"/>
      <c r="K163" s="62"/>
      <c r="L163" s="62"/>
      <c r="N163" s="63"/>
      <c r="S163" s="64"/>
      <c r="U163" s="61"/>
      <c r="V163" s="63"/>
    </row>
    <row r="164" ht="15.75" customHeight="1">
      <c r="J164" s="61"/>
      <c r="K164" s="62"/>
      <c r="L164" s="62"/>
      <c r="N164" s="63"/>
      <c r="S164" s="64"/>
      <c r="U164" s="61"/>
      <c r="V164" s="63"/>
    </row>
    <row r="165" ht="15.75" customHeight="1">
      <c r="J165" s="61"/>
      <c r="K165" s="62"/>
      <c r="L165" s="62"/>
      <c r="N165" s="63"/>
      <c r="S165" s="64"/>
      <c r="U165" s="61"/>
      <c r="V165" s="63"/>
    </row>
    <row r="166" ht="15.75" customHeight="1">
      <c r="J166" s="61"/>
      <c r="K166" s="62"/>
      <c r="L166" s="62"/>
      <c r="N166" s="63"/>
      <c r="S166" s="64"/>
      <c r="U166" s="61"/>
      <c r="V166" s="63"/>
    </row>
    <row r="167" ht="15.75" customHeight="1">
      <c r="J167" s="61"/>
      <c r="K167" s="62"/>
      <c r="L167" s="62"/>
      <c r="N167" s="63"/>
      <c r="S167" s="64"/>
      <c r="U167" s="61"/>
      <c r="V167" s="63"/>
    </row>
    <row r="168" ht="15.75" customHeight="1">
      <c r="J168" s="61"/>
      <c r="K168" s="62"/>
      <c r="L168" s="62"/>
      <c r="N168" s="63"/>
      <c r="S168" s="64"/>
      <c r="U168" s="61"/>
      <c r="V168" s="63"/>
    </row>
    <row r="169" ht="15.75" customHeight="1">
      <c r="J169" s="61"/>
      <c r="K169" s="62"/>
      <c r="L169" s="62"/>
      <c r="N169" s="63"/>
      <c r="S169" s="64"/>
      <c r="U169" s="61"/>
      <c r="V169" s="63"/>
    </row>
    <row r="170" ht="15.75" customHeight="1">
      <c r="J170" s="61"/>
      <c r="K170" s="62"/>
      <c r="L170" s="62"/>
      <c r="N170" s="63"/>
      <c r="S170" s="64"/>
      <c r="U170" s="61"/>
      <c r="V170" s="63"/>
    </row>
    <row r="171" ht="15.75" customHeight="1">
      <c r="J171" s="61"/>
      <c r="K171" s="62"/>
      <c r="L171" s="62"/>
      <c r="N171" s="63"/>
      <c r="S171" s="64"/>
      <c r="U171" s="61"/>
      <c r="V171" s="63"/>
    </row>
    <row r="172" ht="15.75" customHeight="1">
      <c r="J172" s="61"/>
      <c r="K172" s="62"/>
      <c r="L172" s="62"/>
      <c r="N172" s="63"/>
      <c r="S172" s="64"/>
      <c r="U172" s="61"/>
      <c r="V172" s="63"/>
    </row>
    <row r="173" ht="15.75" customHeight="1">
      <c r="J173" s="61"/>
      <c r="K173" s="62"/>
      <c r="L173" s="62"/>
      <c r="N173" s="63"/>
      <c r="S173" s="64"/>
      <c r="U173" s="61"/>
      <c r="V173" s="63"/>
    </row>
    <row r="174" ht="15.75" customHeight="1">
      <c r="J174" s="61"/>
      <c r="K174" s="62"/>
      <c r="L174" s="62"/>
      <c r="N174" s="63"/>
      <c r="S174" s="64"/>
      <c r="U174" s="61"/>
      <c r="V174" s="63"/>
    </row>
    <row r="175" ht="15.75" customHeight="1">
      <c r="J175" s="61"/>
      <c r="K175" s="62"/>
      <c r="L175" s="62"/>
      <c r="N175" s="63"/>
      <c r="S175" s="64"/>
      <c r="U175" s="61"/>
      <c r="V175" s="63"/>
    </row>
    <row r="176" ht="15.75" customHeight="1">
      <c r="J176" s="61"/>
      <c r="K176" s="62"/>
      <c r="L176" s="62"/>
      <c r="N176" s="63"/>
      <c r="S176" s="64"/>
      <c r="U176" s="61"/>
      <c r="V176" s="63"/>
    </row>
    <row r="177" ht="15.75" customHeight="1">
      <c r="J177" s="61"/>
      <c r="K177" s="62"/>
      <c r="L177" s="62"/>
      <c r="N177" s="63"/>
      <c r="S177" s="64"/>
      <c r="U177" s="61"/>
      <c r="V177" s="63"/>
    </row>
    <row r="178" ht="15.75" customHeight="1">
      <c r="J178" s="61"/>
      <c r="K178" s="62"/>
      <c r="L178" s="62"/>
      <c r="N178" s="63"/>
      <c r="S178" s="64"/>
      <c r="U178" s="61"/>
      <c r="V178" s="63"/>
    </row>
    <row r="179" ht="15.75" customHeight="1">
      <c r="J179" s="61"/>
      <c r="K179" s="62"/>
      <c r="L179" s="62"/>
      <c r="N179" s="63"/>
      <c r="S179" s="64"/>
      <c r="U179" s="61"/>
      <c r="V179" s="63"/>
    </row>
    <row r="180" ht="15.75" customHeight="1">
      <c r="J180" s="61"/>
      <c r="K180" s="62"/>
      <c r="L180" s="62"/>
      <c r="N180" s="63"/>
      <c r="S180" s="64"/>
      <c r="U180" s="61"/>
      <c r="V180" s="63"/>
    </row>
    <row r="181" ht="15.75" customHeight="1">
      <c r="J181" s="61"/>
      <c r="K181" s="62"/>
      <c r="L181" s="62"/>
      <c r="N181" s="63"/>
      <c r="S181" s="64"/>
      <c r="U181" s="61"/>
      <c r="V181" s="63"/>
    </row>
    <row r="182" ht="15.75" customHeight="1">
      <c r="J182" s="61"/>
      <c r="K182" s="62"/>
      <c r="L182" s="62"/>
      <c r="N182" s="63"/>
      <c r="S182" s="64"/>
      <c r="U182" s="61"/>
      <c r="V182" s="63"/>
    </row>
    <row r="183" ht="15.75" customHeight="1">
      <c r="J183" s="61"/>
      <c r="K183" s="62"/>
      <c r="L183" s="62"/>
      <c r="N183" s="63"/>
      <c r="S183" s="64"/>
      <c r="U183" s="61"/>
      <c r="V183" s="63"/>
    </row>
    <row r="184" ht="15.75" customHeight="1">
      <c r="J184" s="61"/>
      <c r="K184" s="62"/>
      <c r="L184" s="62"/>
      <c r="N184" s="63"/>
      <c r="S184" s="64"/>
      <c r="U184" s="61"/>
      <c r="V184" s="63"/>
    </row>
    <row r="185" ht="15.75" customHeight="1">
      <c r="J185" s="61"/>
      <c r="K185" s="62"/>
      <c r="L185" s="62"/>
      <c r="N185" s="63"/>
      <c r="S185" s="64"/>
      <c r="U185" s="61"/>
      <c r="V185" s="63"/>
    </row>
    <row r="186" ht="15.75" customHeight="1">
      <c r="J186" s="61"/>
      <c r="K186" s="62"/>
      <c r="L186" s="62"/>
      <c r="N186" s="63"/>
      <c r="S186" s="64"/>
      <c r="U186" s="61"/>
      <c r="V186" s="63"/>
    </row>
    <row r="187" ht="15.75" customHeight="1">
      <c r="J187" s="61"/>
      <c r="K187" s="62"/>
      <c r="L187" s="62"/>
      <c r="N187" s="63"/>
      <c r="S187" s="64"/>
      <c r="U187" s="61"/>
      <c r="V187" s="63"/>
    </row>
    <row r="188" ht="15.75" customHeight="1">
      <c r="J188" s="61"/>
      <c r="K188" s="62"/>
      <c r="L188" s="62"/>
      <c r="N188" s="63"/>
      <c r="S188" s="64"/>
      <c r="U188" s="61"/>
      <c r="V188" s="63"/>
    </row>
    <row r="189" ht="15.75" customHeight="1">
      <c r="J189" s="61"/>
      <c r="K189" s="62"/>
      <c r="L189" s="62"/>
      <c r="N189" s="63"/>
      <c r="S189" s="64"/>
      <c r="U189" s="61"/>
      <c r="V189" s="63"/>
    </row>
    <row r="190" ht="15.75" customHeight="1">
      <c r="J190" s="61"/>
      <c r="K190" s="62"/>
      <c r="L190" s="62"/>
      <c r="N190" s="63"/>
      <c r="S190" s="64"/>
      <c r="U190" s="61"/>
      <c r="V190" s="63"/>
    </row>
    <row r="191" ht="15.75" customHeight="1">
      <c r="J191" s="61"/>
      <c r="K191" s="62"/>
      <c r="L191" s="62"/>
      <c r="N191" s="63"/>
      <c r="S191" s="64"/>
      <c r="U191" s="61"/>
      <c r="V191" s="63"/>
    </row>
    <row r="192" ht="15.75" customHeight="1">
      <c r="J192" s="61"/>
      <c r="K192" s="62"/>
      <c r="L192" s="62"/>
      <c r="N192" s="63"/>
      <c r="S192" s="64"/>
      <c r="U192" s="61"/>
      <c r="V192" s="63"/>
    </row>
    <row r="193" ht="15.75" customHeight="1">
      <c r="J193" s="61"/>
      <c r="K193" s="62"/>
      <c r="L193" s="62"/>
      <c r="N193" s="63"/>
      <c r="S193" s="64"/>
      <c r="U193" s="61"/>
      <c r="V193" s="63"/>
    </row>
    <row r="194" ht="15.75" customHeight="1">
      <c r="J194" s="61"/>
      <c r="K194" s="62"/>
      <c r="L194" s="62"/>
      <c r="N194" s="63"/>
      <c r="S194" s="64"/>
      <c r="U194" s="61"/>
      <c r="V194" s="63"/>
    </row>
    <row r="195" ht="15.75" customHeight="1">
      <c r="J195" s="61"/>
      <c r="K195" s="62"/>
      <c r="L195" s="62"/>
      <c r="N195" s="63"/>
      <c r="S195" s="64"/>
      <c r="U195" s="61"/>
      <c r="V195" s="63"/>
    </row>
    <row r="196" ht="15.75" customHeight="1">
      <c r="J196" s="61"/>
      <c r="K196" s="62"/>
      <c r="L196" s="62"/>
      <c r="N196" s="63"/>
      <c r="S196" s="64"/>
      <c r="U196" s="61"/>
      <c r="V196" s="63"/>
    </row>
    <row r="197" ht="15.75" customHeight="1">
      <c r="J197" s="61"/>
      <c r="K197" s="62"/>
      <c r="L197" s="62"/>
      <c r="N197" s="63"/>
      <c r="S197" s="64"/>
      <c r="U197" s="61"/>
      <c r="V197" s="63"/>
    </row>
    <row r="198" ht="15.75" customHeight="1">
      <c r="J198" s="61"/>
      <c r="K198" s="62"/>
      <c r="L198" s="62"/>
      <c r="N198" s="63"/>
      <c r="S198" s="64"/>
      <c r="U198" s="61"/>
      <c r="V198" s="63"/>
    </row>
    <row r="199" ht="15.75" customHeight="1">
      <c r="J199" s="61"/>
      <c r="K199" s="62"/>
      <c r="L199" s="62"/>
      <c r="N199" s="63"/>
      <c r="S199" s="64"/>
      <c r="U199" s="61"/>
      <c r="V199" s="63"/>
    </row>
    <row r="200" ht="15.75" customHeight="1">
      <c r="J200" s="61"/>
      <c r="K200" s="62"/>
      <c r="L200" s="62"/>
      <c r="N200" s="63"/>
      <c r="S200" s="64"/>
      <c r="U200" s="61"/>
      <c r="V200" s="63"/>
    </row>
    <row r="201" ht="15.75" customHeight="1">
      <c r="J201" s="61"/>
      <c r="K201" s="62"/>
      <c r="L201" s="62"/>
      <c r="N201" s="63"/>
      <c r="S201" s="64"/>
      <c r="U201" s="61"/>
      <c r="V201" s="63"/>
    </row>
    <row r="202" ht="15.75" customHeight="1">
      <c r="J202" s="61"/>
      <c r="K202" s="62"/>
      <c r="L202" s="62"/>
      <c r="N202" s="63"/>
      <c r="S202" s="64"/>
      <c r="U202" s="61"/>
      <c r="V202" s="63"/>
    </row>
    <row r="203" ht="15.75" customHeight="1">
      <c r="J203" s="61"/>
      <c r="K203" s="62"/>
      <c r="L203" s="62"/>
      <c r="N203" s="63"/>
      <c r="S203" s="64"/>
      <c r="U203" s="61"/>
      <c r="V203" s="63"/>
    </row>
    <row r="204" ht="15.75" customHeight="1">
      <c r="J204" s="61"/>
      <c r="K204" s="62"/>
      <c r="L204" s="62"/>
      <c r="N204" s="63"/>
      <c r="S204" s="64"/>
      <c r="U204" s="61"/>
      <c r="V204" s="63"/>
    </row>
    <row r="205" ht="15.75" customHeight="1">
      <c r="J205" s="61"/>
      <c r="K205" s="62"/>
      <c r="L205" s="62"/>
      <c r="N205" s="63"/>
      <c r="S205" s="64"/>
      <c r="U205" s="61"/>
      <c r="V205" s="63"/>
    </row>
    <row r="206" ht="15.75" customHeight="1">
      <c r="J206" s="61"/>
      <c r="K206" s="62"/>
      <c r="L206" s="62"/>
      <c r="N206" s="63"/>
      <c r="S206" s="64"/>
      <c r="U206" s="61"/>
      <c r="V206" s="63"/>
    </row>
    <row r="207" ht="15.75" customHeight="1">
      <c r="J207" s="61"/>
      <c r="K207" s="62"/>
      <c r="L207" s="62"/>
      <c r="N207" s="63"/>
      <c r="S207" s="64"/>
      <c r="U207" s="61"/>
      <c r="V207" s="63"/>
    </row>
    <row r="208" ht="15.75" customHeight="1">
      <c r="J208" s="61"/>
      <c r="K208" s="62"/>
      <c r="L208" s="62"/>
      <c r="N208" s="63"/>
      <c r="S208" s="64"/>
      <c r="U208" s="61"/>
      <c r="V208" s="63"/>
    </row>
    <row r="209" ht="15.75" customHeight="1">
      <c r="J209" s="61"/>
      <c r="K209" s="62"/>
      <c r="L209" s="62"/>
      <c r="N209" s="63"/>
      <c r="S209" s="64"/>
      <c r="U209" s="61"/>
      <c r="V209" s="63"/>
    </row>
    <row r="210" ht="15.75" customHeight="1">
      <c r="J210" s="61"/>
      <c r="K210" s="62"/>
      <c r="L210" s="62"/>
      <c r="N210" s="63"/>
      <c r="S210" s="64"/>
      <c r="U210" s="61"/>
      <c r="V210" s="63"/>
    </row>
    <row r="211" ht="15.75" customHeight="1">
      <c r="J211" s="61"/>
      <c r="K211" s="62"/>
      <c r="L211" s="62"/>
      <c r="N211" s="63"/>
      <c r="S211" s="64"/>
      <c r="U211" s="61"/>
      <c r="V211" s="63"/>
    </row>
    <row r="212" ht="15.75" customHeight="1">
      <c r="J212" s="61"/>
      <c r="K212" s="62"/>
      <c r="L212" s="62"/>
      <c r="N212" s="63"/>
      <c r="S212" s="64"/>
      <c r="U212" s="61"/>
      <c r="V212" s="63"/>
    </row>
    <row r="213" ht="15.75" customHeight="1">
      <c r="J213" s="61"/>
      <c r="K213" s="62"/>
      <c r="L213" s="62"/>
      <c r="N213" s="63"/>
      <c r="S213" s="64"/>
      <c r="U213" s="61"/>
      <c r="V213" s="63"/>
    </row>
    <row r="214" ht="15.75" customHeight="1">
      <c r="J214" s="61"/>
      <c r="K214" s="62"/>
      <c r="L214" s="62"/>
      <c r="N214" s="63"/>
      <c r="S214" s="64"/>
      <c r="U214" s="61"/>
      <c r="V214" s="63"/>
    </row>
    <row r="215" ht="15.75" customHeight="1">
      <c r="J215" s="61"/>
      <c r="K215" s="62"/>
      <c r="L215" s="62"/>
      <c r="N215" s="63"/>
      <c r="S215" s="64"/>
      <c r="U215" s="61"/>
      <c r="V215" s="63"/>
    </row>
    <row r="216" ht="15.75" customHeight="1">
      <c r="J216" s="61"/>
      <c r="K216" s="62"/>
      <c r="L216" s="62"/>
      <c r="N216" s="63"/>
      <c r="S216" s="64"/>
      <c r="U216" s="61"/>
      <c r="V216" s="63"/>
    </row>
    <row r="217" ht="15.75" customHeight="1">
      <c r="J217" s="61"/>
      <c r="K217" s="62"/>
      <c r="L217" s="62"/>
      <c r="N217" s="63"/>
      <c r="S217" s="64"/>
      <c r="U217" s="61"/>
      <c r="V217" s="63"/>
    </row>
    <row r="218" ht="15.75" customHeight="1">
      <c r="J218" s="61"/>
      <c r="K218" s="62"/>
      <c r="L218" s="62"/>
      <c r="N218" s="63"/>
      <c r="S218" s="64"/>
      <c r="U218" s="61"/>
      <c r="V218" s="63"/>
    </row>
    <row r="219" ht="15.75" customHeight="1">
      <c r="J219" s="61"/>
      <c r="K219" s="62"/>
      <c r="L219" s="62"/>
      <c r="N219" s="63"/>
      <c r="S219" s="64"/>
      <c r="U219" s="61"/>
      <c r="V219" s="63"/>
    </row>
    <row r="220" ht="15.75" customHeight="1">
      <c r="J220" s="61"/>
      <c r="K220" s="62"/>
      <c r="L220" s="62"/>
      <c r="N220" s="63"/>
      <c r="S220" s="64"/>
      <c r="U220" s="61"/>
      <c r="V220" s="63"/>
    </row>
    <row r="221" ht="15.75" customHeight="1">
      <c r="J221" s="61"/>
      <c r="K221" s="62"/>
      <c r="L221" s="62"/>
      <c r="N221" s="63"/>
      <c r="S221" s="64"/>
      <c r="U221" s="61"/>
      <c r="V221" s="63"/>
    </row>
    <row r="222" ht="15.75" customHeight="1">
      <c r="J222" s="61"/>
      <c r="K222" s="62"/>
      <c r="L222" s="62"/>
      <c r="N222" s="63"/>
      <c r="S222" s="64"/>
      <c r="U222" s="61"/>
      <c r="V222" s="63"/>
    </row>
    <row r="223" ht="15.75" customHeight="1">
      <c r="J223" s="61"/>
      <c r="K223" s="62"/>
      <c r="L223" s="62"/>
      <c r="N223" s="63"/>
      <c r="S223" s="64"/>
      <c r="U223" s="61"/>
      <c r="V223" s="63"/>
    </row>
    <row r="224" ht="15.75" customHeight="1">
      <c r="J224" s="61"/>
      <c r="K224" s="62"/>
      <c r="L224" s="62"/>
      <c r="N224" s="63"/>
      <c r="S224" s="64"/>
      <c r="U224" s="61"/>
      <c r="V224" s="63"/>
    </row>
    <row r="225" ht="15.75" customHeight="1">
      <c r="J225" s="61"/>
      <c r="K225" s="62"/>
      <c r="L225" s="62"/>
      <c r="N225" s="63"/>
      <c r="S225" s="64"/>
      <c r="U225" s="61"/>
      <c r="V225" s="63"/>
    </row>
    <row r="226" ht="15.75" customHeight="1">
      <c r="J226" s="61"/>
      <c r="K226" s="62"/>
      <c r="L226" s="62"/>
      <c r="N226" s="63"/>
      <c r="S226" s="64"/>
      <c r="U226" s="61"/>
      <c r="V226" s="63"/>
    </row>
    <row r="227" ht="15.75" customHeight="1">
      <c r="J227" s="61"/>
      <c r="K227" s="62"/>
      <c r="L227" s="62"/>
      <c r="N227" s="63"/>
      <c r="S227" s="64"/>
      <c r="U227" s="61"/>
      <c r="V227" s="63"/>
    </row>
    <row r="228" ht="15.75" customHeight="1">
      <c r="J228" s="61"/>
      <c r="K228" s="62"/>
      <c r="L228" s="62"/>
      <c r="N228" s="63"/>
      <c r="S228" s="64"/>
      <c r="U228" s="61"/>
      <c r="V228" s="63"/>
    </row>
    <row r="229" ht="15.75" customHeight="1">
      <c r="J229" s="61"/>
      <c r="K229" s="62"/>
      <c r="L229" s="62"/>
      <c r="N229" s="63"/>
      <c r="S229" s="64"/>
      <c r="U229" s="61"/>
      <c r="V229" s="63"/>
    </row>
    <row r="230" ht="15.75" customHeight="1">
      <c r="J230" s="61"/>
      <c r="K230" s="62"/>
      <c r="L230" s="62"/>
      <c r="N230" s="63"/>
      <c r="S230" s="64"/>
      <c r="U230" s="61"/>
      <c r="V230" s="63"/>
    </row>
    <row r="231" ht="15.75" customHeight="1">
      <c r="J231" s="61"/>
      <c r="K231" s="62"/>
      <c r="L231" s="62"/>
      <c r="N231" s="63"/>
      <c r="S231" s="64"/>
      <c r="U231" s="61"/>
      <c r="V231" s="63"/>
    </row>
    <row r="232" ht="15.75" customHeight="1">
      <c r="J232" s="61"/>
      <c r="K232" s="62"/>
      <c r="L232" s="62"/>
      <c r="N232" s="63"/>
      <c r="S232" s="64"/>
      <c r="U232" s="61"/>
      <c r="V232" s="63"/>
    </row>
    <row r="233" ht="15.75" customHeight="1">
      <c r="J233" s="61"/>
      <c r="K233" s="62"/>
      <c r="L233" s="62"/>
      <c r="N233" s="63"/>
      <c r="S233" s="64"/>
      <c r="U233" s="61"/>
      <c r="V233" s="63"/>
    </row>
    <row r="234" ht="15.75" customHeight="1">
      <c r="J234" s="61"/>
      <c r="K234" s="62"/>
      <c r="L234" s="62"/>
      <c r="N234" s="63"/>
      <c r="S234" s="64"/>
      <c r="U234" s="61"/>
      <c r="V234" s="63"/>
    </row>
    <row r="235" ht="15.75" customHeight="1">
      <c r="J235" s="61"/>
      <c r="K235" s="62"/>
      <c r="L235" s="62"/>
      <c r="N235" s="63"/>
      <c r="S235" s="64"/>
      <c r="U235" s="61"/>
      <c r="V235" s="63"/>
    </row>
    <row r="236" ht="15.75" customHeight="1">
      <c r="J236" s="61"/>
      <c r="K236" s="62"/>
      <c r="L236" s="62"/>
      <c r="N236" s="63"/>
      <c r="S236" s="64"/>
      <c r="U236" s="61"/>
      <c r="V236" s="63"/>
    </row>
    <row r="237" ht="15.75" customHeight="1">
      <c r="J237" s="61"/>
      <c r="K237" s="62"/>
      <c r="L237" s="62"/>
      <c r="N237" s="63"/>
      <c r="S237" s="64"/>
      <c r="U237" s="61"/>
      <c r="V237" s="63"/>
    </row>
    <row r="238" ht="15.75" customHeight="1">
      <c r="J238" s="61"/>
      <c r="K238" s="62"/>
      <c r="L238" s="62"/>
      <c r="N238" s="63"/>
      <c r="S238" s="64"/>
      <c r="U238" s="61"/>
      <c r="V238" s="63"/>
    </row>
    <row r="239" ht="15.75" customHeight="1">
      <c r="J239" s="61"/>
      <c r="K239" s="62"/>
      <c r="L239" s="62"/>
      <c r="N239" s="63"/>
      <c r="S239" s="64"/>
      <c r="U239" s="61"/>
      <c r="V239" s="63"/>
    </row>
    <row r="240" ht="15.75" customHeight="1">
      <c r="J240" s="61"/>
      <c r="K240" s="62"/>
      <c r="L240" s="62"/>
      <c r="N240" s="63"/>
      <c r="S240" s="64"/>
      <c r="U240" s="61"/>
      <c r="V240" s="63"/>
    </row>
    <row r="241" ht="15.75" customHeight="1">
      <c r="J241" s="61"/>
      <c r="K241" s="62"/>
      <c r="L241" s="62"/>
      <c r="N241" s="63"/>
      <c r="S241" s="64"/>
      <c r="U241" s="61"/>
      <c r="V241" s="63"/>
    </row>
    <row r="242" ht="15.75" customHeight="1">
      <c r="J242" s="61"/>
      <c r="K242" s="62"/>
      <c r="L242" s="62"/>
      <c r="N242" s="63"/>
      <c r="S242" s="64"/>
      <c r="U242" s="61"/>
      <c r="V242" s="63"/>
    </row>
    <row r="243" ht="15.75" customHeight="1">
      <c r="J243" s="61"/>
      <c r="K243" s="62"/>
      <c r="L243" s="62"/>
      <c r="N243" s="63"/>
      <c r="S243" s="64"/>
      <c r="U243" s="61"/>
      <c r="V243" s="63"/>
    </row>
    <row r="244" ht="15.75" customHeight="1">
      <c r="J244" s="61"/>
      <c r="K244" s="62"/>
      <c r="L244" s="62"/>
      <c r="N244" s="63"/>
      <c r="S244" s="64"/>
      <c r="U244" s="61"/>
      <c r="V244" s="63"/>
    </row>
    <row r="245" ht="15.75" customHeight="1">
      <c r="J245" s="61"/>
      <c r="K245" s="62"/>
      <c r="L245" s="62"/>
      <c r="N245" s="63"/>
      <c r="S245" s="64"/>
      <c r="U245" s="61"/>
      <c r="V245" s="63"/>
    </row>
    <row r="246" ht="15.75" customHeight="1">
      <c r="J246" s="61"/>
      <c r="K246" s="62"/>
      <c r="L246" s="62"/>
      <c r="N246" s="63"/>
      <c r="S246" s="64"/>
      <c r="U246" s="61"/>
      <c r="V246" s="63"/>
    </row>
    <row r="247" ht="15.75" customHeight="1">
      <c r="J247" s="61"/>
      <c r="K247" s="62"/>
      <c r="L247" s="62"/>
      <c r="N247" s="63"/>
      <c r="S247" s="64"/>
      <c r="U247" s="61"/>
      <c r="V247" s="63"/>
    </row>
    <row r="248" ht="15.75" customHeight="1">
      <c r="J248" s="61"/>
      <c r="K248" s="62"/>
      <c r="L248" s="62"/>
      <c r="N248" s="63"/>
      <c r="S248" s="64"/>
      <c r="U248" s="61"/>
      <c r="V248" s="63"/>
    </row>
    <row r="249" ht="15.75" customHeight="1">
      <c r="J249" s="61"/>
      <c r="K249" s="62"/>
      <c r="L249" s="62"/>
      <c r="N249" s="63"/>
      <c r="S249" s="64"/>
      <c r="U249" s="61"/>
      <c r="V249" s="63"/>
    </row>
    <row r="250" ht="15.75" customHeight="1">
      <c r="J250" s="61"/>
      <c r="K250" s="62"/>
      <c r="L250" s="62"/>
      <c r="N250" s="63"/>
      <c r="S250" s="64"/>
      <c r="U250" s="61"/>
      <c r="V250" s="63"/>
    </row>
    <row r="251" ht="15.75" customHeight="1">
      <c r="J251" s="61"/>
      <c r="K251" s="62"/>
      <c r="L251" s="62"/>
      <c r="N251" s="63"/>
      <c r="S251" s="64"/>
      <c r="U251" s="61"/>
      <c r="V251" s="63"/>
    </row>
    <row r="252" ht="15.75" customHeight="1">
      <c r="J252" s="61"/>
      <c r="K252" s="62"/>
      <c r="L252" s="62"/>
      <c r="N252" s="63"/>
      <c r="S252" s="64"/>
      <c r="U252" s="61"/>
      <c r="V252" s="63"/>
    </row>
    <row r="253" ht="15.75" customHeight="1">
      <c r="J253" s="61"/>
      <c r="K253" s="62"/>
      <c r="L253" s="62"/>
      <c r="N253" s="63"/>
      <c r="S253" s="64"/>
      <c r="U253" s="61"/>
      <c r="V253" s="63"/>
    </row>
    <row r="254" ht="15.75" customHeight="1">
      <c r="J254" s="61"/>
      <c r="K254" s="62"/>
      <c r="L254" s="62"/>
      <c r="N254" s="63"/>
      <c r="S254" s="64"/>
      <c r="U254" s="61"/>
      <c r="V254" s="63"/>
    </row>
    <row r="255" ht="15.75" customHeight="1">
      <c r="J255" s="61"/>
      <c r="K255" s="62"/>
      <c r="L255" s="62"/>
      <c r="N255" s="63"/>
      <c r="S255" s="64"/>
      <c r="U255" s="61"/>
      <c r="V255" s="63"/>
    </row>
    <row r="256" ht="15.75" customHeight="1">
      <c r="J256" s="61"/>
      <c r="K256" s="62"/>
      <c r="L256" s="62"/>
      <c r="N256" s="63"/>
      <c r="S256" s="64"/>
      <c r="U256" s="61"/>
      <c r="V256" s="63"/>
    </row>
    <row r="257" ht="15.75" customHeight="1">
      <c r="J257" s="61"/>
      <c r="K257" s="62"/>
      <c r="L257" s="62"/>
      <c r="N257" s="63"/>
      <c r="S257" s="64"/>
      <c r="U257" s="61"/>
      <c r="V257" s="63"/>
    </row>
    <row r="258" ht="15.75" customHeight="1">
      <c r="J258" s="61"/>
      <c r="K258" s="62"/>
      <c r="L258" s="62"/>
      <c r="N258" s="63"/>
      <c r="S258" s="64"/>
      <c r="U258" s="61"/>
      <c r="V258" s="63"/>
    </row>
    <row r="259" ht="15.75" customHeight="1">
      <c r="J259" s="61"/>
      <c r="K259" s="62"/>
      <c r="L259" s="62"/>
      <c r="N259" s="63"/>
      <c r="S259" s="64"/>
      <c r="U259" s="61"/>
      <c r="V259" s="63"/>
    </row>
    <row r="260" ht="15.75" customHeight="1">
      <c r="J260" s="61"/>
      <c r="K260" s="62"/>
      <c r="L260" s="62"/>
      <c r="N260" s="63"/>
      <c r="S260" s="64"/>
      <c r="U260" s="61"/>
      <c r="V260" s="63"/>
    </row>
    <row r="261" ht="15.75" customHeight="1">
      <c r="J261" s="61"/>
      <c r="K261" s="62"/>
      <c r="L261" s="62"/>
      <c r="N261" s="63"/>
      <c r="S261" s="64"/>
      <c r="U261" s="61"/>
      <c r="V261" s="63"/>
    </row>
    <row r="262" ht="15.75" customHeight="1">
      <c r="J262" s="61"/>
      <c r="K262" s="62"/>
      <c r="L262" s="62"/>
      <c r="N262" s="63"/>
      <c r="S262" s="64"/>
      <c r="U262" s="61"/>
      <c r="V262" s="63"/>
    </row>
    <row r="263" ht="15.75" customHeight="1">
      <c r="J263" s="61"/>
      <c r="K263" s="62"/>
      <c r="L263" s="62"/>
      <c r="N263" s="63"/>
      <c r="S263" s="64"/>
      <c r="U263" s="61"/>
      <c r="V263" s="63"/>
    </row>
    <row r="264" ht="15.75" customHeight="1">
      <c r="J264" s="61"/>
      <c r="K264" s="62"/>
      <c r="L264" s="62"/>
      <c r="N264" s="63"/>
      <c r="S264" s="64"/>
      <c r="U264" s="61"/>
      <c r="V264" s="63"/>
    </row>
    <row r="265" ht="15.75" customHeight="1">
      <c r="J265" s="61"/>
      <c r="K265" s="62"/>
      <c r="L265" s="62"/>
      <c r="N265" s="63"/>
      <c r="S265" s="64"/>
      <c r="U265" s="61"/>
      <c r="V265" s="63"/>
    </row>
    <row r="266" ht="15.75" customHeight="1">
      <c r="J266" s="61"/>
      <c r="K266" s="62"/>
      <c r="L266" s="62"/>
      <c r="N266" s="63"/>
      <c r="S266" s="64"/>
      <c r="U266" s="61"/>
      <c r="V266" s="63"/>
    </row>
    <row r="267" ht="15.75" customHeight="1">
      <c r="J267" s="61"/>
      <c r="K267" s="62"/>
      <c r="L267" s="62"/>
      <c r="N267" s="63"/>
      <c r="S267" s="64"/>
      <c r="U267" s="61"/>
      <c r="V267" s="63"/>
    </row>
    <row r="268" ht="15.75" customHeight="1">
      <c r="J268" s="61"/>
      <c r="K268" s="62"/>
      <c r="L268" s="62"/>
      <c r="N268" s="63"/>
      <c r="S268" s="64"/>
      <c r="U268" s="61"/>
      <c r="V268" s="63"/>
    </row>
    <row r="269" ht="15.75" customHeight="1">
      <c r="J269" s="61"/>
      <c r="K269" s="62"/>
      <c r="L269" s="62"/>
      <c r="N269" s="63"/>
      <c r="S269" s="64"/>
      <c r="U269" s="61"/>
      <c r="V269" s="63"/>
    </row>
    <row r="270" ht="15.75" customHeight="1">
      <c r="J270" s="61"/>
      <c r="K270" s="62"/>
      <c r="L270" s="62"/>
      <c r="N270" s="63"/>
      <c r="S270" s="64"/>
      <c r="U270" s="61"/>
      <c r="V270" s="63"/>
    </row>
    <row r="271" ht="15.75" customHeight="1">
      <c r="J271" s="61"/>
      <c r="K271" s="62"/>
      <c r="L271" s="62"/>
      <c r="N271" s="63"/>
      <c r="S271" s="64"/>
      <c r="U271" s="61"/>
      <c r="V271" s="63"/>
    </row>
    <row r="272" ht="15.75" customHeight="1">
      <c r="J272" s="61"/>
      <c r="K272" s="62"/>
      <c r="L272" s="62"/>
      <c r="N272" s="63"/>
      <c r="S272" s="64"/>
      <c r="U272" s="61"/>
      <c r="V272" s="63"/>
    </row>
    <row r="273" ht="15.75" customHeight="1">
      <c r="J273" s="61"/>
      <c r="K273" s="62"/>
      <c r="L273" s="62"/>
      <c r="N273" s="63"/>
      <c r="S273" s="64"/>
      <c r="U273" s="61"/>
      <c r="V273" s="63"/>
    </row>
    <row r="274" ht="15.75" customHeight="1">
      <c r="J274" s="61"/>
      <c r="K274" s="62"/>
      <c r="L274" s="62"/>
      <c r="N274" s="63"/>
      <c r="S274" s="64"/>
      <c r="U274" s="61"/>
      <c r="V274" s="63"/>
    </row>
    <row r="275" ht="15.75" customHeight="1">
      <c r="J275" s="61"/>
      <c r="K275" s="62"/>
      <c r="L275" s="62"/>
      <c r="N275" s="63"/>
      <c r="S275" s="64"/>
      <c r="U275" s="61"/>
      <c r="V275" s="63"/>
    </row>
    <row r="276" ht="15.75" customHeight="1">
      <c r="J276" s="61"/>
      <c r="K276" s="62"/>
      <c r="L276" s="62"/>
      <c r="N276" s="63"/>
      <c r="S276" s="64"/>
      <c r="U276" s="61"/>
      <c r="V276" s="63"/>
    </row>
    <row r="277" ht="15.75" customHeight="1">
      <c r="J277" s="61"/>
      <c r="K277" s="62"/>
      <c r="L277" s="62"/>
      <c r="N277" s="63"/>
      <c r="S277" s="64"/>
      <c r="U277" s="61"/>
      <c r="V277" s="63"/>
    </row>
    <row r="278" ht="15.75" customHeight="1">
      <c r="J278" s="61"/>
      <c r="K278" s="62"/>
      <c r="L278" s="62"/>
      <c r="N278" s="63"/>
      <c r="S278" s="64"/>
      <c r="U278" s="61"/>
      <c r="V278" s="63"/>
    </row>
    <row r="279" ht="15.75" customHeight="1">
      <c r="J279" s="61"/>
      <c r="K279" s="62"/>
      <c r="L279" s="62"/>
      <c r="N279" s="63"/>
      <c r="S279" s="64"/>
      <c r="U279" s="61"/>
      <c r="V279" s="63"/>
    </row>
    <row r="280" ht="15.75" customHeight="1">
      <c r="J280" s="61"/>
      <c r="K280" s="62"/>
      <c r="L280" s="62"/>
      <c r="N280" s="63"/>
      <c r="S280" s="64"/>
      <c r="U280" s="61"/>
      <c r="V280" s="63"/>
    </row>
    <row r="281" ht="15.75" customHeight="1">
      <c r="J281" s="61"/>
      <c r="K281" s="62"/>
      <c r="L281" s="62"/>
      <c r="N281" s="63"/>
      <c r="S281" s="64"/>
      <c r="U281" s="61"/>
      <c r="V281" s="63"/>
    </row>
    <row r="282" ht="15.75" customHeight="1">
      <c r="J282" s="61"/>
      <c r="K282" s="62"/>
      <c r="L282" s="62"/>
      <c r="N282" s="63"/>
      <c r="S282" s="64"/>
      <c r="U282" s="61"/>
      <c r="V282" s="63"/>
    </row>
    <row r="283" ht="15.75" customHeight="1">
      <c r="J283" s="61"/>
      <c r="K283" s="62"/>
      <c r="L283" s="62"/>
      <c r="N283" s="63"/>
      <c r="S283" s="64"/>
      <c r="U283" s="61"/>
      <c r="V283" s="63"/>
    </row>
    <row r="284" ht="15.75" customHeight="1">
      <c r="J284" s="61"/>
      <c r="K284" s="62"/>
      <c r="L284" s="62"/>
      <c r="N284" s="63"/>
      <c r="S284" s="64"/>
      <c r="U284" s="61"/>
      <c r="V284" s="63"/>
    </row>
    <row r="285" ht="15.75" customHeight="1">
      <c r="J285" s="61"/>
      <c r="K285" s="62"/>
      <c r="L285" s="62"/>
      <c r="N285" s="63"/>
      <c r="S285" s="64"/>
      <c r="U285" s="61"/>
      <c r="V285" s="63"/>
    </row>
    <row r="286" ht="15.75" customHeight="1">
      <c r="J286" s="61"/>
      <c r="K286" s="62"/>
      <c r="L286" s="62"/>
      <c r="N286" s="63"/>
      <c r="S286" s="64"/>
      <c r="U286" s="61"/>
      <c r="V286" s="63"/>
    </row>
    <row r="287" ht="15.75" customHeight="1">
      <c r="J287" s="61"/>
      <c r="K287" s="62"/>
      <c r="L287" s="62"/>
      <c r="N287" s="63"/>
      <c r="S287" s="64"/>
      <c r="U287" s="61"/>
      <c r="V287" s="63"/>
    </row>
    <row r="288" ht="15.75" customHeight="1">
      <c r="J288" s="61"/>
      <c r="K288" s="62"/>
      <c r="L288" s="62"/>
      <c r="N288" s="63"/>
      <c r="S288" s="64"/>
      <c r="U288" s="61"/>
      <c r="V288" s="63"/>
    </row>
    <row r="289" ht="15.75" customHeight="1">
      <c r="J289" s="61"/>
      <c r="K289" s="62"/>
      <c r="L289" s="62"/>
      <c r="N289" s="63"/>
      <c r="S289" s="64"/>
      <c r="U289" s="61"/>
      <c r="V289" s="63"/>
    </row>
    <row r="290" ht="15.75" customHeight="1">
      <c r="J290" s="61"/>
      <c r="K290" s="62"/>
      <c r="L290" s="62"/>
      <c r="N290" s="63"/>
      <c r="S290" s="64"/>
      <c r="U290" s="61"/>
      <c r="V290" s="63"/>
    </row>
    <row r="291" ht="15.75" customHeight="1">
      <c r="J291" s="61"/>
      <c r="K291" s="62"/>
      <c r="L291" s="62"/>
      <c r="N291" s="63"/>
      <c r="S291" s="64"/>
      <c r="U291" s="61"/>
      <c r="V291" s="63"/>
    </row>
    <row r="292" ht="15.75" customHeight="1">
      <c r="J292" s="61"/>
      <c r="K292" s="62"/>
      <c r="L292" s="62"/>
      <c r="N292" s="63"/>
      <c r="S292" s="64"/>
      <c r="U292" s="61"/>
      <c r="V292" s="63"/>
    </row>
    <row r="293" ht="15.75" customHeight="1">
      <c r="J293" s="61"/>
      <c r="K293" s="62"/>
      <c r="L293" s="62"/>
      <c r="N293" s="63"/>
      <c r="S293" s="64"/>
      <c r="U293" s="61"/>
      <c r="V293" s="63"/>
    </row>
    <row r="294" ht="15.75" customHeight="1">
      <c r="J294" s="61"/>
      <c r="K294" s="62"/>
      <c r="L294" s="62"/>
      <c r="N294" s="63"/>
      <c r="S294" s="64"/>
      <c r="U294" s="61"/>
      <c r="V294" s="63"/>
    </row>
    <row r="295" ht="15.75" customHeight="1">
      <c r="J295" s="61"/>
      <c r="K295" s="62"/>
      <c r="L295" s="62"/>
      <c r="N295" s="63"/>
      <c r="S295" s="64"/>
      <c r="U295" s="61"/>
      <c r="V295" s="63"/>
    </row>
    <row r="296" ht="15.75" customHeight="1">
      <c r="J296" s="61"/>
      <c r="K296" s="62"/>
      <c r="L296" s="62"/>
      <c r="N296" s="63"/>
      <c r="S296" s="64"/>
      <c r="U296" s="61"/>
      <c r="V296" s="63"/>
    </row>
    <row r="297" ht="15.75" customHeight="1">
      <c r="J297" s="61"/>
      <c r="K297" s="62"/>
      <c r="L297" s="62"/>
      <c r="N297" s="63"/>
      <c r="S297" s="64"/>
      <c r="U297" s="61"/>
      <c r="V297" s="63"/>
    </row>
    <row r="298" ht="15.75" customHeight="1">
      <c r="J298" s="61"/>
      <c r="K298" s="62"/>
      <c r="L298" s="62"/>
      <c r="N298" s="63"/>
      <c r="S298" s="64"/>
      <c r="U298" s="61"/>
      <c r="V298" s="63"/>
    </row>
    <row r="299" ht="15.75" customHeight="1">
      <c r="J299" s="61"/>
      <c r="K299" s="62"/>
      <c r="L299" s="62"/>
      <c r="N299" s="63"/>
      <c r="S299" s="64"/>
      <c r="U299" s="61"/>
      <c r="V299" s="63"/>
    </row>
    <row r="300" ht="15.75" customHeight="1">
      <c r="J300" s="61"/>
      <c r="K300" s="62"/>
      <c r="L300" s="62"/>
      <c r="N300" s="63"/>
      <c r="S300" s="64"/>
      <c r="U300" s="61"/>
      <c r="V300" s="63"/>
    </row>
    <row r="301" ht="15.75" customHeight="1">
      <c r="J301" s="61"/>
      <c r="K301" s="62"/>
      <c r="L301" s="62"/>
      <c r="N301" s="63"/>
      <c r="S301" s="64"/>
      <c r="U301" s="61"/>
      <c r="V301" s="63"/>
    </row>
    <row r="302" ht="15.75" customHeight="1">
      <c r="J302" s="61"/>
      <c r="K302" s="62"/>
      <c r="L302" s="62"/>
      <c r="N302" s="63"/>
      <c r="S302" s="64"/>
      <c r="U302" s="61"/>
      <c r="V302" s="63"/>
    </row>
    <row r="303" ht="15.75" customHeight="1">
      <c r="J303" s="61"/>
      <c r="K303" s="62"/>
      <c r="L303" s="62"/>
      <c r="N303" s="63"/>
      <c r="S303" s="64"/>
      <c r="U303" s="61"/>
      <c r="V303" s="63"/>
    </row>
    <row r="304" ht="15.75" customHeight="1">
      <c r="J304" s="61"/>
      <c r="K304" s="62"/>
      <c r="L304" s="62"/>
      <c r="N304" s="63"/>
      <c r="S304" s="64"/>
      <c r="U304" s="61"/>
      <c r="V304" s="63"/>
    </row>
    <row r="305" ht="15.75" customHeight="1">
      <c r="J305" s="61"/>
      <c r="K305" s="62"/>
      <c r="L305" s="62"/>
      <c r="N305" s="63"/>
      <c r="S305" s="64"/>
      <c r="U305" s="61"/>
      <c r="V305" s="63"/>
    </row>
    <row r="306" ht="15.75" customHeight="1">
      <c r="J306" s="61"/>
      <c r="K306" s="62"/>
      <c r="L306" s="62"/>
      <c r="N306" s="63"/>
      <c r="S306" s="64"/>
      <c r="U306" s="61"/>
      <c r="V306" s="63"/>
    </row>
    <row r="307" ht="15.75" customHeight="1">
      <c r="J307" s="61"/>
      <c r="K307" s="62"/>
      <c r="L307" s="62"/>
      <c r="N307" s="63"/>
      <c r="S307" s="64"/>
      <c r="U307" s="61"/>
      <c r="V307" s="63"/>
    </row>
    <row r="308" ht="15.75" customHeight="1">
      <c r="J308" s="61"/>
      <c r="K308" s="62"/>
      <c r="L308" s="62"/>
      <c r="N308" s="63"/>
      <c r="S308" s="64"/>
      <c r="U308" s="61"/>
      <c r="V308" s="63"/>
    </row>
    <row r="309" ht="15.75" customHeight="1">
      <c r="J309" s="61"/>
      <c r="K309" s="62"/>
      <c r="L309" s="62"/>
      <c r="N309" s="63"/>
      <c r="S309" s="64"/>
      <c r="U309" s="61"/>
      <c r="V309" s="63"/>
    </row>
    <row r="310" ht="15.75" customHeight="1">
      <c r="J310" s="61"/>
      <c r="K310" s="62"/>
      <c r="L310" s="62"/>
      <c r="N310" s="63"/>
      <c r="S310" s="64"/>
      <c r="U310" s="61"/>
      <c r="V310" s="63"/>
    </row>
    <row r="311" ht="15.75" customHeight="1">
      <c r="J311" s="61"/>
      <c r="K311" s="62"/>
      <c r="L311" s="62"/>
      <c r="N311" s="63"/>
      <c r="S311" s="64"/>
      <c r="U311" s="61"/>
      <c r="V311" s="63"/>
    </row>
    <row r="312" ht="15.75" customHeight="1">
      <c r="J312" s="61"/>
      <c r="K312" s="62"/>
      <c r="L312" s="62"/>
      <c r="N312" s="63"/>
      <c r="S312" s="64"/>
      <c r="U312" s="61"/>
      <c r="V312" s="63"/>
    </row>
    <row r="313" ht="15.75" customHeight="1">
      <c r="J313" s="61"/>
      <c r="K313" s="62"/>
      <c r="L313" s="62"/>
      <c r="N313" s="63"/>
      <c r="S313" s="64"/>
      <c r="U313" s="61"/>
      <c r="V313" s="63"/>
    </row>
    <row r="314" ht="15.75" customHeight="1">
      <c r="J314" s="61"/>
      <c r="K314" s="62"/>
      <c r="L314" s="62"/>
      <c r="N314" s="63"/>
      <c r="S314" s="64"/>
      <c r="U314" s="61"/>
      <c r="V314" s="63"/>
    </row>
    <row r="315" ht="15.75" customHeight="1">
      <c r="J315" s="61"/>
      <c r="K315" s="62"/>
      <c r="L315" s="62"/>
      <c r="N315" s="63"/>
      <c r="S315" s="64"/>
      <c r="U315" s="61"/>
      <c r="V315" s="63"/>
    </row>
    <row r="316" ht="15.75" customHeight="1">
      <c r="J316" s="61"/>
      <c r="K316" s="62"/>
      <c r="L316" s="62"/>
      <c r="N316" s="63"/>
      <c r="S316" s="64"/>
      <c r="U316" s="61"/>
      <c r="V316" s="63"/>
    </row>
    <row r="317" ht="15.75" customHeight="1">
      <c r="J317" s="61"/>
      <c r="K317" s="62"/>
      <c r="L317" s="62"/>
      <c r="N317" s="63"/>
      <c r="S317" s="64"/>
      <c r="U317" s="61"/>
      <c r="V317" s="63"/>
    </row>
    <row r="318" ht="15.75" customHeight="1">
      <c r="J318" s="61"/>
      <c r="K318" s="62"/>
      <c r="L318" s="62"/>
      <c r="N318" s="63"/>
      <c r="S318" s="64"/>
      <c r="U318" s="61"/>
      <c r="V318" s="63"/>
    </row>
    <row r="319" ht="15.75" customHeight="1">
      <c r="J319" s="61"/>
      <c r="K319" s="62"/>
      <c r="L319" s="62"/>
      <c r="N319" s="63"/>
      <c r="S319" s="64"/>
      <c r="U319" s="61"/>
      <c r="V319" s="63"/>
    </row>
    <row r="320" ht="15.75" customHeight="1">
      <c r="J320" s="61"/>
      <c r="K320" s="62"/>
      <c r="L320" s="62"/>
      <c r="N320" s="63"/>
      <c r="S320" s="64"/>
      <c r="U320" s="61"/>
      <c r="V320" s="63"/>
    </row>
    <row r="321" ht="15.75" customHeight="1">
      <c r="J321" s="61"/>
      <c r="K321" s="62"/>
      <c r="L321" s="62"/>
      <c r="N321" s="63"/>
      <c r="S321" s="64"/>
      <c r="U321" s="61"/>
      <c r="V321" s="63"/>
    </row>
    <row r="322" ht="15.75" customHeight="1">
      <c r="J322" s="61"/>
      <c r="K322" s="62"/>
      <c r="L322" s="62"/>
      <c r="N322" s="63"/>
      <c r="S322" s="64"/>
      <c r="U322" s="61"/>
      <c r="V322" s="63"/>
    </row>
    <row r="323" ht="15.75" customHeight="1">
      <c r="J323" s="61"/>
      <c r="K323" s="62"/>
      <c r="L323" s="62"/>
      <c r="N323" s="63"/>
      <c r="S323" s="64"/>
      <c r="U323" s="61"/>
      <c r="V323" s="63"/>
    </row>
    <row r="324" ht="15.75" customHeight="1">
      <c r="J324" s="61"/>
      <c r="K324" s="62"/>
      <c r="L324" s="62"/>
      <c r="N324" s="63"/>
      <c r="S324" s="64"/>
      <c r="U324" s="61"/>
      <c r="V324" s="63"/>
    </row>
    <row r="325" ht="15.75" customHeight="1">
      <c r="J325" s="61"/>
      <c r="K325" s="62"/>
      <c r="L325" s="62"/>
      <c r="N325" s="63"/>
      <c r="S325" s="64"/>
      <c r="U325" s="61"/>
      <c r="V325" s="63"/>
    </row>
    <row r="326" ht="15.75" customHeight="1">
      <c r="J326" s="61"/>
      <c r="K326" s="62"/>
      <c r="L326" s="62"/>
      <c r="N326" s="63"/>
      <c r="S326" s="64"/>
      <c r="U326" s="61"/>
      <c r="V326" s="63"/>
    </row>
    <row r="327" ht="15.75" customHeight="1">
      <c r="J327" s="61"/>
      <c r="K327" s="62"/>
      <c r="L327" s="62"/>
      <c r="N327" s="63"/>
      <c r="S327" s="64"/>
      <c r="U327" s="61"/>
      <c r="V327" s="63"/>
    </row>
    <row r="328" ht="15.75" customHeight="1">
      <c r="J328" s="61"/>
      <c r="K328" s="62"/>
      <c r="L328" s="62"/>
      <c r="N328" s="63"/>
      <c r="S328" s="64"/>
      <c r="U328" s="61"/>
      <c r="V328" s="63"/>
    </row>
    <row r="329" ht="15.75" customHeight="1">
      <c r="J329" s="61"/>
      <c r="K329" s="62"/>
      <c r="L329" s="62"/>
      <c r="N329" s="63"/>
      <c r="S329" s="64"/>
      <c r="U329" s="61"/>
      <c r="V329" s="63"/>
    </row>
    <row r="330" ht="15.75" customHeight="1">
      <c r="J330" s="61"/>
      <c r="K330" s="62"/>
      <c r="L330" s="62"/>
      <c r="N330" s="63"/>
      <c r="S330" s="64"/>
      <c r="U330" s="61"/>
      <c r="V330" s="63"/>
    </row>
    <row r="331" ht="15.75" customHeight="1">
      <c r="J331" s="61"/>
      <c r="K331" s="62"/>
      <c r="L331" s="62"/>
      <c r="N331" s="63"/>
      <c r="S331" s="64"/>
      <c r="U331" s="61"/>
      <c r="V331" s="63"/>
    </row>
    <row r="332" ht="15.75" customHeight="1">
      <c r="J332" s="61"/>
      <c r="K332" s="62"/>
      <c r="L332" s="62"/>
      <c r="N332" s="63"/>
      <c r="S332" s="64"/>
      <c r="U332" s="61"/>
      <c r="V332" s="63"/>
    </row>
    <row r="333" ht="15.75" customHeight="1">
      <c r="J333" s="61"/>
      <c r="K333" s="62"/>
      <c r="L333" s="62"/>
      <c r="N333" s="63"/>
      <c r="S333" s="64"/>
      <c r="U333" s="61"/>
      <c r="V333" s="63"/>
    </row>
    <row r="334" ht="15.75" customHeight="1">
      <c r="J334" s="61"/>
      <c r="K334" s="62"/>
      <c r="L334" s="62"/>
      <c r="N334" s="63"/>
      <c r="S334" s="64"/>
      <c r="U334" s="61"/>
      <c r="V334" s="63"/>
    </row>
    <row r="335" ht="15.75" customHeight="1">
      <c r="J335" s="61"/>
      <c r="K335" s="62"/>
      <c r="L335" s="62"/>
      <c r="N335" s="63"/>
      <c r="S335" s="64"/>
      <c r="U335" s="61"/>
      <c r="V335" s="63"/>
    </row>
    <row r="336" ht="15.75" customHeight="1">
      <c r="J336" s="61"/>
      <c r="K336" s="62"/>
      <c r="L336" s="62"/>
      <c r="N336" s="63"/>
      <c r="S336" s="64"/>
      <c r="U336" s="61"/>
      <c r="V336" s="63"/>
    </row>
    <row r="337" ht="15.75" customHeight="1">
      <c r="J337" s="61"/>
      <c r="K337" s="62"/>
      <c r="L337" s="62"/>
      <c r="N337" s="63"/>
      <c r="S337" s="64"/>
      <c r="U337" s="61"/>
      <c r="V337" s="63"/>
    </row>
    <row r="338" ht="15.75" customHeight="1">
      <c r="J338" s="61"/>
      <c r="K338" s="62"/>
      <c r="L338" s="62"/>
      <c r="N338" s="63"/>
      <c r="S338" s="64"/>
      <c r="U338" s="61"/>
      <c r="V338" s="63"/>
    </row>
    <row r="339" ht="15.75" customHeight="1">
      <c r="J339" s="61"/>
      <c r="K339" s="62"/>
      <c r="L339" s="62"/>
      <c r="N339" s="63"/>
      <c r="S339" s="64"/>
      <c r="U339" s="61"/>
      <c r="V339" s="63"/>
    </row>
    <row r="340" ht="15.75" customHeight="1">
      <c r="J340" s="61"/>
      <c r="K340" s="62"/>
      <c r="L340" s="62"/>
      <c r="N340" s="63"/>
      <c r="S340" s="64"/>
      <c r="U340" s="61"/>
      <c r="V340" s="63"/>
    </row>
    <row r="341" ht="15.75" customHeight="1">
      <c r="J341" s="61"/>
      <c r="K341" s="62"/>
      <c r="L341" s="62"/>
      <c r="N341" s="63"/>
      <c r="S341" s="64"/>
      <c r="U341" s="61"/>
      <c r="V341" s="63"/>
    </row>
    <row r="342" ht="15.75" customHeight="1">
      <c r="J342" s="61"/>
      <c r="K342" s="62"/>
      <c r="L342" s="62"/>
      <c r="N342" s="63"/>
      <c r="S342" s="64"/>
      <c r="U342" s="61"/>
      <c r="V342" s="63"/>
    </row>
    <row r="343" ht="15.75" customHeight="1">
      <c r="J343" s="61"/>
      <c r="K343" s="62"/>
      <c r="L343" s="62"/>
      <c r="N343" s="63"/>
      <c r="S343" s="64"/>
      <c r="U343" s="61"/>
      <c r="V343" s="63"/>
    </row>
    <row r="344" ht="15.75" customHeight="1">
      <c r="J344" s="61"/>
      <c r="K344" s="62"/>
      <c r="L344" s="62"/>
      <c r="N344" s="63"/>
      <c r="S344" s="64"/>
      <c r="U344" s="61"/>
      <c r="V344" s="63"/>
    </row>
    <row r="345" ht="15.75" customHeight="1">
      <c r="J345" s="61"/>
      <c r="K345" s="62"/>
      <c r="L345" s="62"/>
      <c r="N345" s="63"/>
      <c r="S345" s="64"/>
      <c r="U345" s="61"/>
      <c r="V345" s="63"/>
    </row>
    <row r="346" ht="15.75" customHeight="1">
      <c r="J346" s="61"/>
      <c r="K346" s="62"/>
      <c r="L346" s="62"/>
      <c r="N346" s="63"/>
      <c r="S346" s="64"/>
      <c r="U346" s="61"/>
      <c r="V346" s="63"/>
    </row>
    <row r="347" ht="15.75" customHeight="1">
      <c r="J347" s="61"/>
      <c r="K347" s="62"/>
      <c r="L347" s="62"/>
      <c r="N347" s="63"/>
      <c r="S347" s="64"/>
      <c r="U347" s="61"/>
      <c r="V347" s="63"/>
    </row>
    <row r="348" ht="15.75" customHeight="1">
      <c r="J348" s="61"/>
      <c r="K348" s="62"/>
      <c r="L348" s="62"/>
      <c r="N348" s="63"/>
      <c r="S348" s="64"/>
      <c r="U348" s="61"/>
      <c r="V348" s="63"/>
    </row>
    <row r="349" ht="15.75" customHeight="1">
      <c r="J349" s="61"/>
      <c r="K349" s="62"/>
      <c r="L349" s="62"/>
      <c r="N349" s="63"/>
      <c r="S349" s="64"/>
      <c r="U349" s="61"/>
      <c r="V349" s="63"/>
    </row>
    <row r="350" ht="15.75" customHeight="1">
      <c r="J350" s="61"/>
      <c r="K350" s="62"/>
      <c r="L350" s="62"/>
      <c r="N350" s="63"/>
      <c r="S350" s="64"/>
      <c r="U350" s="61"/>
      <c r="V350" s="63"/>
    </row>
    <row r="351" ht="15.75" customHeight="1">
      <c r="J351" s="61"/>
      <c r="K351" s="62"/>
      <c r="L351" s="62"/>
      <c r="N351" s="63"/>
      <c r="S351" s="64"/>
      <c r="U351" s="61"/>
      <c r="V351" s="63"/>
    </row>
    <row r="352" ht="15.75" customHeight="1">
      <c r="J352" s="61"/>
      <c r="K352" s="62"/>
      <c r="L352" s="62"/>
      <c r="N352" s="63"/>
      <c r="S352" s="64"/>
      <c r="U352" s="61"/>
      <c r="V352" s="63"/>
    </row>
    <row r="353" ht="15.75" customHeight="1">
      <c r="J353" s="61"/>
      <c r="K353" s="62"/>
      <c r="L353" s="62"/>
      <c r="N353" s="63"/>
      <c r="S353" s="64"/>
      <c r="U353" s="61"/>
      <c r="V353" s="63"/>
    </row>
    <row r="354" ht="15.75" customHeight="1">
      <c r="J354" s="61"/>
      <c r="K354" s="62"/>
      <c r="L354" s="62"/>
      <c r="N354" s="63"/>
      <c r="S354" s="64"/>
      <c r="U354" s="61"/>
      <c r="V354" s="63"/>
    </row>
    <row r="355" ht="15.75" customHeight="1">
      <c r="J355" s="61"/>
      <c r="K355" s="62"/>
      <c r="L355" s="62"/>
      <c r="N355" s="63"/>
      <c r="S355" s="64"/>
      <c r="U355" s="61"/>
      <c r="V355" s="63"/>
    </row>
    <row r="356" ht="15.75" customHeight="1">
      <c r="J356" s="61"/>
      <c r="K356" s="62"/>
      <c r="L356" s="62"/>
      <c r="N356" s="63"/>
      <c r="S356" s="64"/>
      <c r="U356" s="61"/>
      <c r="V356" s="63"/>
    </row>
    <row r="357" ht="15.75" customHeight="1">
      <c r="J357" s="61"/>
      <c r="K357" s="62"/>
      <c r="L357" s="62"/>
      <c r="N357" s="63"/>
      <c r="S357" s="64"/>
      <c r="U357" s="61"/>
      <c r="V357" s="63"/>
    </row>
    <row r="358" ht="15.75" customHeight="1">
      <c r="J358" s="61"/>
      <c r="K358" s="62"/>
      <c r="L358" s="62"/>
      <c r="N358" s="63"/>
      <c r="S358" s="64"/>
      <c r="U358" s="61"/>
      <c r="V358" s="63"/>
    </row>
    <row r="359" ht="15.75" customHeight="1">
      <c r="J359" s="61"/>
      <c r="K359" s="62"/>
      <c r="L359" s="62"/>
      <c r="N359" s="63"/>
      <c r="S359" s="64"/>
      <c r="U359" s="61"/>
      <c r="V359" s="63"/>
    </row>
    <row r="360" ht="15.75" customHeight="1">
      <c r="J360" s="61"/>
      <c r="K360" s="62"/>
      <c r="L360" s="62"/>
      <c r="N360" s="63"/>
      <c r="S360" s="64"/>
      <c r="U360" s="61"/>
      <c r="V360" s="63"/>
    </row>
    <row r="361" ht="15.75" customHeight="1">
      <c r="J361" s="61"/>
      <c r="K361" s="62"/>
      <c r="L361" s="62"/>
      <c r="N361" s="63"/>
      <c r="S361" s="64"/>
      <c r="U361" s="61"/>
      <c r="V361" s="63"/>
    </row>
    <row r="362" ht="15.75" customHeight="1">
      <c r="J362" s="61"/>
      <c r="K362" s="62"/>
      <c r="L362" s="62"/>
      <c r="N362" s="63"/>
      <c r="S362" s="64"/>
      <c r="U362" s="61"/>
      <c r="V362" s="63"/>
    </row>
    <row r="363" ht="15.75" customHeight="1">
      <c r="J363" s="61"/>
      <c r="K363" s="62"/>
      <c r="L363" s="62"/>
      <c r="N363" s="63"/>
      <c r="S363" s="64"/>
      <c r="U363" s="61"/>
      <c r="V363" s="63"/>
    </row>
    <row r="364" ht="15.75" customHeight="1">
      <c r="J364" s="61"/>
      <c r="K364" s="62"/>
      <c r="L364" s="62"/>
      <c r="N364" s="63"/>
      <c r="S364" s="64"/>
      <c r="U364" s="61"/>
      <c r="V364" s="63"/>
    </row>
    <row r="365" ht="15.75" customHeight="1">
      <c r="J365" s="61"/>
      <c r="K365" s="62"/>
      <c r="L365" s="62"/>
      <c r="N365" s="63"/>
      <c r="S365" s="64"/>
      <c r="U365" s="61"/>
      <c r="V365" s="63"/>
    </row>
    <row r="366" ht="15.75" customHeight="1">
      <c r="J366" s="61"/>
      <c r="K366" s="62"/>
      <c r="L366" s="62"/>
      <c r="N366" s="63"/>
      <c r="S366" s="64"/>
      <c r="U366" s="61"/>
      <c r="V366" s="63"/>
    </row>
    <row r="367" ht="15.75" customHeight="1">
      <c r="J367" s="61"/>
      <c r="K367" s="62"/>
      <c r="L367" s="62"/>
      <c r="N367" s="63"/>
      <c r="S367" s="64"/>
      <c r="U367" s="61"/>
      <c r="V367" s="63"/>
    </row>
    <row r="368" ht="15.75" customHeight="1">
      <c r="J368" s="61"/>
      <c r="K368" s="62"/>
      <c r="L368" s="62"/>
      <c r="N368" s="63"/>
      <c r="S368" s="64"/>
      <c r="U368" s="61"/>
      <c r="V368" s="63"/>
    </row>
    <row r="369" ht="15.75" customHeight="1">
      <c r="J369" s="61"/>
      <c r="K369" s="62"/>
      <c r="L369" s="62"/>
      <c r="N369" s="63"/>
      <c r="S369" s="64"/>
      <c r="U369" s="61"/>
      <c r="V369" s="63"/>
    </row>
    <row r="370" ht="15.75" customHeight="1">
      <c r="J370" s="61"/>
      <c r="K370" s="62"/>
      <c r="L370" s="62"/>
      <c r="N370" s="63"/>
      <c r="S370" s="64"/>
      <c r="U370" s="61"/>
      <c r="V370" s="63"/>
    </row>
    <row r="371" ht="15.75" customHeight="1">
      <c r="J371" s="61"/>
      <c r="K371" s="62"/>
      <c r="L371" s="62"/>
      <c r="N371" s="63"/>
      <c r="S371" s="64"/>
      <c r="U371" s="61"/>
      <c r="V371" s="63"/>
    </row>
    <row r="372" ht="15.75" customHeight="1">
      <c r="J372" s="61"/>
      <c r="K372" s="62"/>
      <c r="L372" s="62"/>
      <c r="N372" s="63"/>
      <c r="S372" s="64"/>
      <c r="U372" s="61"/>
      <c r="V372" s="63"/>
    </row>
    <row r="373" ht="15.75" customHeight="1">
      <c r="J373" s="61"/>
      <c r="K373" s="62"/>
      <c r="L373" s="62"/>
      <c r="N373" s="63"/>
      <c r="S373" s="64"/>
      <c r="U373" s="61"/>
      <c r="V373" s="63"/>
    </row>
    <row r="374" ht="15.75" customHeight="1">
      <c r="J374" s="61"/>
      <c r="K374" s="62"/>
      <c r="L374" s="62"/>
      <c r="N374" s="63"/>
      <c r="S374" s="64"/>
      <c r="U374" s="61"/>
      <c r="V374" s="63"/>
    </row>
    <row r="375" ht="15.75" customHeight="1">
      <c r="J375" s="61"/>
      <c r="K375" s="62"/>
      <c r="L375" s="62"/>
      <c r="N375" s="63"/>
      <c r="S375" s="64"/>
      <c r="U375" s="61"/>
      <c r="V375" s="63"/>
    </row>
    <row r="376" ht="15.75" customHeight="1">
      <c r="J376" s="61"/>
      <c r="K376" s="62"/>
      <c r="L376" s="62"/>
      <c r="N376" s="63"/>
      <c r="S376" s="64"/>
      <c r="U376" s="61"/>
      <c r="V376" s="63"/>
    </row>
    <row r="377" ht="15.75" customHeight="1">
      <c r="J377" s="61"/>
      <c r="K377" s="62"/>
      <c r="L377" s="62"/>
      <c r="N377" s="63"/>
      <c r="S377" s="64"/>
      <c r="U377" s="61"/>
      <c r="V377" s="63"/>
    </row>
    <row r="378" ht="15.75" customHeight="1">
      <c r="J378" s="61"/>
      <c r="K378" s="62"/>
      <c r="L378" s="62"/>
      <c r="N378" s="63"/>
      <c r="S378" s="64"/>
      <c r="U378" s="61"/>
      <c r="V378" s="63"/>
    </row>
    <row r="379" ht="15.75" customHeight="1">
      <c r="J379" s="61"/>
      <c r="K379" s="62"/>
      <c r="L379" s="62"/>
      <c r="N379" s="63"/>
      <c r="S379" s="64"/>
      <c r="U379" s="61"/>
      <c r="V379" s="63"/>
    </row>
    <row r="380" ht="15.75" customHeight="1">
      <c r="J380" s="61"/>
      <c r="K380" s="62"/>
      <c r="L380" s="62"/>
      <c r="N380" s="63"/>
      <c r="S380" s="64"/>
      <c r="U380" s="61"/>
      <c r="V380" s="63"/>
    </row>
    <row r="381" ht="15.75" customHeight="1">
      <c r="J381" s="61"/>
      <c r="K381" s="62"/>
      <c r="L381" s="62"/>
      <c r="N381" s="63"/>
      <c r="S381" s="64"/>
      <c r="U381" s="61"/>
      <c r="V381" s="63"/>
    </row>
    <row r="382" ht="15.75" customHeight="1">
      <c r="J382" s="61"/>
      <c r="K382" s="62"/>
      <c r="L382" s="62"/>
      <c r="N382" s="63"/>
      <c r="S382" s="64"/>
      <c r="U382" s="61"/>
      <c r="V382" s="63"/>
    </row>
    <row r="383" ht="15.75" customHeight="1">
      <c r="J383" s="61"/>
      <c r="K383" s="62"/>
      <c r="L383" s="62"/>
      <c r="N383" s="63"/>
      <c r="S383" s="64"/>
      <c r="U383" s="61"/>
      <c r="V383" s="63"/>
    </row>
    <row r="384" ht="15.75" customHeight="1">
      <c r="J384" s="61"/>
      <c r="K384" s="62"/>
      <c r="L384" s="62"/>
      <c r="N384" s="63"/>
      <c r="S384" s="64"/>
      <c r="U384" s="61"/>
      <c r="V384" s="63"/>
    </row>
    <row r="385" ht="15.75" customHeight="1">
      <c r="J385" s="61"/>
      <c r="K385" s="62"/>
      <c r="L385" s="62"/>
      <c r="N385" s="63"/>
      <c r="S385" s="64"/>
      <c r="U385" s="61"/>
      <c r="V385" s="63"/>
    </row>
    <row r="386" ht="15.75" customHeight="1">
      <c r="J386" s="61"/>
      <c r="K386" s="62"/>
      <c r="L386" s="62"/>
      <c r="N386" s="63"/>
      <c r="S386" s="64"/>
      <c r="U386" s="61"/>
      <c r="V386" s="63"/>
    </row>
    <row r="387" ht="15.75" customHeight="1">
      <c r="J387" s="61"/>
      <c r="K387" s="62"/>
      <c r="L387" s="62"/>
      <c r="N387" s="63"/>
      <c r="S387" s="64"/>
      <c r="U387" s="61"/>
      <c r="V387" s="63"/>
    </row>
    <row r="388" ht="15.75" customHeight="1">
      <c r="J388" s="61"/>
      <c r="K388" s="62"/>
      <c r="L388" s="62"/>
      <c r="N388" s="63"/>
      <c r="S388" s="64"/>
      <c r="U388" s="61"/>
      <c r="V388" s="63"/>
    </row>
    <row r="389" ht="15.75" customHeight="1">
      <c r="J389" s="61"/>
      <c r="K389" s="62"/>
      <c r="L389" s="62"/>
      <c r="N389" s="63"/>
      <c r="S389" s="64"/>
      <c r="U389" s="61"/>
      <c r="V389" s="63"/>
    </row>
    <row r="390" ht="15.75" customHeight="1">
      <c r="J390" s="61"/>
      <c r="K390" s="62"/>
      <c r="L390" s="62"/>
      <c r="N390" s="63"/>
      <c r="S390" s="64"/>
      <c r="U390" s="61"/>
      <c r="V390" s="63"/>
    </row>
    <row r="391" ht="15.75" customHeight="1">
      <c r="J391" s="61"/>
      <c r="K391" s="62"/>
      <c r="L391" s="62"/>
      <c r="N391" s="63"/>
      <c r="S391" s="64"/>
      <c r="U391" s="61"/>
      <c r="V391" s="63"/>
    </row>
    <row r="392" ht="15.75" customHeight="1">
      <c r="J392" s="61"/>
      <c r="K392" s="62"/>
      <c r="L392" s="62"/>
      <c r="N392" s="63"/>
      <c r="S392" s="64"/>
      <c r="U392" s="61"/>
      <c r="V392" s="63"/>
    </row>
    <row r="393" ht="15.75" customHeight="1">
      <c r="J393" s="61"/>
      <c r="K393" s="62"/>
      <c r="L393" s="62"/>
      <c r="N393" s="63"/>
      <c r="S393" s="64"/>
      <c r="U393" s="61"/>
      <c r="V393" s="63"/>
    </row>
    <row r="394" ht="15.75" customHeight="1">
      <c r="J394" s="61"/>
      <c r="K394" s="62"/>
      <c r="L394" s="62"/>
      <c r="N394" s="63"/>
      <c r="S394" s="64"/>
      <c r="U394" s="61"/>
      <c r="V394" s="63"/>
    </row>
    <row r="395" ht="15.75" customHeight="1">
      <c r="J395" s="61"/>
      <c r="K395" s="62"/>
      <c r="L395" s="62"/>
      <c r="N395" s="63"/>
      <c r="S395" s="64"/>
      <c r="U395" s="61"/>
      <c r="V395" s="63"/>
    </row>
    <row r="396" ht="15.75" customHeight="1">
      <c r="J396" s="61"/>
      <c r="K396" s="62"/>
      <c r="L396" s="62"/>
      <c r="N396" s="63"/>
      <c r="S396" s="64"/>
      <c r="U396" s="61"/>
      <c r="V396" s="63"/>
    </row>
    <row r="397" ht="15.75" customHeight="1">
      <c r="J397" s="61"/>
      <c r="K397" s="62"/>
      <c r="L397" s="62"/>
      <c r="N397" s="63"/>
      <c r="S397" s="64"/>
      <c r="U397" s="61"/>
      <c r="V397" s="63"/>
    </row>
    <row r="398" ht="15.75" customHeight="1">
      <c r="J398" s="61"/>
      <c r="K398" s="62"/>
      <c r="L398" s="62"/>
      <c r="N398" s="63"/>
      <c r="S398" s="64"/>
      <c r="U398" s="61"/>
      <c r="V398" s="63"/>
    </row>
    <row r="399" ht="15.75" customHeight="1">
      <c r="J399" s="61"/>
      <c r="K399" s="62"/>
      <c r="L399" s="62"/>
      <c r="N399" s="63"/>
      <c r="S399" s="64"/>
      <c r="U399" s="61"/>
      <c r="V399" s="63"/>
    </row>
    <row r="400" ht="15.75" customHeight="1">
      <c r="J400" s="61"/>
      <c r="K400" s="62"/>
      <c r="L400" s="62"/>
      <c r="N400" s="63"/>
      <c r="S400" s="64"/>
      <c r="U400" s="61"/>
      <c r="V400" s="63"/>
    </row>
    <row r="401" ht="15.75" customHeight="1">
      <c r="J401" s="61"/>
      <c r="K401" s="62"/>
      <c r="L401" s="62"/>
      <c r="N401" s="63"/>
      <c r="S401" s="64"/>
      <c r="U401" s="61"/>
      <c r="V401" s="63"/>
    </row>
    <row r="402" ht="15.75" customHeight="1">
      <c r="J402" s="61"/>
      <c r="K402" s="62"/>
      <c r="L402" s="62"/>
      <c r="N402" s="63"/>
      <c r="S402" s="64"/>
      <c r="U402" s="61"/>
      <c r="V402" s="63"/>
    </row>
    <row r="403" ht="15.75" customHeight="1">
      <c r="J403" s="61"/>
      <c r="K403" s="62"/>
      <c r="L403" s="62"/>
      <c r="N403" s="63"/>
      <c r="S403" s="64"/>
      <c r="U403" s="61"/>
      <c r="V403" s="63"/>
    </row>
    <row r="404" ht="15.75" customHeight="1">
      <c r="J404" s="61"/>
      <c r="K404" s="62"/>
      <c r="L404" s="62"/>
      <c r="N404" s="63"/>
      <c r="S404" s="64"/>
      <c r="U404" s="61"/>
      <c r="V404" s="63"/>
    </row>
    <row r="405" ht="15.75" customHeight="1">
      <c r="J405" s="61"/>
      <c r="K405" s="62"/>
      <c r="L405" s="62"/>
      <c r="N405" s="63"/>
      <c r="S405" s="64"/>
      <c r="U405" s="61"/>
      <c r="V405" s="63"/>
    </row>
    <row r="406" ht="15.75" customHeight="1">
      <c r="J406" s="61"/>
      <c r="K406" s="62"/>
      <c r="L406" s="62"/>
      <c r="N406" s="63"/>
      <c r="S406" s="64"/>
      <c r="U406" s="61"/>
      <c r="V406" s="63"/>
    </row>
    <row r="407" ht="15.75" customHeight="1">
      <c r="J407" s="61"/>
      <c r="K407" s="62"/>
      <c r="L407" s="62"/>
      <c r="N407" s="63"/>
      <c r="S407" s="64"/>
      <c r="U407" s="61"/>
      <c r="V407" s="63"/>
    </row>
    <row r="408" ht="15.75" customHeight="1">
      <c r="J408" s="61"/>
      <c r="K408" s="62"/>
      <c r="L408" s="62"/>
      <c r="N408" s="63"/>
      <c r="S408" s="64"/>
      <c r="U408" s="61"/>
      <c r="V408" s="63"/>
    </row>
    <row r="409" ht="15.75" customHeight="1">
      <c r="J409" s="61"/>
      <c r="K409" s="62"/>
      <c r="L409" s="62"/>
      <c r="N409" s="63"/>
      <c r="S409" s="64"/>
      <c r="U409" s="61"/>
      <c r="V409" s="63"/>
    </row>
    <row r="410" ht="15.75" customHeight="1">
      <c r="J410" s="61"/>
      <c r="K410" s="62"/>
      <c r="L410" s="62"/>
      <c r="N410" s="63"/>
      <c r="S410" s="64"/>
      <c r="U410" s="61"/>
      <c r="V410" s="63"/>
    </row>
    <row r="411" ht="15.75" customHeight="1">
      <c r="J411" s="61"/>
      <c r="K411" s="62"/>
      <c r="L411" s="62"/>
      <c r="N411" s="63"/>
      <c r="S411" s="64"/>
      <c r="U411" s="61"/>
      <c r="V411" s="63"/>
    </row>
    <row r="412" ht="15.75" customHeight="1">
      <c r="J412" s="61"/>
      <c r="K412" s="62"/>
      <c r="L412" s="62"/>
      <c r="N412" s="63"/>
      <c r="S412" s="64"/>
      <c r="U412" s="61"/>
      <c r="V412" s="63"/>
    </row>
    <row r="413" ht="15.75" customHeight="1">
      <c r="J413" s="61"/>
      <c r="K413" s="62"/>
      <c r="L413" s="62"/>
      <c r="N413" s="63"/>
      <c r="S413" s="64"/>
      <c r="U413" s="61"/>
      <c r="V413" s="63"/>
    </row>
    <row r="414" ht="15.75" customHeight="1">
      <c r="J414" s="61"/>
      <c r="K414" s="62"/>
      <c r="L414" s="62"/>
      <c r="N414" s="63"/>
      <c r="S414" s="64"/>
      <c r="U414" s="61"/>
      <c r="V414" s="63"/>
    </row>
    <row r="415" ht="15.75" customHeight="1">
      <c r="J415" s="61"/>
      <c r="K415" s="62"/>
      <c r="L415" s="62"/>
      <c r="N415" s="63"/>
      <c r="S415" s="64"/>
      <c r="U415" s="61"/>
      <c r="V415" s="63"/>
    </row>
    <row r="416" ht="15.75" customHeight="1">
      <c r="J416" s="61"/>
      <c r="K416" s="62"/>
      <c r="L416" s="62"/>
      <c r="N416" s="63"/>
      <c r="S416" s="64"/>
      <c r="U416" s="61"/>
      <c r="V416" s="63"/>
    </row>
    <row r="417" ht="15.75" customHeight="1">
      <c r="J417" s="61"/>
      <c r="K417" s="62"/>
      <c r="L417" s="62"/>
      <c r="N417" s="63"/>
      <c r="S417" s="64"/>
      <c r="U417" s="61"/>
      <c r="V417" s="63"/>
    </row>
    <row r="418" ht="15.75" customHeight="1">
      <c r="J418" s="61"/>
      <c r="K418" s="62"/>
      <c r="L418" s="62"/>
      <c r="N418" s="63"/>
      <c r="S418" s="64"/>
      <c r="U418" s="61"/>
      <c r="V418" s="63"/>
    </row>
    <row r="419" ht="15.75" customHeight="1">
      <c r="J419" s="61"/>
      <c r="K419" s="62"/>
      <c r="L419" s="62"/>
      <c r="N419" s="63"/>
      <c r="S419" s="64"/>
      <c r="U419" s="61"/>
      <c r="V419" s="63"/>
    </row>
    <row r="420" ht="15.75" customHeight="1">
      <c r="J420" s="61"/>
      <c r="K420" s="62"/>
      <c r="L420" s="62"/>
      <c r="N420" s="63"/>
      <c r="S420" s="64"/>
      <c r="U420" s="61"/>
      <c r="V420" s="63"/>
    </row>
    <row r="421" ht="15.75" customHeight="1">
      <c r="J421" s="61"/>
      <c r="K421" s="62"/>
      <c r="L421" s="62"/>
      <c r="N421" s="63"/>
      <c r="S421" s="64"/>
      <c r="U421" s="61"/>
      <c r="V421" s="63"/>
    </row>
    <row r="422" ht="15.75" customHeight="1">
      <c r="J422" s="61"/>
      <c r="K422" s="62"/>
      <c r="L422" s="62"/>
      <c r="N422" s="63"/>
      <c r="S422" s="64"/>
      <c r="U422" s="61"/>
      <c r="V422" s="63"/>
    </row>
    <row r="423" ht="15.75" customHeight="1">
      <c r="J423" s="61"/>
      <c r="K423" s="62"/>
      <c r="L423" s="62"/>
      <c r="N423" s="63"/>
      <c r="S423" s="64"/>
      <c r="U423" s="61"/>
      <c r="V423" s="63"/>
    </row>
    <row r="424" ht="15.75" customHeight="1">
      <c r="J424" s="61"/>
      <c r="K424" s="62"/>
      <c r="L424" s="62"/>
      <c r="N424" s="63"/>
      <c r="S424" s="64"/>
      <c r="U424" s="61"/>
      <c r="V424" s="63"/>
    </row>
    <row r="425" ht="15.75" customHeight="1">
      <c r="J425" s="61"/>
      <c r="K425" s="62"/>
      <c r="L425" s="62"/>
      <c r="N425" s="63"/>
      <c r="S425" s="64"/>
      <c r="U425" s="61"/>
      <c r="V425" s="63"/>
    </row>
    <row r="426" ht="15.75" customHeight="1">
      <c r="J426" s="61"/>
      <c r="K426" s="62"/>
      <c r="L426" s="62"/>
      <c r="N426" s="63"/>
      <c r="S426" s="64"/>
      <c r="U426" s="61"/>
      <c r="V426" s="63"/>
    </row>
    <row r="427" ht="15.75" customHeight="1">
      <c r="J427" s="61"/>
      <c r="K427" s="62"/>
      <c r="L427" s="62"/>
      <c r="N427" s="63"/>
      <c r="S427" s="64"/>
      <c r="U427" s="61"/>
      <c r="V427" s="63"/>
    </row>
    <row r="428" ht="15.75" customHeight="1">
      <c r="J428" s="61"/>
      <c r="K428" s="62"/>
      <c r="L428" s="62"/>
      <c r="N428" s="63"/>
      <c r="S428" s="64"/>
      <c r="U428" s="61"/>
      <c r="V428" s="63"/>
    </row>
    <row r="429" ht="15.75" customHeight="1">
      <c r="J429" s="61"/>
      <c r="K429" s="62"/>
      <c r="L429" s="62"/>
      <c r="N429" s="63"/>
      <c r="S429" s="64"/>
      <c r="U429" s="61"/>
      <c r="V429" s="63"/>
    </row>
    <row r="430" ht="15.75" customHeight="1">
      <c r="J430" s="61"/>
      <c r="K430" s="62"/>
      <c r="L430" s="62"/>
      <c r="N430" s="63"/>
      <c r="S430" s="64"/>
      <c r="U430" s="61"/>
      <c r="V430" s="63"/>
    </row>
    <row r="431" ht="15.75" customHeight="1">
      <c r="J431" s="61"/>
      <c r="K431" s="62"/>
      <c r="L431" s="62"/>
      <c r="N431" s="63"/>
      <c r="S431" s="64"/>
      <c r="U431" s="61"/>
      <c r="V431" s="63"/>
    </row>
    <row r="432" ht="15.75" customHeight="1">
      <c r="J432" s="61"/>
      <c r="K432" s="62"/>
      <c r="L432" s="62"/>
      <c r="N432" s="63"/>
      <c r="S432" s="64"/>
      <c r="U432" s="61"/>
      <c r="V432" s="63"/>
    </row>
    <row r="433" ht="15.75" customHeight="1">
      <c r="J433" s="61"/>
      <c r="K433" s="62"/>
      <c r="L433" s="62"/>
      <c r="N433" s="63"/>
      <c r="S433" s="64"/>
      <c r="U433" s="61"/>
      <c r="V433" s="63"/>
    </row>
    <row r="434" ht="15.75" customHeight="1">
      <c r="J434" s="61"/>
      <c r="K434" s="62"/>
      <c r="L434" s="62"/>
      <c r="N434" s="63"/>
      <c r="S434" s="64"/>
      <c r="U434" s="61"/>
      <c r="V434" s="63"/>
    </row>
    <row r="435" ht="15.75" customHeight="1">
      <c r="J435" s="61"/>
      <c r="K435" s="62"/>
      <c r="L435" s="62"/>
      <c r="N435" s="63"/>
      <c r="S435" s="64"/>
      <c r="U435" s="61"/>
      <c r="V435" s="63"/>
    </row>
    <row r="436" ht="15.75" customHeight="1">
      <c r="J436" s="61"/>
      <c r="K436" s="62"/>
      <c r="L436" s="62"/>
      <c r="N436" s="63"/>
      <c r="S436" s="64"/>
      <c r="U436" s="61"/>
      <c r="V436" s="63"/>
    </row>
    <row r="437" ht="15.75" customHeight="1">
      <c r="J437" s="61"/>
      <c r="K437" s="62"/>
      <c r="L437" s="62"/>
      <c r="N437" s="63"/>
      <c r="S437" s="64"/>
      <c r="U437" s="61"/>
      <c r="V437" s="63"/>
    </row>
    <row r="438" ht="15.75" customHeight="1">
      <c r="J438" s="61"/>
      <c r="K438" s="62"/>
      <c r="L438" s="62"/>
      <c r="N438" s="63"/>
      <c r="S438" s="64"/>
      <c r="U438" s="61"/>
      <c r="V438" s="63"/>
    </row>
    <row r="439" ht="15.75" customHeight="1">
      <c r="J439" s="61"/>
      <c r="K439" s="62"/>
      <c r="L439" s="62"/>
      <c r="N439" s="63"/>
      <c r="S439" s="64"/>
      <c r="U439" s="61"/>
      <c r="V439" s="63"/>
    </row>
    <row r="440" ht="15.75" customHeight="1">
      <c r="J440" s="61"/>
      <c r="K440" s="62"/>
      <c r="L440" s="62"/>
      <c r="N440" s="63"/>
      <c r="S440" s="64"/>
      <c r="U440" s="61"/>
      <c r="V440" s="63"/>
    </row>
    <row r="441" ht="15.75" customHeight="1">
      <c r="J441" s="61"/>
      <c r="K441" s="62"/>
      <c r="L441" s="62"/>
      <c r="N441" s="63"/>
      <c r="S441" s="64"/>
      <c r="U441" s="61"/>
      <c r="V441" s="63"/>
    </row>
    <row r="442" ht="15.75" customHeight="1">
      <c r="J442" s="61"/>
      <c r="K442" s="62"/>
      <c r="L442" s="62"/>
      <c r="N442" s="63"/>
      <c r="S442" s="64"/>
      <c r="U442" s="61"/>
      <c r="V442" s="63"/>
    </row>
    <row r="443" ht="15.75" customHeight="1">
      <c r="J443" s="61"/>
      <c r="K443" s="62"/>
      <c r="L443" s="62"/>
      <c r="N443" s="63"/>
      <c r="S443" s="64"/>
      <c r="U443" s="61"/>
      <c r="V443" s="63"/>
    </row>
    <row r="444" ht="15.75" customHeight="1">
      <c r="J444" s="61"/>
      <c r="K444" s="62"/>
      <c r="L444" s="62"/>
      <c r="N444" s="63"/>
      <c r="S444" s="64"/>
      <c r="U444" s="61"/>
      <c r="V444" s="63"/>
    </row>
    <row r="445" ht="15.75" customHeight="1">
      <c r="J445" s="61"/>
      <c r="K445" s="62"/>
      <c r="L445" s="62"/>
      <c r="N445" s="63"/>
      <c r="S445" s="64"/>
      <c r="U445" s="61"/>
      <c r="V445" s="63"/>
    </row>
    <row r="446" ht="15.75" customHeight="1">
      <c r="J446" s="61"/>
      <c r="K446" s="62"/>
      <c r="L446" s="62"/>
      <c r="N446" s="63"/>
      <c r="S446" s="64"/>
      <c r="U446" s="61"/>
      <c r="V446" s="63"/>
    </row>
    <row r="447" ht="15.75" customHeight="1">
      <c r="J447" s="61"/>
      <c r="K447" s="62"/>
      <c r="L447" s="62"/>
      <c r="N447" s="63"/>
      <c r="S447" s="64"/>
      <c r="U447" s="61"/>
      <c r="V447" s="63"/>
    </row>
    <row r="448" ht="15.75" customHeight="1">
      <c r="J448" s="61"/>
      <c r="K448" s="62"/>
      <c r="L448" s="62"/>
      <c r="N448" s="63"/>
      <c r="S448" s="64"/>
      <c r="U448" s="61"/>
      <c r="V448" s="63"/>
    </row>
    <row r="449" ht="15.75" customHeight="1">
      <c r="J449" s="61"/>
      <c r="K449" s="62"/>
      <c r="L449" s="62"/>
      <c r="N449" s="63"/>
      <c r="S449" s="64"/>
      <c r="U449" s="61"/>
      <c r="V449" s="63"/>
    </row>
    <row r="450" ht="15.75" customHeight="1">
      <c r="J450" s="61"/>
      <c r="K450" s="62"/>
      <c r="L450" s="62"/>
      <c r="N450" s="63"/>
      <c r="S450" s="64"/>
      <c r="U450" s="61"/>
      <c r="V450" s="63"/>
    </row>
    <row r="451" ht="15.75" customHeight="1">
      <c r="J451" s="61"/>
      <c r="K451" s="62"/>
      <c r="L451" s="62"/>
      <c r="N451" s="63"/>
      <c r="S451" s="64"/>
      <c r="U451" s="61"/>
      <c r="V451" s="63"/>
    </row>
    <row r="452" ht="15.75" customHeight="1">
      <c r="J452" s="61"/>
      <c r="K452" s="62"/>
      <c r="L452" s="62"/>
      <c r="N452" s="63"/>
      <c r="S452" s="64"/>
      <c r="U452" s="61"/>
      <c r="V452" s="63"/>
    </row>
    <row r="453" ht="15.75" customHeight="1">
      <c r="J453" s="61"/>
      <c r="K453" s="62"/>
      <c r="L453" s="62"/>
      <c r="N453" s="63"/>
      <c r="S453" s="64"/>
      <c r="U453" s="61"/>
      <c r="V453" s="63"/>
    </row>
    <row r="454" ht="15.75" customHeight="1">
      <c r="J454" s="61"/>
      <c r="K454" s="62"/>
      <c r="L454" s="62"/>
      <c r="N454" s="63"/>
      <c r="S454" s="64"/>
      <c r="U454" s="61"/>
      <c r="V454" s="63"/>
    </row>
    <row r="455" ht="15.75" customHeight="1">
      <c r="J455" s="61"/>
      <c r="K455" s="62"/>
      <c r="L455" s="62"/>
      <c r="N455" s="63"/>
      <c r="S455" s="64"/>
      <c r="U455" s="61"/>
      <c r="V455" s="63"/>
    </row>
    <row r="456" ht="15.75" customHeight="1">
      <c r="J456" s="61"/>
      <c r="K456" s="62"/>
      <c r="L456" s="62"/>
      <c r="N456" s="63"/>
      <c r="S456" s="64"/>
      <c r="U456" s="61"/>
      <c r="V456" s="63"/>
    </row>
    <row r="457" ht="15.75" customHeight="1">
      <c r="J457" s="61"/>
      <c r="K457" s="62"/>
      <c r="L457" s="62"/>
      <c r="N457" s="63"/>
      <c r="S457" s="64"/>
      <c r="U457" s="61"/>
      <c r="V457" s="63"/>
    </row>
    <row r="458" ht="15.75" customHeight="1">
      <c r="J458" s="61"/>
      <c r="K458" s="62"/>
      <c r="L458" s="62"/>
      <c r="N458" s="63"/>
      <c r="S458" s="64"/>
      <c r="U458" s="61"/>
      <c r="V458" s="63"/>
    </row>
    <row r="459" ht="15.75" customHeight="1">
      <c r="J459" s="61"/>
      <c r="K459" s="62"/>
      <c r="L459" s="62"/>
      <c r="N459" s="63"/>
      <c r="S459" s="64"/>
      <c r="U459" s="61"/>
      <c r="V459" s="63"/>
    </row>
    <row r="460" ht="15.75" customHeight="1">
      <c r="J460" s="61"/>
      <c r="K460" s="62"/>
      <c r="L460" s="62"/>
      <c r="N460" s="63"/>
      <c r="S460" s="64"/>
      <c r="U460" s="61"/>
      <c r="V460" s="63"/>
    </row>
    <row r="461" ht="15.75" customHeight="1">
      <c r="J461" s="61"/>
      <c r="K461" s="62"/>
      <c r="L461" s="62"/>
      <c r="N461" s="63"/>
      <c r="S461" s="64"/>
      <c r="U461" s="61"/>
      <c r="V461" s="63"/>
    </row>
    <row r="462" ht="15.75" customHeight="1">
      <c r="J462" s="61"/>
      <c r="K462" s="62"/>
      <c r="L462" s="62"/>
      <c r="N462" s="63"/>
      <c r="S462" s="64"/>
      <c r="U462" s="61"/>
      <c r="V462" s="63"/>
    </row>
    <row r="463" ht="15.75" customHeight="1">
      <c r="J463" s="61"/>
      <c r="K463" s="62"/>
      <c r="L463" s="62"/>
      <c r="N463" s="63"/>
      <c r="S463" s="64"/>
      <c r="U463" s="61"/>
      <c r="V463" s="63"/>
    </row>
    <row r="464" ht="15.75" customHeight="1">
      <c r="J464" s="61"/>
      <c r="K464" s="62"/>
      <c r="L464" s="62"/>
      <c r="N464" s="63"/>
      <c r="S464" s="64"/>
      <c r="U464" s="61"/>
      <c r="V464" s="63"/>
    </row>
    <row r="465" ht="15.75" customHeight="1">
      <c r="J465" s="61"/>
      <c r="K465" s="62"/>
      <c r="L465" s="62"/>
      <c r="N465" s="63"/>
      <c r="S465" s="64"/>
      <c r="U465" s="61"/>
      <c r="V465" s="63"/>
    </row>
    <row r="466" ht="15.75" customHeight="1">
      <c r="J466" s="61"/>
      <c r="K466" s="62"/>
      <c r="L466" s="62"/>
      <c r="N466" s="63"/>
      <c r="S466" s="64"/>
      <c r="U466" s="61"/>
      <c r="V466" s="63"/>
    </row>
    <row r="467" ht="15.75" customHeight="1">
      <c r="J467" s="61"/>
      <c r="K467" s="62"/>
      <c r="L467" s="62"/>
      <c r="N467" s="63"/>
      <c r="S467" s="64"/>
      <c r="U467" s="61"/>
      <c r="V467" s="63"/>
    </row>
    <row r="468" ht="15.75" customHeight="1">
      <c r="J468" s="61"/>
      <c r="K468" s="62"/>
      <c r="L468" s="62"/>
      <c r="N468" s="63"/>
      <c r="S468" s="64"/>
      <c r="U468" s="61"/>
      <c r="V468" s="63"/>
    </row>
    <row r="469" ht="15.75" customHeight="1">
      <c r="J469" s="61"/>
      <c r="K469" s="62"/>
      <c r="L469" s="62"/>
      <c r="N469" s="63"/>
      <c r="S469" s="64"/>
      <c r="U469" s="61"/>
      <c r="V469" s="63"/>
    </row>
    <row r="470" ht="15.75" customHeight="1">
      <c r="J470" s="61"/>
      <c r="K470" s="62"/>
      <c r="L470" s="62"/>
      <c r="N470" s="63"/>
      <c r="S470" s="64"/>
      <c r="U470" s="61"/>
      <c r="V470" s="63"/>
    </row>
    <row r="471" ht="15.75" customHeight="1">
      <c r="J471" s="61"/>
      <c r="K471" s="62"/>
      <c r="L471" s="62"/>
      <c r="N471" s="63"/>
      <c r="S471" s="64"/>
      <c r="U471" s="61"/>
      <c r="V471" s="63"/>
    </row>
    <row r="472" ht="15.75" customHeight="1">
      <c r="J472" s="61"/>
      <c r="K472" s="62"/>
      <c r="L472" s="62"/>
      <c r="N472" s="63"/>
      <c r="S472" s="64"/>
      <c r="U472" s="61"/>
      <c r="V472" s="63"/>
    </row>
    <row r="473" ht="15.75" customHeight="1">
      <c r="J473" s="61"/>
      <c r="K473" s="62"/>
      <c r="L473" s="62"/>
      <c r="N473" s="63"/>
      <c r="S473" s="64"/>
      <c r="U473" s="61"/>
      <c r="V473" s="63"/>
    </row>
    <row r="474" ht="15.75" customHeight="1">
      <c r="J474" s="61"/>
      <c r="K474" s="62"/>
      <c r="L474" s="62"/>
      <c r="N474" s="63"/>
      <c r="S474" s="64"/>
      <c r="U474" s="61"/>
      <c r="V474" s="63"/>
    </row>
    <row r="475" ht="15.75" customHeight="1">
      <c r="J475" s="61"/>
      <c r="K475" s="62"/>
      <c r="L475" s="62"/>
      <c r="N475" s="63"/>
      <c r="S475" s="64"/>
      <c r="U475" s="61"/>
      <c r="V475" s="63"/>
    </row>
    <row r="476" ht="15.75" customHeight="1">
      <c r="J476" s="61"/>
      <c r="K476" s="62"/>
      <c r="L476" s="62"/>
      <c r="N476" s="63"/>
      <c r="S476" s="64"/>
      <c r="U476" s="61"/>
      <c r="V476" s="63"/>
    </row>
    <row r="477" ht="15.75" customHeight="1">
      <c r="J477" s="61"/>
      <c r="K477" s="62"/>
      <c r="L477" s="62"/>
      <c r="N477" s="63"/>
      <c r="S477" s="64"/>
      <c r="U477" s="61"/>
      <c r="V477" s="63"/>
    </row>
    <row r="478" ht="15.75" customHeight="1">
      <c r="J478" s="61"/>
      <c r="K478" s="62"/>
      <c r="L478" s="62"/>
      <c r="N478" s="63"/>
      <c r="S478" s="64"/>
      <c r="U478" s="61"/>
      <c r="V478" s="63"/>
    </row>
    <row r="479" ht="15.75" customHeight="1">
      <c r="J479" s="61"/>
      <c r="K479" s="62"/>
      <c r="L479" s="62"/>
      <c r="N479" s="63"/>
      <c r="S479" s="64"/>
      <c r="U479" s="61"/>
      <c r="V479" s="63"/>
    </row>
    <row r="480" ht="15.75" customHeight="1">
      <c r="J480" s="61"/>
      <c r="K480" s="62"/>
      <c r="L480" s="62"/>
      <c r="N480" s="63"/>
      <c r="S480" s="64"/>
      <c r="U480" s="61"/>
      <c r="V480" s="63"/>
    </row>
    <row r="481" ht="15.75" customHeight="1">
      <c r="J481" s="61"/>
      <c r="K481" s="62"/>
      <c r="L481" s="62"/>
      <c r="N481" s="63"/>
      <c r="S481" s="64"/>
      <c r="U481" s="61"/>
      <c r="V481" s="63"/>
    </row>
    <row r="482" ht="15.75" customHeight="1">
      <c r="J482" s="61"/>
      <c r="K482" s="62"/>
      <c r="L482" s="62"/>
      <c r="N482" s="63"/>
      <c r="S482" s="64"/>
      <c r="U482" s="61"/>
      <c r="V482" s="63"/>
    </row>
    <row r="483" ht="15.75" customHeight="1">
      <c r="J483" s="61"/>
      <c r="K483" s="62"/>
      <c r="L483" s="62"/>
      <c r="N483" s="63"/>
      <c r="S483" s="64"/>
      <c r="U483" s="61"/>
      <c r="V483" s="63"/>
    </row>
    <row r="484" ht="15.75" customHeight="1">
      <c r="J484" s="61"/>
      <c r="K484" s="62"/>
      <c r="L484" s="62"/>
      <c r="N484" s="63"/>
      <c r="S484" s="64"/>
      <c r="U484" s="61"/>
      <c r="V484" s="63"/>
    </row>
    <row r="485" ht="15.75" customHeight="1">
      <c r="J485" s="61"/>
      <c r="K485" s="62"/>
      <c r="L485" s="62"/>
      <c r="N485" s="63"/>
      <c r="S485" s="64"/>
      <c r="U485" s="61"/>
      <c r="V485" s="63"/>
    </row>
    <row r="486" ht="15.75" customHeight="1">
      <c r="J486" s="61"/>
      <c r="K486" s="62"/>
      <c r="L486" s="62"/>
      <c r="N486" s="63"/>
      <c r="S486" s="64"/>
      <c r="U486" s="61"/>
      <c r="V486" s="63"/>
    </row>
    <row r="487" ht="15.75" customHeight="1">
      <c r="J487" s="61"/>
      <c r="K487" s="62"/>
      <c r="L487" s="62"/>
      <c r="N487" s="63"/>
      <c r="S487" s="64"/>
      <c r="U487" s="61"/>
      <c r="V487" s="63"/>
    </row>
    <row r="488" ht="15.75" customHeight="1">
      <c r="J488" s="61"/>
      <c r="K488" s="62"/>
      <c r="L488" s="62"/>
      <c r="N488" s="63"/>
      <c r="S488" s="64"/>
      <c r="U488" s="61"/>
      <c r="V488" s="63"/>
    </row>
    <row r="489" ht="15.75" customHeight="1">
      <c r="J489" s="61"/>
      <c r="K489" s="62"/>
      <c r="L489" s="62"/>
      <c r="N489" s="63"/>
      <c r="S489" s="64"/>
      <c r="U489" s="61"/>
      <c r="V489" s="63"/>
    </row>
    <row r="490" ht="15.75" customHeight="1">
      <c r="J490" s="61"/>
      <c r="K490" s="62"/>
      <c r="L490" s="62"/>
      <c r="N490" s="63"/>
      <c r="S490" s="64"/>
      <c r="U490" s="61"/>
      <c r="V490" s="63"/>
    </row>
    <row r="491" ht="15.75" customHeight="1">
      <c r="J491" s="61"/>
      <c r="K491" s="62"/>
      <c r="L491" s="62"/>
      <c r="N491" s="63"/>
      <c r="S491" s="64"/>
      <c r="U491" s="61"/>
      <c r="V491" s="63"/>
    </row>
    <row r="492" ht="15.75" customHeight="1">
      <c r="J492" s="61"/>
      <c r="K492" s="62"/>
      <c r="L492" s="62"/>
      <c r="N492" s="63"/>
      <c r="S492" s="64"/>
      <c r="U492" s="61"/>
      <c r="V492" s="63"/>
    </row>
    <row r="493" ht="15.75" customHeight="1">
      <c r="J493" s="61"/>
      <c r="K493" s="62"/>
      <c r="L493" s="62"/>
      <c r="N493" s="63"/>
      <c r="S493" s="64"/>
      <c r="U493" s="61"/>
      <c r="V493" s="63"/>
    </row>
    <row r="494" ht="15.75" customHeight="1">
      <c r="J494" s="61"/>
      <c r="K494" s="62"/>
      <c r="L494" s="62"/>
      <c r="N494" s="63"/>
      <c r="S494" s="64"/>
      <c r="U494" s="61"/>
      <c r="V494" s="63"/>
    </row>
    <row r="495" ht="15.75" customHeight="1">
      <c r="J495" s="61"/>
      <c r="K495" s="62"/>
      <c r="L495" s="62"/>
      <c r="N495" s="63"/>
      <c r="S495" s="64"/>
      <c r="U495" s="61"/>
      <c r="V495" s="63"/>
    </row>
    <row r="496" ht="15.75" customHeight="1">
      <c r="J496" s="61"/>
      <c r="K496" s="62"/>
      <c r="L496" s="62"/>
      <c r="N496" s="63"/>
      <c r="S496" s="64"/>
      <c r="U496" s="61"/>
      <c r="V496" s="63"/>
    </row>
    <row r="497" ht="15.75" customHeight="1">
      <c r="J497" s="61"/>
      <c r="K497" s="62"/>
      <c r="L497" s="62"/>
      <c r="N497" s="63"/>
      <c r="S497" s="64"/>
      <c r="U497" s="61"/>
      <c r="V497" s="63"/>
    </row>
    <row r="498" ht="15.75" customHeight="1">
      <c r="J498" s="61"/>
      <c r="K498" s="62"/>
      <c r="L498" s="62"/>
      <c r="N498" s="63"/>
      <c r="S498" s="64"/>
      <c r="U498" s="61"/>
      <c r="V498" s="63"/>
    </row>
    <row r="499" ht="15.75" customHeight="1">
      <c r="J499" s="61"/>
      <c r="K499" s="62"/>
      <c r="L499" s="62"/>
      <c r="N499" s="63"/>
      <c r="S499" s="64"/>
      <c r="U499" s="61"/>
      <c r="V499" s="63"/>
    </row>
    <row r="500" ht="15.75" customHeight="1">
      <c r="J500" s="61"/>
      <c r="K500" s="62"/>
      <c r="L500" s="62"/>
      <c r="N500" s="63"/>
      <c r="S500" s="64"/>
      <c r="U500" s="61"/>
      <c r="V500" s="63"/>
    </row>
    <row r="501" ht="15.75" customHeight="1">
      <c r="J501" s="61"/>
      <c r="K501" s="62"/>
      <c r="L501" s="62"/>
      <c r="N501" s="63"/>
      <c r="S501" s="64"/>
      <c r="U501" s="61"/>
      <c r="V501" s="63"/>
    </row>
    <row r="502" ht="15.75" customHeight="1">
      <c r="J502" s="61"/>
      <c r="K502" s="62"/>
      <c r="L502" s="62"/>
      <c r="N502" s="63"/>
      <c r="S502" s="64"/>
      <c r="U502" s="61"/>
      <c r="V502" s="63"/>
    </row>
    <row r="503" ht="15.75" customHeight="1">
      <c r="J503" s="61"/>
      <c r="K503" s="62"/>
      <c r="L503" s="62"/>
      <c r="N503" s="63"/>
      <c r="S503" s="64"/>
      <c r="U503" s="61"/>
      <c r="V503" s="63"/>
    </row>
    <row r="504" ht="15.75" customHeight="1">
      <c r="J504" s="61"/>
      <c r="K504" s="62"/>
      <c r="L504" s="62"/>
      <c r="N504" s="63"/>
      <c r="S504" s="64"/>
      <c r="U504" s="61"/>
      <c r="V504" s="63"/>
    </row>
    <row r="505" ht="15.75" customHeight="1">
      <c r="J505" s="61"/>
      <c r="K505" s="62"/>
      <c r="L505" s="62"/>
      <c r="N505" s="63"/>
      <c r="S505" s="64"/>
      <c r="U505" s="61"/>
      <c r="V505" s="63"/>
    </row>
    <row r="506" ht="15.75" customHeight="1">
      <c r="J506" s="61"/>
      <c r="K506" s="62"/>
      <c r="L506" s="62"/>
      <c r="N506" s="63"/>
      <c r="S506" s="64"/>
      <c r="U506" s="61"/>
      <c r="V506" s="63"/>
    </row>
    <row r="507" ht="15.75" customHeight="1">
      <c r="J507" s="61"/>
      <c r="K507" s="62"/>
      <c r="L507" s="62"/>
      <c r="N507" s="63"/>
      <c r="S507" s="64"/>
      <c r="U507" s="61"/>
      <c r="V507" s="63"/>
    </row>
    <row r="508" ht="15.75" customHeight="1">
      <c r="J508" s="61"/>
      <c r="K508" s="62"/>
      <c r="L508" s="62"/>
      <c r="N508" s="63"/>
      <c r="S508" s="64"/>
      <c r="U508" s="61"/>
      <c r="V508" s="63"/>
    </row>
    <row r="509" ht="15.75" customHeight="1">
      <c r="J509" s="61"/>
      <c r="K509" s="62"/>
      <c r="L509" s="62"/>
      <c r="N509" s="63"/>
      <c r="S509" s="64"/>
      <c r="U509" s="61"/>
      <c r="V509" s="63"/>
    </row>
    <row r="510" ht="15.75" customHeight="1">
      <c r="J510" s="61"/>
      <c r="K510" s="62"/>
      <c r="L510" s="62"/>
      <c r="N510" s="63"/>
      <c r="S510" s="64"/>
      <c r="U510" s="61"/>
      <c r="V510" s="63"/>
    </row>
    <row r="511" ht="15.75" customHeight="1">
      <c r="J511" s="61"/>
      <c r="K511" s="62"/>
      <c r="L511" s="62"/>
      <c r="N511" s="63"/>
      <c r="S511" s="64"/>
      <c r="U511" s="61"/>
      <c r="V511" s="63"/>
    </row>
    <row r="512" ht="15.75" customHeight="1">
      <c r="J512" s="61"/>
      <c r="K512" s="62"/>
      <c r="L512" s="62"/>
      <c r="N512" s="63"/>
      <c r="S512" s="64"/>
      <c r="U512" s="61"/>
      <c r="V512" s="63"/>
    </row>
    <row r="513" ht="15.75" customHeight="1">
      <c r="J513" s="61"/>
      <c r="K513" s="62"/>
      <c r="L513" s="62"/>
      <c r="N513" s="63"/>
      <c r="S513" s="64"/>
      <c r="U513" s="61"/>
      <c r="V513" s="63"/>
    </row>
    <row r="514" ht="15.75" customHeight="1">
      <c r="J514" s="61"/>
      <c r="K514" s="62"/>
      <c r="L514" s="62"/>
      <c r="N514" s="63"/>
      <c r="S514" s="64"/>
      <c r="U514" s="61"/>
      <c r="V514" s="63"/>
    </row>
    <row r="515" ht="15.75" customHeight="1">
      <c r="J515" s="61"/>
      <c r="K515" s="62"/>
      <c r="L515" s="62"/>
      <c r="N515" s="63"/>
      <c r="S515" s="64"/>
      <c r="U515" s="61"/>
      <c r="V515" s="63"/>
    </row>
    <row r="516" ht="15.75" customHeight="1">
      <c r="J516" s="61"/>
      <c r="K516" s="62"/>
      <c r="L516" s="62"/>
      <c r="N516" s="63"/>
      <c r="S516" s="64"/>
      <c r="U516" s="61"/>
      <c r="V516" s="63"/>
    </row>
    <row r="517" ht="15.75" customHeight="1">
      <c r="J517" s="61"/>
      <c r="K517" s="62"/>
      <c r="L517" s="62"/>
      <c r="N517" s="63"/>
      <c r="S517" s="64"/>
      <c r="U517" s="61"/>
      <c r="V517" s="63"/>
    </row>
    <row r="518" ht="15.75" customHeight="1">
      <c r="J518" s="61"/>
      <c r="K518" s="62"/>
      <c r="L518" s="62"/>
      <c r="N518" s="63"/>
      <c r="S518" s="64"/>
      <c r="U518" s="61"/>
      <c r="V518" s="63"/>
    </row>
    <row r="519" ht="15.75" customHeight="1">
      <c r="J519" s="61"/>
      <c r="K519" s="62"/>
      <c r="L519" s="62"/>
      <c r="N519" s="63"/>
      <c r="S519" s="64"/>
      <c r="U519" s="61"/>
      <c r="V519" s="63"/>
    </row>
    <row r="520" ht="15.75" customHeight="1">
      <c r="J520" s="61"/>
      <c r="K520" s="62"/>
      <c r="L520" s="62"/>
      <c r="N520" s="63"/>
      <c r="S520" s="64"/>
      <c r="U520" s="61"/>
      <c r="V520" s="63"/>
    </row>
    <row r="521" ht="15.75" customHeight="1">
      <c r="J521" s="61"/>
      <c r="K521" s="62"/>
      <c r="L521" s="62"/>
      <c r="N521" s="63"/>
      <c r="S521" s="64"/>
      <c r="U521" s="61"/>
      <c r="V521" s="63"/>
    </row>
    <row r="522" ht="15.75" customHeight="1">
      <c r="J522" s="61"/>
      <c r="K522" s="62"/>
      <c r="L522" s="62"/>
      <c r="N522" s="63"/>
      <c r="S522" s="64"/>
      <c r="U522" s="61"/>
      <c r="V522" s="63"/>
    </row>
    <row r="523" ht="15.75" customHeight="1">
      <c r="J523" s="61"/>
      <c r="K523" s="62"/>
      <c r="L523" s="62"/>
      <c r="N523" s="63"/>
      <c r="S523" s="64"/>
      <c r="U523" s="61"/>
      <c r="V523" s="63"/>
    </row>
    <row r="524" ht="15.75" customHeight="1">
      <c r="J524" s="61"/>
      <c r="K524" s="62"/>
      <c r="L524" s="62"/>
      <c r="N524" s="63"/>
      <c r="S524" s="64"/>
      <c r="U524" s="61"/>
      <c r="V524" s="63"/>
    </row>
    <row r="525" ht="15.75" customHeight="1">
      <c r="J525" s="61"/>
      <c r="K525" s="62"/>
      <c r="L525" s="62"/>
      <c r="N525" s="63"/>
      <c r="S525" s="64"/>
      <c r="U525" s="61"/>
      <c r="V525" s="63"/>
    </row>
    <row r="526" ht="15.75" customHeight="1">
      <c r="J526" s="61"/>
      <c r="K526" s="62"/>
      <c r="L526" s="62"/>
      <c r="N526" s="63"/>
      <c r="S526" s="64"/>
      <c r="U526" s="61"/>
      <c r="V526" s="63"/>
    </row>
    <row r="527" ht="15.75" customHeight="1">
      <c r="J527" s="61"/>
      <c r="K527" s="62"/>
      <c r="L527" s="62"/>
      <c r="N527" s="63"/>
      <c r="S527" s="64"/>
      <c r="U527" s="61"/>
      <c r="V527" s="63"/>
    </row>
    <row r="528" ht="15.75" customHeight="1">
      <c r="J528" s="61"/>
      <c r="K528" s="62"/>
      <c r="L528" s="62"/>
      <c r="N528" s="63"/>
      <c r="S528" s="64"/>
      <c r="U528" s="61"/>
      <c r="V528" s="63"/>
    </row>
    <row r="529" ht="15.75" customHeight="1">
      <c r="J529" s="61"/>
      <c r="K529" s="62"/>
      <c r="L529" s="62"/>
      <c r="N529" s="63"/>
      <c r="S529" s="64"/>
      <c r="U529" s="61"/>
      <c r="V529" s="63"/>
    </row>
    <row r="530" ht="15.75" customHeight="1">
      <c r="J530" s="61"/>
      <c r="K530" s="62"/>
      <c r="L530" s="62"/>
      <c r="N530" s="63"/>
      <c r="S530" s="64"/>
      <c r="U530" s="61"/>
      <c r="V530" s="63"/>
    </row>
    <row r="531" ht="15.75" customHeight="1">
      <c r="J531" s="61"/>
      <c r="K531" s="62"/>
      <c r="L531" s="62"/>
      <c r="N531" s="63"/>
      <c r="S531" s="64"/>
      <c r="U531" s="61"/>
      <c r="V531" s="63"/>
    </row>
    <row r="532" ht="15.75" customHeight="1">
      <c r="J532" s="61"/>
      <c r="K532" s="62"/>
      <c r="L532" s="62"/>
      <c r="N532" s="63"/>
      <c r="S532" s="64"/>
      <c r="U532" s="61"/>
      <c r="V532" s="63"/>
    </row>
    <row r="533" ht="15.75" customHeight="1">
      <c r="J533" s="61"/>
      <c r="K533" s="62"/>
      <c r="L533" s="62"/>
      <c r="N533" s="63"/>
      <c r="S533" s="64"/>
      <c r="U533" s="61"/>
      <c r="V533" s="63"/>
    </row>
    <row r="534" ht="15.75" customHeight="1">
      <c r="J534" s="61"/>
      <c r="K534" s="62"/>
      <c r="L534" s="62"/>
      <c r="N534" s="63"/>
      <c r="S534" s="64"/>
      <c r="U534" s="61"/>
      <c r="V534" s="63"/>
    </row>
    <row r="535" ht="15.75" customHeight="1">
      <c r="J535" s="61"/>
      <c r="K535" s="62"/>
      <c r="L535" s="62"/>
      <c r="N535" s="63"/>
      <c r="S535" s="64"/>
      <c r="U535" s="61"/>
      <c r="V535" s="63"/>
    </row>
    <row r="536" ht="15.75" customHeight="1">
      <c r="J536" s="61"/>
      <c r="K536" s="62"/>
      <c r="L536" s="62"/>
      <c r="N536" s="63"/>
      <c r="S536" s="64"/>
      <c r="U536" s="61"/>
      <c r="V536" s="63"/>
    </row>
    <row r="537" ht="15.75" customHeight="1">
      <c r="J537" s="61"/>
      <c r="K537" s="62"/>
      <c r="L537" s="62"/>
      <c r="N537" s="63"/>
      <c r="S537" s="64"/>
      <c r="U537" s="61"/>
      <c r="V537" s="63"/>
    </row>
    <row r="538" ht="15.75" customHeight="1">
      <c r="J538" s="61"/>
      <c r="K538" s="62"/>
      <c r="L538" s="62"/>
      <c r="N538" s="63"/>
      <c r="S538" s="64"/>
      <c r="U538" s="61"/>
      <c r="V538" s="63"/>
    </row>
    <row r="539" ht="15.75" customHeight="1">
      <c r="J539" s="61"/>
      <c r="K539" s="62"/>
      <c r="L539" s="62"/>
      <c r="N539" s="63"/>
      <c r="S539" s="64"/>
      <c r="U539" s="61"/>
      <c r="V539" s="63"/>
    </row>
    <row r="540" ht="15.75" customHeight="1">
      <c r="J540" s="61"/>
      <c r="K540" s="62"/>
      <c r="L540" s="62"/>
      <c r="N540" s="63"/>
      <c r="S540" s="64"/>
      <c r="U540" s="61"/>
      <c r="V540" s="63"/>
    </row>
    <row r="541" ht="15.75" customHeight="1">
      <c r="J541" s="61"/>
      <c r="K541" s="62"/>
      <c r="L541" s="62"/>
      <c r="N541" s="63"/>
      <c r="S541" s="64"/>
      <c r="U541" s="61"/>
      <c r="V541" s="63"/>
    </row>
    <row r="542" ht="15.75" customHeight="1">
      <c r="J542" s="61"/>
      <c r="K542" s="62"/>
      <c r="L542" s="62"/>
      <c r="N542" s="63"/>
      <c r="S542" s="64"/>
      <c r="U542" s="61"/>
      <c r="V542" s="63"/>
    </row>
    <row r="543" ht="15.75" customHeight="1">
      <c r="J543" s="61"/>
      <c r="K543" s="62"/>
      <c r="L543" s="62"/>
      <c r="N543" s="63"/>
      <c r="S543" s="64"/>
      <c r="U543" s="61"/>
      <c r="V543" s="63"/>
    </row>
    <row r="544" ht="15.75" customHeight="1">
      <c r="J544" s="61"/>
      <c r="K544" s="62"/>
      <c r="L544" s="62"/>
      <c r="N544" s="63"/>
      <c r="S544" s="64"/>
      <c r="U544" s="61"/>
      <c r="V544" s="63"/>
    </row>
    <row r="545" ht="15.75" customHeight="1">
      <c r="J545" s="61"/>
      <c r="K545" s="62"/>
      <c r="L545" s="62"/>
      <c r="N545" s="63"/>
      <c r="S545" s="64"/>
      <c r="U545" s="61"/>
      <c r="V545" s="63"/>
    </row>
    <row r="546" ht="15.75" customHeight="1">
      <c r="J546" s="61"/>
      <c r="K546" s="62"/>
      <c r="L546" s="62"/>
      <c r="N546" s="63"/>
      <c r="S546" s="64"/>
      <c r="U546" s="61"/>
      <c r="V546" s="63"/>
    </row>
    <row r="547" ht="15.75" customHeight="1">
      <c r="J547" s="61"/>
      <c r="K547" s="62"/>
      <c r="L547" s="62"/>
      <c r="N547" s="63"/>
      <c r="S547" s="64"/>
      <c r="U547" s="61"/>
      <c r="V547" s="63"/>
    </row>
    <row r="548" ht="15.75" customHeight="1">
      <c r="J548" s="61"/>
      <c r="K548" s="62"/>
      <c r="L548" s="62"/>
      <c r="N548" s="63"/>
      <c r="S548" s="64"/>
      <c r="U548" s="61"/>
      <c r="V548" s="63"/>
    </row>
    <row r="549" ht="15.75" customHeight="1">
      <c r="J549" s="61"/>
      <c r="K549" s="62"/>
      <c r="L549" s="62"/>
      <c r="N549" s="63"/>
      <c r="S549" s="64"/>
      <c r="U549" s="61"/>
      <c r="V549" s="63"/>
    </row>
    <row r="550" ht="15.75" customHeight="1">
      <c r="J550" s="61"/>
      <c r="K550" s="62"/>
      <c r="L550" s="62"/>
      <c r="N550" s="63"/>
      <c r="S550" s="64"/>
      <c r="U550" s="61"/>
      <c r="V550" s="63"/>
    </row>
    <row r="551" ht="15.75" customHeight="1">
      <c r="J551" s="61"/>
      <c r="K551" s="62"/>
      <c r="L551" s="62"/>
      <c r="N551" s="63"/>
      <c r="S551" s="64"/>
      <c r="U551" s="61"/>
      <c r="V551" s="63"/>
    </row>
    <row r="552" ht="15.75" customHeight="1">
      <c r="J552" s="61"/>
      <c r="K552" s="62"/>
      <c r="L552" s="62"/>
      <c r="N552" s="63"/>
      <c r="S552" s="64"/>
      <c r="U552" s="61"/>
      <c r="V552" s="63"/>
    </row>
    <row r="553" ht="15.75" customHeight="1">
      <c r="J553" s="61"/>
      <c r="K553" s="62"/>
      <c r="L553" s="62"/>
      <c r="N553" s="63"/>
      <c r="S553" s="64"/>
      <c r="U553" s="61"/>
      <c r="V553" s="63"/>
    </row>
    <row r="554" ht="15.75" customHeight="1">
      <c r="J554" s="61"/>
      <c r="K554" s="62"/>
      <c r="L554" s="62"/>
      <c r="N554" s="63"/>
      <c r="S554" s="64"/>
      <c r="U554" s="61"/>
      <c r="V554" s="63"/>
    </row>
    <row r="555" ht="15.75" customHeight="1">
      <c r="J555" s="61"/>
      <c r="K555" s="62"/>
      <c r="L555" s="62"/>
      <c r="N555" s="63"/>
      <c r="S555" s="64"/>
      <c r="U555" s="61"/>
      <c r="V555" s="63"/>
    </row>
    <row r="556" ht="15.75" customHeight="1">
      <c r="J556" s="61"/>
      <c r="K556" s="62"/>
      <c r="L556" s="62"/>
      <c r="N556" s="63"/>
      <c r="S556" s="64"/>
      <c r="U556" s="61"/>
      <c r="V556" s="63"/>
    </row>
    <row r="557" ht="15.75" customHeight="1">
      <c r="J557" s="61"/>
      <c r="K557" s="62"/>
      <c r="L557" s="62"/>
      <c r="N557" s="63"/>
      <c r="S557" s="64"/>
      <c r="U557" s="61"/>
      <c r="V557" s="63"/>
    </row>
    <row r="558" ht="15.75" customHeight="1">
      <c r="J558" s="61"/>
      <c r="K558" s="62"/>
      <c r="L558" s="62"/>
      <c r="N558" s="63"/>
      <c r="S558" s="64"/>
      <c r="U558" s="61"/>
      <c r="V558" s="63"/>
    </row>
    <row r="559" ht="15.75" customHeight="1">
      <c r="J559" s="61"/>
      <c r="K559" s="62"/>
      <c r="L559" s="62"/>
      <c r="N559" s="63"/>
      <c r="S559" s="64"/>
      <c r="U559" s="61"/>
      <c r="V559" s="63"/>
    </row>
    <row r="560" ht="15.75" customHeight="1">
      <c r="J560" s="61"/>
      <c r="K560" s="62"/>
      <c r="L560" s="62"/>
      <c r="N560" s="63"/>
      <c r="S560" s="64"/>
      <c r="U560" s="61"/>
      <c r="V560" s="63"/>
    </row>
    <row r="561" ht="15.75" customHeight="1">
      <c r="J561" s="61"/>
      <c r="K561" s="62"/>
      <c r="L561" s="62"/>
      <c r="N561" s="63"/>
      <c r="S561" s="64"/>
      <c r="U561" s="61"/>
      <c r="V561" s="63"/>
    </row>
    <row r="562" ht="15.75" customHeight="1">
      <c r="J562" s="61"/>
      <c r="K562" s="62"/>
      <c r="L562" s="62"/>
      <c r="N562" s="63"/>
      <c r="S562" s="64"/>
      <c r="U562" s="61"/>
      <c r="V562" s="63"/>
    </row>
    <row r="563" ht="15.75" customHeight="1">
      <c r="J563" s="61"/>
      <c r="K563" s="62"/>
      <c r="L563" s="62"/>
      <c r="N563" s="63"/>
      <c r="S563" s="64"/>
      <c r="U563" s="61"/>
      <c r="V563" s="63"/>
    </row>
    <row r="564" ht="15.75" customHeight="1">
      <c r="J564" s="61"/>
      <c r="K564" s="62"/>
      <c r="L564" s="62"/>
      <c r="N564" s="63"/>
      <c r="S564" s="64"/>
      <c r="U564" s="61"/>
      <c r="V564" s="63"/>
    </row>
    <row r="565" ht="15.75" customHeight="1">
      <c r="J565" s="61"/>
      <c r="K565" s="62"/>
      <c r="L565" s="62"/>
      <c r="N565" s="63"/>
      <c r="S565" s="64"/>
      <c r="U565" s="61"/>
      <c r="V565" s="63"/>
    </row>
    <row r="566" ht="15.75" customHeight="1">
      <c r="J566" s="61"/>
      <c r="K566" s="62"/>
      <c r="L566" s="62"/>
      <c r="N566" s="63"/>
      <c r="S566" s="64"/>
      <c r="U566" s="61"/>
      <c r="V566" s="63"/>
    </row>
    <row r="567" ht="15.75" customHeight="1">
      <c r="J567" s="61"/>
      <c r="K567" s="62"/>
      <c r="L567" s="62"/>
      <c r="N567" s="63"/>
      <c r="S567" s="64"/>
      <c r="U567" s="61"/>
      <c r="V567" s="63"/>
    </row>
    <row r="568" ht="15.75" customHeight="1">
      <c r="J568" s="61"/>
      <c r="K568" s="62"/>
      <c r="L568" s="62"/>
      <c r="N568" s="63"/>
      <c r="S568" s="64"/>
      <c r="U568" s="61"/>
      <c r="V568" s="63"/>
    </row>
    <row r="569" ht="15.75" customHeight="1">
      <c r="J569" s="61"/>
      <c r="K569" s="62"/>
      <c r="L569" s="62"/>
      <c r="N569" s="63"/>
      <c r="S569" s="64"/>
      <c r="U569" s="61"/>
      <c r="V569" s="63"/>
    </row>
    <row r="570" ht="15.75" customHeight="1">
      <c r="J570" s="61"/>
      <c r="K570" s="62"/>
      <c r="L570" s="62"/>
      <c r="N570" s="63"/>
      <c r="S570" s="64"/>
      <c r="U570" s="61"/>
      <c r="V570" s="63"/>
    </row>
    <row r="571" ht="15.75" customHeight="1">
      <c r="J571" s="61"/>
      <c r="K571" s="62"/>
      <c r="L571" s="62"/>
      <c r="N571" s="63"/>
      <c r="S571" s="64"/>
      <c r="U571" s="61"/>
      <c r="V571" s="63"/>
    </row>
    <row r="572" ht="15.75" customHeight="1">
      <c r="J572" s="61"/>
      <c r="K572" s="62"/>
      <c r="L572" s="62"/>
      <c r="N572" s="63"/>
      <c r="S572" s="64"/>
      <c r="U572" s="61"/>
      <c r="V572" s="63"/>
    </row>
    <row r="573" ht="15.75" customHeight="1">
      <c r="J573" s="61"/>
      <c r="K573" s="62"/>
      <c r="L573" s="62"/>
      <c r="N573" s="63"/>
      <c r="S573" s="64"/>
      <c r="U573" s="61"/>
      <c r="V573" s="63"/>
    </row>
    <row r="574" ht="15.75" customHeight="1">
      <c r="J574" s="61"/>
      <c r="K574" s="62"/>
      <c r="L574" s="62"/>
      <c r="N574" s="63"/>
      <c r="S574" s="64"/>
      <c r="U574" s="61"/>
      <c r="V574" s="63"/>
    </row>
    <row r="575" ht="15.75" customHeight="1">
      <c r="J575" s="61"/>
      <c r="K575" s="62"/>
      <c r="L575" s="62"/>
      <c r="N575" s="63"/>
      <c r="S575" s="64"/>
      <c r="U575" s="61"/>
      <c r="V575" s="63"/>
    </row>
    <row r="576" ht="15.75" customHeight="1">
      <c r="J576" s="61"/>
      <c r="K576" s="62"/>
      <c r="L576" s="62"/>
      <c r="N576" s="63"/>
      <c r="S576" s="64"/>
      <c r="U576" s="61"/>
      <c r="V576" s="63"/>
    </row>
    <row r="577" ht="15.75" customHeight="1">
      <c r="J577" s="61"/>
      <c r="K577" s="62"/>
      <c r="L577" s="62"/>
      <c r="N577" s="63"/>
      <c r="S577" s="64"/>
      <c r="U577" s="61"/>
      <c r="V577" s="63"/>
    </row>
    <row r="578" ht="15.75" customHeight="1">
      <c r="J578" s="61"/>
      <c r="K578" s="62"/>
      <c r="L578" s="62"/>
      <c r="N578" s="63"/>
      <c r="S578" s="64"/>
      <c r="U578" s="61"/>
      <c r="V578" s="63"/>
    </row>
    <row r="579" ht="15.75" customHeight="1">
      <c r="J579" s="61"/>
      <c r="K579" s="62"/>
      <c r="L579" s="62"/>
      <c r="N579" s="63"/>
      <c r="S579" s="64"/>
      <c r="U579" s="61"/>
      <c r="V579" s="63"/>
    </row>
    <row r="580" ht="15.75" customHeight="1">
      <c r="J580" s="61"/>
      <c r="K580" s="62"/>
      <c r="L580" s="62"/>
      <c r="N580" s="63"/>
      <c r="S580" s="64"/>
      <c r="U580" s="61"/>
      <c r="V580" s="63"/>
    </row>
    <row r="581" ht="15.75" customHeight="1">
      <c r="J581" s="61"/>
      <c r="K581" s="62"/>
      <c r="L581" s="62"/>
      <c r="N581" s="63"/>
      <c r="S581" s="64"/>
      <c r="U581" s="61"/>
      <c r="V581" s="63"/>
    </row>
    <row r="582" ht="15.75" customHeight="1">
      <c r="J582" s="61"/>
      <c r="K582" s="62"/>
      <c r="L582" s="62"/>
      <c r="N582" s="63"/>
      <c r="S582" s="64"/>
      <c r="U582" s="61"/>
      <c r="V582" s="63"/>
    </row>
    <row r="583" ht="15.75" customHeight="1">
      <c r="J583" s="61"/>
      <c r="K583" s="62"/>
      <c r="L583" s="62"/>
      <c r="N583" s="63"/>
      <c r="S583" s="64"/>
      <c r="U583" s="61"/>
      <c r="V583" s="63"/>
    </row>
    <row r="584" ht="15.75" customHeight="1">
      <c r="J584" s="61"/>
      <c r="K584" s="62"/>
      <c r="L584" s="62"/>
      <c r="N584" s="63"/>
      <c r="S584" s="64"/>
      <c r="U584" s="61"/>
      <c r="V584" s="63"/>
    </row>
    <row r="585" ht="15.75" customHeight="1">
      <c r="J585" s="61"/>
      <c r="K585" s="62"/>
      <c r="L585" s="62"/>
      <c r="N585" s="63"/>
      <c r="S585" s="64"/>
      <c r="U585" s="61"/>
      <c r="V585" s="63"/>
    </row>
    <row r="586" ht="15.75" customHeight="1">
      <c r="J586" s="61"/>
      <c r="K586" s="62"/>
      <c r="L586" s="62"/>
      <c r="N586" s="63"/>
      <c r="S586" s="64"/>
      <c r="U586" s="61"/>
      <c r="V586" s="63"/>
    </row>
    <row r="587" ht="15.75" customHeight="1">
      <c r="J587" s="61"/>
      <c r="K587" s="62"/>
      <c r="L587" s="62"/>
      <c r="N587" s="63"/>
      <c r="S587" s="64"/>
      <c r="U587" s="61"/>
      <c r="V587" s="63"/>
    </row>
    <row r="588" ht="15.75" customHeight="1">
      <c r="J588" s="61"/>
      <c r="K588" s="62"/>
      <c r="L588" s="62"/>
      <c r="N588" s="63"/>
      <c r="S588" s="64"/>
      <c r="U588" s="61"/>
      <c r="V588" s="63"/>
    </row>
    <row r="589" ht="15.75" customHeight="1">
      <c r="J589" s="61"/>
      <c r="K589" s="62"/>
      <c r="L589" s="62"/>
      <c r="N589" s="63"/>
      <c r="S589" s="64"/>
      <c r="U589" s="61"/>
      <c r="V589" s="63"/>
    </row>
    <row r="590" ht="15.75" customHeight="1">
      <c r="J590" s="61"/>
      <c r="K590" s="62"/>
      <c r="L590" s="62"/>
      <c r="N590" s="63"/>
      <c r="S590" s="64"/>
      <c r="U590" s="61"/>
      <c r="V590" s="63"/>
    </row>
    <row r="591" ht="15.75" customHeight="1">
      <c r="J591" s="61"/>
      <c r="K591" s="62"/>
      <c r="L591" s="62"/>
      <c r="N591" s="63"/>
      <c r="S591" s="64"/>
      <c r="U591" s="61"/>
      <c r="V591" s="63"/>
    </row>
    <row r="592" ht="15.75" customHeight="1">
      <c r="J592" s="61"/>
      <c r="K592" s="62"/>
      <c r="L592" s="62"/>
      <c r="N592" s="63"/>
      <c r="S592" s="64"/>
      <c r="U592" s="61"/>
      <c r="V592" s="63"/>
    </row>
    <row r="593" ht="15.75" customHeight="1">
      <c r="J593" s="61"/>
      <c r="K593" s="62"/>
      <c r="L593" s="62"/>
      <c r="N593" s="63"/>
      <c r="S593" s="64"/>
      <c r="U593" s="61"/>
      <c r="V593" s="63"/>
    </row>
    <row r="594" ht="15.75" customHeight="1">
      <c r="J594" s="61"/>
      <c r="K594" s="62"/>
      <c r="L594" s="62"/>
      <c r="N594" s="63"/>
      <c r="S594" s="64"/>
      <c r="U594" s="61"/>
      <c r="V594" s="63"/>
    </row>
    <row r="595" ht="15.75" customHeight="1">
      <c r="J595" s="61"/>
      <c r="K595" s="62"/>
      <c r="L595" s="62"/>
      <c r="N595" s="63"/>
      <c r="S595" s="64"/>
      <c r="U595" s="61"/>
      <c r="V595" s="63"/>
    </row>
    <row r="596" ht="15.75" customHeight="1">
      <c r="J596" s="61"/>
      <c r="K596" s="62"/>
      <c r="L596" s="62"/>
      <c r="N596" s="63"/>
      <c r="S596" s="64"/>
      <c r="U596" s="61"/>
      <c r="V596" s="63"/>
    </row>
    <row r="597" ht="15.75" customHeight="1">
      <c r="J597" s="61"/>
      <c r="K597" s="62"/>
      <c r="L597" s="62"/>
      <c r="N597" s="63"/>
      <c r="S597" s="64"/>
      <c r="U597" s="61"/>
      <c r="V597" s="63"/>
    </row>
    <row r="598" ht="15.75" customHeight="1">
      <c r="J598" s="61"/>
      <c r="K598" s="62"/>
      <c r="L598" s="62"/>
      <c r="N598" s="63"/>
      <c r="S598" s="64"/>
      <c r="U598" s="61"/>
      <c r="V598" s="63"/>
    </row>
    <row r="599" ht="15.75" customHeight="1">
      <c r="J599" s="61"/>
      <c r="K599" s="62"/>
      <c r="L599" s="62"/>
      <c r="N599" s="63"/>
      <c r="S599" s="64"/>
      <c r="U599" s="61"/>
      <c r="V599" s="63"/>
    </row>
    <row r="600" ht="15.75" customHeight="1">
      <c r="J600" s="61"/>
      <c r="K600" s="62"/>
      <c r="L600" s="62"/>
      <c r="N600" s="63"/>
      <c r="S600" s="64"/>
      <c r="U600" s="61"/>
      <c r="V600" s="63"/>
    </row>
    <row r="601" ht="15.75" customHeight="1">
      <c r="J601" s="61"/>
      <c r="K601" s="62"/>
      <c r="L601" s="62"/>
      <c r="N601" s="63"/>
      <c r="S601" s="64"/>
      <c r="U601" s="61"/>
      <c r="V601" s="63"/>
    </row>
    <row r="602" ht="15.75" customHeight="1">
      <c r="J602" s="61"/>
      <c r="K602" s="62"/>
      <c r="L602" s="62"/>
      <c r="N602" s="63"/>
      <c r="S602" s="64"/>
      <c r="U602" s="61"/>
      <c r="V602" s="63"/>
    </row>
    <row r="603" ht="15.75" customHeight="1">
      <c r="J603" s="61"/>
      <c r="K603" s="62"/>
      <c r="L603" s="62"/>
      <c r="N603" s="63"/>
      <c r="S603" s="64"/>
      <c r="U603" s="61"/>
      <c r="V603" s="63"/>
    </row>
    <row r="604" ht="15.75" customHeight="1">
      <c r="J604" s="61"/>
      <c r="K604" s="62"/>
      <c r="L604" s="62"/>
      <c r="N604" s="63"/>
      <c r="S604" s="64"/>
      <c r="U604" s="61"/>
      <c r="V604" s="63"/>
    </row>
    <row r="605" ht="15.75" customHeight="1">
      <c r="J605" s="61"/>
      <c r="K605" s="62"/>
      <c r="L605" s="62"/>
      <c r="N605" s="63"/>
      <c r="S605" s="64"/>
      <c r="U605" s="61"/>
      <c r="V605" s="63"/>
    </row>
    <row r="606" ht="15.75" customHeight="1">
      <c r="J606" s="61"/>
      <c r="K606" s="62"/>
      <c r="L606" s="62"/>
      <c r="N606" s="63"/>
      <c r="S606" s="64"/>
      <c r="U606" s="61"/>
      <c r="V606" s="63"/>
    </row>
    <row r="607" ht="15.75" customHeight="1">
      <c r="J607" s="61"/>
      <c r="K607" s="62"/>
      <c r="L607" s="62"/>
      <c r="N607" s="63"/>
      <c r="S607" s="64"/>
      <c r="U607" s="61"/>
      <c r="V607" s="63"/>
    </row>
    <row r="608" ht="15.75" customHeight="1">
      <c r="J608" s="61"/>
      <c r="K608" s="62"/>
      <c r="L608" s="62"/>
      <c r="N608" s="63"/>
      <c r="S608" s="64"/>
      <c r="U608" s="61"/>
      <c r="V608" s="63"/>
    </row>
    <row r="609" ht="15.75" customHeight="1">
      <c r="J609" s="61"/>
      <c r="K609" s="62"/>
      <c r="L609" s="62"/>
      <c r="N609" s="63"/>
      <c r="S609" s="64"/>
      <c r="U609" s="61"/>
      <c r="V609" s="63"/>
    </row>
    <row r="610" ht="15.75" customHeight="1">
      <c r="J610" s="61"/>
      <c r="K610" s="62"/>
      <c r="L610" s="62"/>
      <c r="N610" s="63"/>
      <c r="S610" s="64"/>
      <c r="U610" s="61"/>
      <c r="V610" s="63"/>
    </row>
    <row r="611" ht="15.75" customHeight="1">
      <c r="J611" s="61"/>
      <c r="K611" s="62"/>
      <c r="L611" s="62"/>
      <c r="N611" s="63"/>
      <c r="S611" s="64"/>
      <c r="U611" s="61"/>
      <c r="V611" s="63"/>
    </row>
    <row r="612" ht="15.75" customHeight="1">
      <c r="J612" s="61"/>
      <c r="K612" s="62"/>
      <c r="L612" s="62"/>
      <c r="N612" s="63"/>
      <c r="S612" s="64"/>
      <c r="U612" s="61"/>
      <c r="V612" s="63"/>
    </row>
    <row r="613" ht="15.75" customHeight="1">
      <c r="J613" s="61"/>
      <c r="K613" s="62"/>
      <c r="L613" s="62"/>
      <c r="N613" s="63"/>
      <c r="S613" s="64"/>
      <c r="U613" s="61"/>
      <c r="V613" s="63"/>
    </row>
    <row r="614" ht="15.75" customHeight="1">
      <c r="J614" s="61"/>
      <c r="K614" s="62"/>
      <c r="L614" s="62"/>
      <c r="N614" s="63"/>
      <c r="S614" s="64"/>
      <c r="U614" s="61"/>
      <c r="V614" s="63"/>
    </row>
    <row r="615" ht="15.75" customHeight="1">
      <c r="J615" s="61"/>
      <c r="K615" s="62"/>
      <c r="L615" s="62"/>
      <c r="N615" s="63"/>
      <c r="S615" s="64"/>
      <c r="U615" s="61"/>
      <c r="V615" s="63"/>
    </row>
    <row r="616" ht="15.75" customHeight="1">
      <c r="J616" s="61"/>
      <c r="K616" s="62"/>
      <c r="L616" s="62"/>
      <c r="N616" s="63"/>
      <c r="S616" s="64"/>
      <c r="U616" s="61"/>
      <c r="V616" s="63"/>
    </row>
    <row r="617" ht="15.75" customHeight="1">
      <c r="J617" s="61"/>
      <c r="K617" s="62"/>
      <c r="L617" s="62"/>
      <c r="N617" s="63"/>
      <c r="S617" s="64"/>
      <c r="U617" s="61"/>
      <c r="V617" s="63"/>
    </row>
    <row r="618" ht="15.75" customHeight="1">
      <c r="J618" s="61"/>
      <c r="K618" s="62"/>
      <c r="L618" s="62"/>
      <c r="N618" s="63"/>
      <c r="S618" s="64"/>
      <c r="U618" s="61"/>
      <c r="V618" s="63"/>
    </row>
    <row r="619" ht="15.75" customHeight="1">
      <c r="J619" s="61"/>
      <c r="K619" s="62"/>
      <c r="L619" s="62"/>
      <c r="N619" s="63"/>
      <c r="S619" s="64"/>
      <c r="U619" s="61"/>
      <c r="V619" s="63"/>
    </row>
    <row r="620" ht="15.75" customHeight="1">
      <c r="J620" s="61"/>
      <c r="K620" s="62"/>
      <c r="L620" s="62"/>
      <c r="N620" s="63"/>
      <c r="S620" s="64"/>
      <c r="U620" s="61"/>
      <c r="V620" s="63"/>
    </row>
    <row r="621" ht="15.75" customHeight="1">
      <c r="J621" s="61"/>
      <c r="K621" s="62"/>
      <c r="L621" s="62"/>
      <c r="N621" s="63"/>
      <c r="S621" s="64"/>
      <c r="U621" s="61"/>
      <c r="V621" s="63"/>
    </row>
    <row r="622" ht="15.75" customHeight="1">
      <c r="J622" s="61"/>
      <c r="K622" s="62"/>
      <c r="L622" s="62"/>
      <c r="N622" s="63"/>
      <c r="S622" s="64"/>
      <c r="U622" s="61"/>
      <c r="V622" s="63"/>
    </row>
    <row r="623" ht="15.75" customHeight="1">
      <c r="J623" s="61"/>
      <c r="K623" s="62"/>
      <c r="L623" s="62"/>
      <c r="N623" s="63"/>
      <c r="S623" s="64"/>
      <c r="U623" s="61"/>
      <c r="V623" s="63"/>
    </row>
    <row r="624" ht="15.75" customHeight="1">
      <c r="J624" s="61"/>
      <c r="K624" s="62"/>
      <c r="L624" s="62"/>
      <c r="N624" s="63"/>
      <c r="S624" s="64"/>
      <c r="U624" s="61"/>
      <c r="V624" s="63"/>
    </row>
    <row r="625" ht="15.75" customHeight="1">
      <c r="J625" s="61"/>
      <c r="K625" s="62"/>
      <c r="L625" s="62"/>
      <c r="N625" s="63"/>
      <c r="S625" s="64"/>
      <c r="U625" s="61"/>
      <c r="V625" s="63"/>
    </row>
    <row r="626" ht="15.75" customHeight="1">
      <c r="J626" s="61"/>
      <c r="K626" s="62"/>
      <c r="L626" s="62"/>
      <c r="N626" s="63"/>
      <c r="S626" s="64"/>
      <c r="U626" s="61"/>
      <c r="V626" s="63"/>
    </row>
    <row r="627" ht="15.75" customHeight="1">
      <c r="J627" s="61"/>
      <c r="K627" s="62"/>
      <c r="L627" s="62"/>
      <c r="N627" s="63"/>
      <c r="S627" s="64"/>
      <c r="U627" s="61"/>
      <c r="V627" s="63"/>
    </row>
    <row r="628" ht="15.75" customHeight="1">
      <c r="J628" s="61"/>
      <c r="K628" s="62"/>
      <c r="L628" s="62"/>
      <c r="N628" s="63"/>
      <c r="S628" s="64"/>
      <c r="U628" s="61"/>
      <c r="V628" s="63"/>
    </row>
    <row r="629" ht="15.75" customHeight="1">
      <c r="J629" s="61"/>
      <c r="K629" s="62"/>
      <c r="L629" s="62"/>
      <c r="N629" s="63"/>
      <c r="S629" s="64"/>
      <c r="U629" s="61"/>
      <c r="V629" s="63"/>
    </row>
    <row r="630" ht="15.75" customHeight="1">
      <c r="J630" s="61"/>
      <c r="K630" s="62"/>
      <c r="L630" s="62"/>
      <c r="N630" s="63"/>
      <c r="S630" s="64"/>
      <c r="U630" s="61"/>
      <c r="V630" s="63"/>
    </row>
    <row r="631" ht="15.75" customHeight="1">
      <c r="J631" s="61"/>
      <c r="K631" s="62"/>
      <c r="L631" s="62"/>
      <c r="N631" s="63"/>
      <c r="S631" s="64"/>
      <c r="U631" s="61"/>
      <c r="V631" s="63"/>
    </row>
    <row r="632" ht="15.75" customHeight="1">
      <c r="J632" s="61"/>
      <c r="K632" s="62"/>
      <c r="L632" s="62"/>
      <c r="N632" s="63"/>
      <c r="S632" s="64"/>
      <c r="U632" s="61"/>
      <c r="V632" s="63"/>
    </row>
    <row r="633" ht="15.75" customHeight="1">
      <c r="J633" s="61"/>
      <c r="K633" s="62"/>
      <c r="L633" s="62"/>
      <c r="N633" s="63"/>
      <c r="S633" s="64"/>
      <c r="U633" s="61"/>
      <c r="V633" s="63"/>
    </row>
    <row r="634" ht="15.75" customHeight="1">
      <c r="J634" s="61"/>
      <c r="K634" s="62"/>
      <c r="L634" s="62"/>
      <c r="N634" s="63"/>
      <c r="S634" s="64"/>
      <c r="U634" s="61"/>
      <c r="V634" s="63"/>
    </row>
    <row r="635" ht="15.75" customHeight="1">
      <c r="J635" s="61"/>
      <c r="K635" s="62"/>
      <c r="L635" s="62"/>
      <c r="N635" s="63"/>
      <c r="S635" s="64"/>
      <c r="U635" s="61"/>
      <c r="V635" s="63"/>
    </row>
    <row r="636" ht="15.75" customHeight="1">
      <c r="J636" s="61"/>
      <c r="K636" s="62"/>
      <c r="L636" s="62"/>
      <c r="N636" s="63"/>
      <c r="S636" s="64"/>
      <c r="U636" s="61"/>
      <c r="V636" s="63"/>
    </row>
    <row r="637" ht="15.75" customHeight="1">
      <c r="J637" s="61"/>
      <c r="K637" s="62"/>
      <c r="L637" s="62"/>
      <c r="N637" s="63"/>
      <c r="S637" s="64"/>
      <c r="U637" s="61"/>
      <c r="V637" s="63"/>
    </row>
    <row r="638" ht="15.75" customHeight="1">
      <c r="J638" s="61"/>
      <c r="K638" s="62"/>
      <c r="L638" s="62"/>
      <c r="N638" s="63"/>
      <c r="S638" s="64"/>
      <c r="U638" s="61"/>
      <c r="V638" s="63"/>
    </row>
    <row r="639" ht="15.75" customHeight="1">
      <c r="J639" s="61"/>
      <c r="K639" s="62"/>
      <c r="L639" s="62"/>
      <c r="N639" s="63"/>
      <c r="S639" s="64"/>
      <c r="U639" s="61"/>
      <c r="V639" s="63"/>
    </row>
    <row r="640" ht="15.75" customHeight="1">
      <c r="J640" s="61"/>
      <c r="K640" s="62"/>
      <c r="L640" s="62"/>
      <c r="N640" s="63"/>
      <c r="S640" s="64"/>
      <c r="U640" s="61"/>
      <c r="V640" s="63"/>
    </row>
    <row r="641" ht="15.75" customHeight="1">
      <c r="J641" s="61"/>
      <c r="K641" s="62"/>
      <c r="L641" s="62"/>
      <c r="N641" s="63"/>
      <c r="S641" s="64"/>
      <c r="U641" s="61"/>
      <c r="V641" s="63"/>
    </row>
    <row r="642" ht="15.75" customHeight="1">
      <c r="J642" s="61"/>
      <c r="K642" s="62"/>
      <c r="L642" s="62"/>
      <c r="N642" s="63"/>
      <c r="S642" s="64"/>
      <c r="U642" s="61"/>
      <c r="V642" s="63"/>
    </row>
    <row r="643" ht="15.75" customHeight="1">
      <c r="J643" s="61"/>
      <c r="K643" s="62"/>
      <c r="L643" s="62"/>
      <c r="N643" s="63"/>
      <c r="S643" s="64"/>
      <c r="U643" s="61"/>
      <c r="V643" s="63"/>
    </row>
    <row r="644" ht="15.75" customHeight="1">
      <c r="J644" s="61"/>
      <c r="K644" s="62"/>
      <c r="L644" s="62"/>
      <c r="N644" s="63"/>
      <c r="S644" s="64"/>
      <c r="U644" s="61"/>
      <c r="V644" s="63"/>
    </row>
    <row r="645" ht="15.75" customHeight="1">
      <c r="J645" s="61"/>
      <c r="K645" s="62"/>
      <c r="L645" s="62"/>
      <c r="N645" s="63"/>
      <c r="S645" s="64"/>
      <c r="U645" s="61"/>
      <c r="V645" s="63"/>
    </row>
    <row r="646" ht="15.75" customHeight="1">
      <c r="J646" s="61"/>
      <c r="K646" s="62"/>
      <c r="L646" s="62"/>
      <c r="N646" s="63"/>
      <c r="S646" s="64"/>
      <c r="U646" s="61"/>
      <c r="V646" s="63"/>
    </row>
    <row r="647" ht="15.75" customHeight="1">
      <c r="J647" s="61"/>
      <c r="K647" s="62"/>
      <c r="L647" s="62"/>
      <c r="N647" s="63"/>
      <c r="S647" s="64"/>
      <c r="U647" s="61"/>
      <c r="V647" s="63"/>
    </row>
    <row r="648" ht="15.75" customHeight="1">
      <c r="J648" s="61"/>
      <c r="K648" s="62"/>
      <c r="L648" s="62"/>
      <c r="N648" s="63"/>
      <c r="S648" s="64"/>
      <c r="U648" s="61"/>
      <c r="V648" s="63"/>
    </row>
    <row r="649" ht="15.75" customHeight="1">
      <c r="J649" s="61"/>
      <c r="K649" s="62"/>
      <c r="L649" s="62"/>
      <c r="N649" s="63"/>
      <c r="S649" s="64"/>
      <c r="U649" s="61"/>
      <c r="V649" s="63"/>
    </row>
    <row r="650" ht="15.75" customHeight="1">
      <c r="J650" s="61"/>
      <c r="K650" s="62"/>
      <c r="L650" s="62"/>
      <c r="N650" s="63"/>
      <c r="S650" s="64"/>
      <c r="U650" s="61"/>
      <c r="V650" s="63"/>
    </row>
    <row r="651" ht="15.75" customHeight="1">
      <c r="J651" s="61"/>
      <c r="K651" s="62"/>
      <c r="L651" s="62"/>
      <c r="N651" s="63"/>
      <c r="S651" s="64"/>
      <c r="U651" s="61"/>
      <c r="V651" s="63"/>
    </row>
    <row r="652" ht="15.75" customHeight="1">
      <c r="J652" s="61"/>
      <c r="K652" s="62"/>
      <c r="L652" s="62"/>
      <c r="N652" s="63"/>
      <c r="S652" s="64"/>
      <c r="U652" s="61"/>
      <c r="V652" s="63"/>
    </row>
    <row r="653" ht="15.75" customHeight="1">
      <c r="J653" s="61"/>
      <c r="K653" s="62"/>
      <c r="L653" s="62"/>
      <c r="N653" s="63"/>
      <c r="S653" s="64"/>
      <c r="U653" s="61"/>
      <c r="V653" s="63"/>
    </row>
    <row r="654" ht="15.75" customHeight="1">
      <c r="J654" s="61"/>
      <c r="K654" s="62"/>
      <c r="L654" s="62"/>
      <c r="N654" s="63"/>
      <c r="S654" s="64"/>
      <c r="U654" s="61"/>
      <c r="V654" s="63"/>
    </row>
    <row r="655" ht="15.75" customHeight="1">
      <c r="J655" s="61"/>
      <c r="K655" s="62"/>
      <c r="L655" s="62"/>
      <c r="N655" s="63"/>
      <c r="S655" s="64"/>
      <c r="U655" s="61"/>
      <c r="V655" s="63"/>
    </row>
    <row r="656" ht="15.75" customHeight="1">
      <c r="J656" s="61"/>
      <c r="K656" s="62"/>
      <c r="L656" s="62"/>
      <c r="N656" s="63"/>
      <c r="S656" s="64"/>
      <c r="U656" s="61"/>
      <c r="V656" s="63"/>
    </row>
    <row r="657" ht="15.75" customHeight="1">
      <c r="J657" s="61"/>
      <c r="K657" s="62"/>
      <c r="L657" s="62"/>
      <c r="N657" s="63"/>
      <c r="S657" s="64"/>
      <c r="U657" s="61"/>
      <c r="V657" s="63"/>
    </row>
    <row r="658" ht="15.75" customHeight="1">
      <c r="J658" s="61"/>
      <c r="K658" s="62"/>
      <c r="L658" s="62"/>
      <c r="N658" s="63"/>
      <c r="S658" s="64"/>
      <c r="U658" s="61"/>
      <c r="V658" s="63"/>
    </row>
    <row r="659" ht="15.75" customHeight="1">
      <c r="J659" s="61"/>
      <c r="K659" s="62"/>
      <c r="L659" s="62"/>
      <c r="N659" s="63"/>
      <c r="S659" s="64"/>
      <c r="U659" s="61"/>
      <c r="V659" s="63"/>
    </row>
    <row r="660" ht="15.75" customHeight="1">
      <c r="J660" s="61"/>
      <c r="K660" s="62"/>
      <c r="L660" s="62"/>
      <c r="N660" s="63"/>
      <c r="S660" s="64"/>
      <c r="U660" s="61"/>
      <c r="V660" s="63"/>
    </row>
    <row r="661" ht="15.75" customHeight="1">
      <c r="J661" s="61"/>
      <c r="K661" s="62"/>
      <c r="L661" s="62"/>
      <c r="N661" s="63"/>
      <c r="S661" s="64"/>
      <c r="U661" s="61"/>
      <c r="V661" s="63"/>
    </row>
    <row r="662" ht="15.75" customHeight="1">
      <c r="J662" s="61"/>
      <c r="K662" s="62"/>
      <c r="L662" s="62"/>
      <c r="N662" s="63"/>
      <c r="S662" s="64"/>
      <c r="U662" s="61"/>
      <c r="V662" s="63"/>
    </row>
    <row r="663" ht="15.75" customHeight="1">
      <c r="J663" s="61"/>
      <c r="K663" s="62"/>
      <c r="L663" s="62"/>
      <c r="N663" s="63"/>
      <c r="S663" s="64"/>
      <c r="U663" s="61"/>
      <c r="V663" s="63"/>
    </row>
    <row r="664" ht="15.75" customHeight="1">
      <c r="J664" s="61"/>
      <c r="K664" s="62"/>
      <c r="L664" s="62"/>
      <c r="N664" s="63"/>
      <c r="S664" s="64"/>
      <c r="U664" s="61"/>
      <c r="V664" s="63"/>
    </row>
    <row r="665" ht="15.75" customHeight="1">
      <c r="J665" s="61"/>
      <c r="K665" s="62"/>
      <c r="L665" s="62"/>
      <c r="N665" s="63"/>
      <c r="S665" s="64"/>
      <c r="U665" s="61"/>
      <c r="V665" s="63"/>
    </row>
    <row r="666" ht="15.75" customHeight="1">
      <c r="J666" s="61"/>
      <c r="K666" s="62"/>
      <c r="L666" s="62"/>
      <c r="N666" s="63"/>
      <c r="S666" s="64"/>
      <c r="U666" s="61"/>
      <c r="V666" s="63"/>
    </row>
    <row r="667" ht="15.75" customHeight="1">
      <c r="J667" s="61"/>
      <c r="K667" s="62"/>
      <c r="L667" s="62"/>
      <c r="N667" s="63"/>
      <c r="S667" s="64"/>
      <c r="U667" s="61"/>
      <c r="V667" s="63"/>
    </row>
    <row r="668" ht="15.75" customHeight="1">
      <c r="J668" s="61"/>
      <c r="K668" s="62"/>
      <c r="L668" s="62"/>
      <c r="N668" s="63"/>
      <c r="S668" s="64"/>
      <c r="U668" s="61"/>
      <c r="V668" s="63"/>
    </row>
    <row r="669" ht="15.75" customHeight="1">
      <c r="J669" s="61"/>
      <c r="K669" s="62"/>
      <c r="L669" s="62"/>
      <c r="N669" s="63"/>
      <c r="S669" s="64"/>
      <c r="U669" s="61"/>
      <c r="V669" s="63"/>
    </row>
    <row r="670" ht="15.75" customHeight="1">
      <c r="J670" s="61"/>
      <c r="K670" s="62"/>
      <c r="L670" s="62"/>
      <c r="N670" s="63"/>
      <c r="S670" s="64"/>
      <c r="U670" s="61"/>
      <c r="V670" s="63"/>
    </row>
    <row r="671" ht="15.75" customHeight="1">
      <c r="J671" s="61"/>
      <c r="K671" s="62"/>
      <c r="L671" s="62"/>
      <c r="N671" s="63"/>
      <c r="S671" s="64"/>
      <c r="U671" s="61"/>
      <c r="V671" s="63"/>
    </row>
    <row r="672" ht="15.75" customHeight="1">
      <c r="J672" s="61"/>
      <c r="K672" s="62"/>
      <c r="L672" s="62"/>
      <c r="N672" s="63"/>
      <c r="S672" s="64"/>
      <c r="U672" s="61"/>
      <c r="V672" s="63"/>
    </row>
    <row r="673" ht="15.75" customHeight="1">
      <c r="J673" s="61"/>
      <c r="K673" s="62"/>
      <c r="L673" s="62"/>
      <c r="N673" s="63"/>
      <c r="S673" s="64"/>
      <c r="U673" s="61"/>
      <c r="V673" s="63"/>
    </row>
    <row r="674" ht="15.75" customHeight="1">
      <c r="J674" s="61"/>
      <c r="K674" s="62"/>
      <c r="L674" s="62"/>
      <c r="N674" s="63"/>
      <c r="S674" s="64"/>
      <c r="U674" s="61"/>
      <c r="V674" s="63"/>
    </row>
    <row r="675" ht="15.75" customHeight="1">
      <c r="J675" s="61"/>
      <c r="K675" s="62"/>
      <c r="L675" s="62"/>
      <c r="N675" s="63"/>
      <c r="S675" s="64"/>
      <c r="U675" s="61"/>
      <c r="V675" s="63"/>
    </row>
    <row r="676" ht="15.75" customHeight="1">
      <c r="J676" s="61"/>
      <c r="K676" s="62"/>
      <c r="L676" s="62"/>
      <c r="N676" s="63"/>
      <c r="S676" s="64"/>
      <c r="U676" s="61"/>
      <c r="V676" s="63"/>
    </row>
    <row r="677" ht="15.75" customHeight="1">
      <c r="J677" s="61"/>
      <c r="K677" s="62"/>
      <c r="L677" s="62"/>
      <c r="N677" s="63"/>
      <c r="S677" s="64"/>
      <c r="U677" s="61"/>
      <c r="V677" s="63"/>
    </row>
    <row r="678" ht="15.75" customHeight="1">
      <c r="J678" s="61"/>
      <c r="K678" s="62"/>
      <c r="L678" s="62"/>
      <c r="N678" s="63"/>
      <c r="S678" s="64"/>
      <c r="U678" s="61"/>
      <c r="V678" s="63"/>
    </row>
    <row r="679" ht="15.75" customHeight="1">
      <c r="J679" s="61"/>
      <c r="K679" s="62"/>
      <c r="L679" s="62"/>
      <c r="N679" s="63"/>
      <c r="S679" s="64"/>
      <c r="U679" s="61"/>
      <c r="V679" s="63"/>
    </row>
    <row r="680" ht="15.75" customHeight="1">
      <c r="J680" s="61"/>
      <c r="K680" s="62"/>
      <c r="L680" s="62"/>
      <c r="N680" s="63"/>
      <c r="S680" s="64"/>
      <c r="U680" s="61"/>
      <c r="V680" s="63"/>
    </row>
    <row r="681" ht="15.75" customHeight="1">
      <c r="J681" s="61"/>
      <c r="K681" s="62"/>
      <c r="L681" s="62"/>
      <c r="N681" s="63"/>
      <c r="S681" s="64"/>
      <c r="U681" s="61"/>
      <c r="V681" s="63"/>
    </row>
    <row r="682" ht="15.75" customHeight="1">
      <c r="J682" s="61"/>
      <c r="K682" s="62"/>
      <c r="L682" s="62"/>
      <c r="N682" s="63"/>
      <c r="S682" s="64"/>
      <c r="U682" s="61"/>
      <c r="V682" s="63"/>
    </row>
    <row r="683" ht="15.75" customHeight="1">
      <c r="J683" s="61"/>
      <c r="K683" s="62"/>
      <c r="L683" s="62"/>
      <c r="N683" s="63"/>
      <c r="S683" s="64"/>
      <c r="U683" s="61"/>
      <c r="V683" s="63"/>
    </row>
    <row r="684" ht="15.75" customHeight="1">
      <c r="J684" s="61"/>
      <c r="K684" s="62"/>
      <c r="L684" s="62"/>
      <c r="N684" s="63"/>
      <c r="S684" s="64"/>
      <c r="U684" s="61"/>
      <c r="V684" s="63"/>
    </row>
    <row r="685" ht="15.75" customHeight="1">
      <c r="J685" s="61"/>
      <c r="K685" s="62"/>
      <c r="L685" s="62"/>
      <c r="N685" s="63"/>
      <c r="S685" s="64"/>
      <c r="U685" s="61"/>
      <c r="V685" s="63"/>
    </row>
    <row r="686" ht="15.75" customHeight="1">
      <c r="J686" s="61"/>
      <c r="K686" s="62"/>
      <c r="L686" s="62"/>
      <c r="N686" s="63"/>
      <c r="S686" s="64"/>
      <c r="U686" s="61"/>
      <c r="V686" s="63"/>
    </row>
    <row r="687" ht="15.75" customHeight="1">
      <c r="J687" s="61"/>
      <c r="K687" s="62"/>
      <c r="L687" s="62"/>
      <c r="N687" s="63"/>
      <c r="S687" s="64"/>
      <c r="U687" s="61"/>
      <c r="V687" s="63"/>
    </row>
    <row r="688" ht="15.75" customHeight="1">
      <c r="J688" s="61"/>
      <c r="K688" s="62"/>
      <c r="L688" s="62"/>
      <c r="N688" s="63"/>
      <c r="S688" s="64"/>
      <c r="U688" s="61"/>
      <c r="V688" s="63"/>
    </row>
    <row r="689" ht="15.75" customHeight="1">
      <c r="J689" s="61"/>
      <c r="K689" s="62"/>
      <c r="L689" s="62"/>
      <c r="N689" s="63"/>
      <c r="S689" s="64"/>
      <c r="U689" s="61"/>
      <c r="V689" s="63"/>
    </row>
    <row r="690" ht="15.75" customHeight="1">
      <c r="J690" s="61"/>
      <c r="K690" s="62"/>
      <c r="L690" s="62"/>
      <c r="N690" s="63"/>
      <c r="S690" s="64"/>
      <c r="U690" s="61"/>
      <c r="V690" s="63"/>
    </row>
    <row r="691" ht="15.75" customHeight="1">
      <c r="J691" s="61"/>
      <c r="K691" s="62"/>
      <c r="L691" s="62"/>
      <c r="N691" s="63"/>
      <c r="S691" s="64"/>
      <c r="U691" s="61"/>
      <c r="V691" s="63"/>
    </row>
    <row r="692" ht="15.75" customHeight="1">
      <c r="J692" s="61"/>
      <c r="K692" s="62"/>
      <c r="L692" s="62"/>
      <c r="N692" s="63"/>
      <c r="S692" s="64"/>
      <c r="U692" s="61"/>
      <c r="V692" s="63"/>
    </row>
    <row r="693" ht="15.75" customHeight="1">
      <c r="J693" s="61"/>
      <c r="K693" s="62"/>
      <c r="L693" s="62"/>
      <c r="N693" s="63"/>
      <c r="S693" s="64"/>
      <c r="U693" s="61"/>
      <c r="V693" s="63"/>
    </row>
    <row r="694" ht="15.75" customHeight="1">
      <c r="J694" s="61"/>
      <c r="K694" s="62"/>
      <c r="L694" s="62"/>
      <c r="N694" s="63"/>
      <c r="S694" s="64"/>
      <c r="U694" s="61"/>
      <c r="V694" s="63"/>
    </row>
    <row r="695" ht="15.75" customHeight="1">
      <c r="J695" s="61"/>
      <c r="K695" s="62"/>
      <c r="L695" s="62"/>
      <c r="N695" s="63"/>
      <c r="S695" s="64"/>
      <c r="U695" s="61"/>
      <c r="V695" s="63"/>
    </row>
    <row r="696" ht="15.75" customHeight="1">
      <c r="J696" s="61"/>
      <c r="K696" s="62"/>
      <c r="L696" s="62"/>
      <c r="N696" s="63"/>
      <c r="S696" s="64"/>
      <c r="U696" s="61"/>
      <c r="V696" s="63"/>
    </row>
    <row r="697" ht="15.75" customHeight="1">
      <c r="J697" s="61"/>
      <c r="K697" s="62"/>
      <c r="L697" s="62"/>
      <c r="N697" s="63"/>
      <c r="S697" s="64"/>
      <c r="U697" s="61"/>
      <c r="V697" s="63"/>
    </row>
    <row r="698" ht="15.75" customHeight="1">
      <c r="J698" s="61"/>
      <c r="K698" s="62"/>
      <c r="L698" s="62"/>
      <c r="N698" s="63"/>
      <c r="S698" s="64"/>
      <c r="U698" s="61"/>
      <c r="V698" s="63"/>
    </row>
    <row r="699" ht="15.75" customHeight="1">
      <c r="J699" s="61"/>
      <c r="K699" s="62"/>
      <c r="L699" s="62"/>
      <c r="N699" s="63"/>
      <c r="S699" s="64"/>
      <c r="U699" s="61"/>
      <c r="V699" s="63"/>
    </row>
    <row r="700" ht="15.75" customHeight="1">
      <c r="J700" s="61"/>
      <c r="K700" s="62"/>
      <c r="L700" s="62"/>
      <c r="N700" s="63"/>
      <c r="S700" s="64"/>
      <c r="U700" s="61"/>
      <c r="V700" s="63"/>
    </row>
    <row r="701" ht="15.75" customHeight="1">
      <c r="J701" s="61"/>
      <c r="K701" s="62"/>
      <c r="L701" s="62"/>
      <c r="N701" s="63"/>
      <c r="S701" s="64"/>
      <c r="U701" s="61"/>
      <c r="V701" s="63"/>
    </row>
    <row r="702" ht="15.75" customHeight="1">
      <c r="J702" s="61"/>
      <c r="K702" s="62"/>
      <c r="L702" s="62"/>
      <c r="N702" s="63"/>
      <c r="S702" s="64"/>
      <c r="U702" s="61"/>
      <c r="V702" s="63"/>
    </row>
    <row r="703" ht="15.75" customHeight="1">
      <c r="J703" s="61"/>
      <c r="K703" s="62"/>
      <c r="L703" s="62"/>
      <c r="N703" s="63"/>
      <c r="S703" s="64"/>
      <c r="U703" s="61"/>
      <c r="V703" s="63"/>
    </row>
    <row r="704" ht="15.75" customHeight="1">
      <c r="J704" s="61"/>
      <c r="K704" s="62"/>
      <c r="L704" s="62"/>
      <c r="N704" s="63"/>
      <c r="S704" s="64"/>
      <c r="U704" s="61"/>
      <c r="V704" s="63"/>
    </row>
    <row r="705" ht="15.75" customHeight="1">
      <c r="J705" s="61"/>
      <c r="K705" s="62"/>
      <c r="L705" s="62"/>
      <c r="N705" s="63"/>
      <c r="S705" s="64"/>
      <c r="U705" s="61"/>
      <c r="V705" s="63"/>
    </row>
    <row r="706" ht="15.75" customHeight="1">
      <c r="J706" s="61"/>
      <c r="K706" s="62"/>
      <c r="L706" s="62"/>
      <c r="N706" s="63"/>
      <c r="S706" s="64"/>
      <c r="U706" s="61"/>
      <c r="V706" s="63"/>
    </row>
    <row r="707" ht="15.75" customHeight="1">
      <c r="J707" s="61"/>
      <c r="K707" s="62"/>
      <c r="L707" s="62"/>
      <c r="N707" s="63"/>
      <c r="S707" s="64"/>
      <c r="U707" s="61"/>
      <c r="V707" s="63"/>
    </row>
    <row r="708" ht="15.75" customHeight="1">
      <c r="J708" s="61"/>
      <c r="K708" s="62"/>
      <c r="L708" s="62"/>
      <c r="N708" s="63"/>
      <c r="S708" s="64"/>
      <c r="U708" s="61"/>
      <c r="V708" s="63"/>
    </row>
    <row r="709" ht="15.75" customHeight="1">
      <c r="J709" s="61"/>
      <c r="K709" s="62"/>
      <c r="L709" s="62"/>
      <c r="N709" s="63"/>
      <c r="S709" s="64"/>
      <c r="U709" s="61"/>
      <c r="V709" s="63"/>
    </row>
    <row r="710" ht="15.75" customHeight="1">
      <c r="J710" s="61"/>
      <c r="K710" s="62"/>
      <c r="L710" s="62"/>
      <c r="N710" s="63"/>
      <c r="S710" s="64"/>
      <c r="U710" s="61"/>
      <c r="V710" s="63"/>
    </row>
    <row r="711" ht="15.75" customHeight="1">
      <c r="J711" s="61"/>
      <c r="K711" s="62"/>
      <c r="L711" s="62"/>
      <c r="N711" s="63"/>
      <c r="S711" s="64"/>
      <c r="U711" s="61"/>
      <c r="V711" s="63"/>
    </row>
    <row r="712" ht="15.75" customHeight="1">
      <c r="J712" s="61"/>
      <c r="K712" s="62"/>
      <c r="L712" s="62"/>
      <c r="N712" s="63"/>
      <c r="S712" s="64"/>
      <c r="U712" s="61"/>
      <c r="V712" s="63"/>
    </row>
    <row r="713" ht="15.75" customHeight="1">
      <c r="J713" s="61"/>
      <c r="K713" s="62"/>
      <c r="L713" s="62"/>
      <c r="N713" s="63"/>
      <c r="S713" s="64"/>
      <c r="U713" s="61"/>
      <c r="V713" s="63"/>
    </row>
    <row r="714" ht="15.75" customHeight="1">
      <c r="J714" s="61"/>
      <c r="K714" s="62"/>
      <c r="L714" s="62"/>
      <c r="N714" s="63"/>
      <c r="S714" s="64"/>
      <c r="U714" s="61"/>
      <c r="V714" s="63"/>
    </row>
    <row r="715" ht="15.75" customHeight="1">
      <c r="J715" s="61"/>
      <c r="K715" s="62"/>
      <c r="L715" s="62"/>
      <c r="N715" s="63"/>
      <c r="S715" s="64"/>
      <c r="U715" s="61"/>
      <c r="V715" s="63"/>
    </row>
    <row r="716" ht="15.75" customHeight="1">
      <c r="J716" s="61"/>
      <c r="K716" s="62"/>
      <c r="L716" s="62"/>
      <c r="N716" s="63"/>
      <c r="S716" s="64"/>
      <c r="U716" s="61"/>
      <c r="V716" s="63"/>
    </row>
    <row r="717" ht="15.75" customHeight="1">
      <c r="J717" s="61"/>
      <c r="K717" s="62"/>
      <c r="L717" s="62"/>
      <c r="N717" s="63"/>
      <c r="S717" s="64"/>
      <c r="U717" s="61"/>
      <c r="V717" s="63"/>
    </row>
    <row r="718" ht="15.75" customHeight="1">
      <c r="J718" s="61"/>
      <c r="K718" s="62"/>
      <c r="L718" s="62"/>
      <c r="N718" s="63"/>
      <c r="S718" s="64"/>
      <c r="U718" s="61"/>
      <c r="V718" s="63"/>
    </row>
    <row r="719" ht="15.75" customHeight="1">
      <c r="J719" s="61"/>
      <c r="K719" s="62"/>
      <c r="L719" s="62"/>
      <c r="N719" s="63"/>
      <c r="S719" s="64"/>
      <c r="U719" s="61"/>
      <c r="V719" s="63"/>
    </row>
    <row r="720" ht="15.75" customHeight="1">
      <c r="J720" s="61"/>
      <c r="K720" s="62"/>
      <c r="L720" s="62"/>
      <c r="N720" s="63"/>
      <c r="S720" s="64"/>
      <c r="U720" s="61"/>
      <c r="V720" s="63"/>
    </row>
    <row r="721" ht="15.75" customHeight="1">
      <c r="J721" s="61"/>
      <c r="K721" s="62"/>
      <c r="L721" s="62"/>
      <c r="N721" s="63"/>
      <c r="S721" s="64"/>
      <c r="U721" s="61"/>
      <c r="V721" s="63"/>
    </row>
    <row r="722" ht="15.75" customHeight="1">
      <c r="J722" s="61"/>
      <c r="K722" s="62"/>
      <c r="L722" s="62"/>
      <c r="N722" s="63"/>
      <c r="S722" s="64"/>
      <c r="U722" s="61"/>
      <c r="V722" s="63"/>
    </row>
    <row r="723" ht="15.75" customHeight="1">
      <c r="J723" s="61"/>
      <c r="K723" s="62"/>
      <c r="L723" s="62"/>
      <c r="N723" s="63"/>
      <c r="S723" s="64"/>
      <c r="U723" s="61"/>
      <c r="V723" s="63"/>
    </row>
    <row r="724" ht="15.75" customHeight="1">
      <c r="J724" s="61"/>
      <c r="K724" s="62"/>
      <c r="L724" s="62"/>
      <c r="N724" s="63"/>
      <c r="S724" s="64"/>
      <c r="U724" s="61"/>
      <c r="V724" s="63"/>
    </row>
    <row r="725" ht="15.75" customHeight="1">
      <c r="J725" s="61"/>
      <c r="K725" s="62"/>
      <c r="L725" s="62"/>
      <c r="N725" s="63"/>
      <c r="S725" s="64"/>
      <c r="U725" s="61"/>
      <c r="V725" s="63"/>
    </row>
    <row r="726" ht="15.75" customHeight="1">
      <c r="J726" s="61"/>
      <c r="K726" s="62"/>
      <c r="L726" s="62"/>
      <c r="N726" s="63"/>
      <c r="S726" s="64"/>
      <c r="U726" s="61"/>
      <c r="V726" s="63"/>
    </row>
    <row r="727" ht="15.75" customHeight="1">
      <c r="J727" s="61"/>
      <c r="K727" s="62"/>
      <c r="L727" s="62"/>
      <c r="N727" s="63"/>
      <c r="S727" s="64"/>
      <c r="U727" s="61"/>
      <c r="V727" s="63"/>
    </row>
    <row r="728" ht="15.75" customHeight="1">
      <c r="J728" s="61"/>
      <c r="K728" s="62"/>
      <c r="L728" s="62"/>
      <c r="N728" s="63"/>
      <c r="S728" s="64"/>
      <c r="U728" s="61"/>
      <c r="V728" s="63"/>
    </row>
    <row r="729" ht="15.75" customHeight="1">
      <c r="J729" s="61"/>
      <c r="K729" s="62"/>
      <c r="L729" s="62"/>
      <c r="N729" s="63"/>
      <c r="S729" s="64"/>
      <c r="U729" s="61"/>
      <c r="V729" s="63"/>
    </row>
    <row r="730" ht="15.75" customHeight="1">
      <c r="J730" s="61"/>
      <c r="K730" s="62"/>
      <c r="L730" s="62"/>
      <c r="N730" s="63"/>
      <c r="S730" s="64"/>
      <c r="U730" s="61"/>
      <c r="V730" s="63"/>
    </row>
    <row r="731" ht="15.75" customHeight="1">
      <c r="J731" s="61"/>
      <c r="K731" s="62"/>
      <c r="L731" s="62"/>
      <c r="N731" s="63"/>
      <c r="S731" s="64"/>
      <c r="U731" s="61"/>
      <c r="V731" s="63"/>
    </row>
    <row r="732" ht="15.75" customHeight="1">
      <c r="J732" s="61"/>
      <c r="K732" s="62"/>
      <c r="L732" s="62"/>
      <c r="N732" s="63"/>
      <c r="S732" s="64"/>
      <c r="U732" s="61"/>
      <c r="V732" s="63"/>
    </row>
    <row r="733" ht="15.75" customHeight="1">
      <c r="J733" s="61"/>
      <c r="K733" s="62"/>
      <c r="L733" s="62"/>
      <c r="N733" s="63"/>
      <c r="S733" s="64"/>
      <c r="U733" s="61"/>
      <c r="V733" s="63"/>
    </row>
    <row r="734" ht="15.75" customHeight="1">
      <c r="J734" s="61"/>
      <c r="K734" s="62"/>
      <c r="L734" s="62"/>
      <c r="N734" s="63"/>
      <c r="S734" s="64"/>
      <c r="U734" s="61"/>
      <c r="V734" s="63"/>
    </row>
    <row r="735" ht="15.75" customHeight="1">
      <c r="J735" s="61"/>
      <c r="K735" s="62"/>
      <c r="L735" s="62"/>
      <c r="N735" s="63"/>
      <c r="S735" s="64"/>
      <c r="U735" s="61"/>
      <c r="V735" s="63"/>
    </row>
    <row r="736" ht="15.75" customHeight="1">
      <c r="J736" s="61"/>
      <c r="K736" s="62"/>
      <c r="L736" s="62"/>
      <c r="N736" s="63"/>
      <c r="S736" s="64"/>
      <c r="U736" s="61"/>
      <c r="V736" s="63"/>
    </row>
    <row r="737" ht="15.75" customHeight="1">
      <c r="J737" s="61"/>
      <c r="K737" s="62"/>
      <c r="L737" s="62"/>
      <c r="N737" s="63"/>
      <c r="S737" s="64"/>
      <c r="U737" s="61"/>
      <c r="V737" s="63"/>
    </row>
    <row r="738" ht="15.75" customHeight="1">
      <c r="J738" s="61"/>
      <c r="K738" s="62"/>
      <c r="L738" s="62"/>
      <c r="N738" s="63"/>
      <c r="S738" s="64"/>
      <c r="U738" s="61"/>
      <c r="V738" s="63"/>
    </row>
    <row r="739" ht="15.75" customHeight="1">
      <c r="J739" s="61"/>
      <c r="K739" s="62"/>
      <c r="L739" s="62"/>
      <c r="N739" s="63"/>
      <c r="S739" s="64"/>
      <c r="U739" s="61"/>
      <c r="V739" s="63"/>
    </row>
    <row r="740" ht="15.75" customHeight="1">
      <c r="J740" s="61"/>
      <c r="K740" s="62"/>
      <c r="L740" s="62"/>
      <c r="N740" s="63"/>
      <c r="S740" s="64"/>
      <c r="U740" s="61"/>
      <c r="V740" s="63"/>
    </row>
    <row r="741" ht="15.75" customHeight="1">
      <c r="J741" s="61"/>
      <c r="K741" s="62"/>
      <c r="L741" s="62"/>
      <c r="N741" s="63"/>
      <c r="S741" s="64"/>
      <c r="U741" s="61"/>
      <c r="V741" s="63"/>
    </row>
    <row r="742" ht="15.75" customHeight="1">
      <c r="J742" s="61"/>
      <c r="K742" s="62"/>
      <c r="L742" s="62"/>
      <c r="N742" s="63"/>
      <c r="S742" s="64"/>
      <c r="U742" s="61"/>
      <c r="V742" s="63"/>
    </row>
    <row r="743" ht="15.75" customHeight="1">
      <c r="J743" s="61"/>
      <c r="K743" s="62"/>
      <c r="L743" s="62"/>
      <c r="N743" s="63"/>
      <c r="S743" s="64"/>
      <c r="U743" s="61"/>
      <c r="V743" s="63"/>
    </row>
    <row r="744" ht="15.75" customHeight="1">
      <c r="J744" s="61"/>
      <c r="K744" s="62"/>
      <c r="L744" s="62"/>
      <c r="N744" s="63"/>
      <c r="S744" s="64"/>
      <c r="U744" s="61"/>
      <c r="V744" s="63"/>
    </row>
    <row r="745" ht="15.75" customHeight="1">
      <c r="J745" s="61"/>
      <c r="K745" s="62"/>
      <c r="L745" s="62"/>
      <c r="N745" s="63"/>
      <c r="S745" s="64"/>
      <c r="U745" s="61"/>
      <c r="V745" s="63"/>
    </row>
    <row r="746" ht="15.75" customHeight="1">
      <c r="J746" s="61"/>
      <c r="K746" s="62"/>
      <c r="L746" s="62"/>
      <c r="N746" s="63"/>
      <c r="S746" s="64"/>
      <c r="U746" s="61"/>
      <c r="V746" s="63"/>
    </row>
    <row r="747" ht="15.75" customHeight="1">
      <c r="J747" s="61"/>
      <c r="K747" s="62"/>
      <c r="L747" s="62"/>
      <c r="N747" s="63"/>
      <c r="S747" s="64"/>
      <c r="U747" s="61"/>
      <c r="V747" s="63"/>
    </row>
    <row r="748" ht="15.75" customHeight="1">
      <c r="J748" s="61"/>
      <c r="K748" s="62"/>
      <c r="L748" s="62"/>
      <c r="N748" s="63"/>
      <c r="S748" s="64"/>
      <c r="U748" s="61"/>
      <c r="V748" s="63"/>
    </row>
    <row r="749" ht="15.75" customHeight="1">
      <c r="J749" s="61"/>
      <c r="K749" s="62"/>
      <c r="L749" s="62"/>
      <c r="N749" s="63"/>
      <c r="S749" s="64"/>
      <c r="U749" s="61"/>
      <c r="V749" s="63"/>
    </row>
    <row r="750" ht="15.75" customHeight="1">
      <c r="J750" s="61"/>
      <c r="K750" s="62"/>
      <c r="L750" s="62"/>
      <c r="N750" s="63"/>
      <c r="S750" s="64"/>
      <c r="U750" s="61"/>
      <c r="V750" s="63"/>
    </row>
    <row r="751" ht="15.75" customHeight="1">
      <c r="J751" s="61"/>
      <c r="K751" s="62"/>
      <c r="L751" s="62"/>
      <c r="N751" s="63"/>
      <c r="S751" s="64"/>
      <c r="U751" s="61"/>
      <c r="V751" s="63"/>
    </row>
    <row r="752" ht="15.75" customHeight="1">
      <c r="J752" s="61"/>
      <c r="K752" s="62"/>
      <c r="L752" s="62"/>
      <c r="N752" s="63"/>
      <c r="S752" s="64"/>
      <c r="U752" s="61"/>
      <c r="V752" s="63"/>
    </row>
    <row r="753" ht="15.75" customHeight="1">
      <c r="J753" s="61"/>
      <c r="K753" s="62"/>
      <c r="L753" s="62"/>
      <c r="N753" s="63"/>
      <c r="S753" s="64"/>
      <c r="U753" s="61"/>
      <c r="V753" s="63"/>
    </row>
    <row r="754" ht="15.75" customHeight="1">
      <c r="J754" s="61"/>
      <c r="K754" s="62"/>
      <c r="L754" s="62"/>
      <c r="N754" s="63"/>
      <c r="S754" s="64"/>
      <c r="U754" s="61"/>
      <c r="V754" s="63"/>
    </row>
    <row r="755" ht="15.75" customHeight="1">
      <c r="J755" s="61"/>
      <c r="K755" s="62"/>
      <c r="L755" s="62"/>
      <c r="N755" s="63"/>
      <c r="S755" s="64"/>
      <c r="U755" s="61"/>
      <c r="V755" s="63"/>
    </row>
    <row r="756" ht="15.75" customHeight="1">
      <c r="J756" s="61"/>
      <c r="K756" s="62"/>
      <c r="L756" s="62"/>
      <c r="N756" s="63"/>
      <c r="S756" s="64"/>
      <c r="U756" s="61"/>
      <c r="V756" s="63"/>
    </row>
    <row r="757" ht="15.75" customHeight="1">
      <c r="J757" s="61"/>
      <c r="K757" s="62"/>
      <c r="L757" s="62"/>
      <c r="N757" s="63"/>
      <c r="S757" s="64"/>
      <c r="U757" s="61"/>
      <c r="V757" s="63"/>
    </row>
    <row r="758" ht="15.75" customHeight="1">
      <c r="J758" s="61"/>
      <c r="K758" s="62"/>
      <c r="L758" s="62"/>
      <c r="N758" s="63"/>
      <c r="S758" s="64"/>
      <c r="U758" s="61"/>
      <c r="V758" s="63"/>
    </row>
    <row r="759" ht="15.75" customHeight="1">
      <c r="J759" s="61"/>
      <c r="K759" s="62"/>
      <c r="L759" s="62"/>
      <c r="N759" s="63"/>
      <c r="S759" s="64"/>
      <c r="U759" s="61"/>
      <c r="V759" s="63"/>
    </row>
    <row r="760" ht="15.75" customHeight="1">
      <c r="J760" s="61"/>
      <c r="K760" s="62"/>
      <c r="L760" s="62"/>
      <c r="N760" s="63"/>
      <c r="S760" s="64"/>
      <c r="U760" s="61"/>
      <c r="V760" s="63"/>
    </row>
    <row r="761" ht="15.75" customHeight="1">
      <c r="J761" s="61"/>
      <c r="K761" s="62"/>
      <c r="L761" s="62"/>
      <c r="N761" s="63"/>
      <c r="S761" s="64"/>
      <c r="U761" s="61"/>
      <c r="V761" s="63"/>
    </row>
    <row r="762" ht="15.75" customHeight="1">
      <c r="J762" s="61"/>
      <c r="K762" s="62"/>
      <c r="L762" s="62"/>
      <c r="N762" s="63"/>
      <c r="S762" s="64"/>
      <c r="U762" s="61"/>
      <c r="V762" s="63"/>
    </row>
    <row r="763" ht="15.75" customHeight="1">
      <c r="J763" s="61"/>
      <c r="K763" s="62"/>
      <c r="L763" s="62"/>
      <c r="N763" s="63"/>
      <c r="S763" s="64"/>
      <c r="U763" s="61"/>
      <c r="V763" s="63"/>
    </row>
    <row r="764" ht="15.75" customHeight="1">
      <c r="J764" s="61"/>
      <c r="K764" s="62"/>
      <c r="L764" s="62"/>
      <c r="N764" s="63"/>
      <c r="S764" s="64"/>
      <c r="U764" s="61"/>
      <c r="V764" s="63"/>
    </row>
    <row r="765" ht="15.75" customHeight="1">
      <c r="J765" s="61"/>
      <c r="K765" s="62"/>
      <c r="L765" s="62"/>
      <c r="N765" s="63"/>
      <c r="S765" s="64"/>
      <c r="U765" s="61"/>
      <c r="V765" s="63"/>
    </row>
    <row r="766" ht="15.75" customHeight="1">
      <c r="J766" s="61"/>
      <c r="K766" s="62"/>
      <c r="L766" s="62"/>
      <c r="N766" s="63"/>
      <c r="S766" s="64"/>
      <c r="U766" s="61"/>
      <c r="V766" s="63"/>
    </row>
    <row r="767" ht="15.75" customHeight="1">
      <c r="J767" s="61"/>
      <c r="K767" s="62"/>
      <c r="L767" s="62"/>
      <c r="N767" s="63"/>
      <c r="S767" s="64"/>
      <c r="U767" s="61"/>
      <c r="V767" s="63"/>
    </row>
    <row r="768" ht="15.75" customHeight="1">
      <c r="J768" s="61"/>
      <c r="K768" s="62"/>
      <c r="L768" s="62"/>
      <c r="N768" s="63"/>
      <c r="S768" s="64"/>
      <c r="U768" s="61"/>
      <c r="V768" s="63"/>
    </row>
    <row r="769" ht="15.75" customHeight="1">
      <c r="J769" s="61"/>
      <c r="K769" s="62"/>
      <c r="L769" s="62"/>
      <c r="N769" s="63"/>
      <c r="S769" s="64"/>
      <c r="U769" s="61"/>
      <c r="V769" s="63"/>
    </row>
    <row r="770" ht="15.75" customHeight="1">
      <c r="J770" s="61"/>
      <c r="K770" s="62"/>
      <c r="L770" s="62"/>
      <c r="N770" s="63"/>
      <c r="S770" s="64"/>
      <c r="U770" s="61"/>
      <c r="V770" s="63"/>
    </row>
    <row r="771" ht="15.75" customHeight="1">
      <c r="J771" s="61"/>
      <c r="K771" s="62"/>
      <c r="L771" s="62"/>
      <c r="N771" s="63"/>
      <c r="S771" s="64"/>
      <c r="U771" s="61"/>
      <c r="V771" s="63"/>
    </row>
    <row r="772" ht="15.75" customHeight="1">
      <c r="J772" s="61"/>
      <c r="K772" s="62"/>
      <c r="L772" s="62"/>
      <c r="N772" s="63"/>
      <c r="S772" s="64"/>
      <c r="U772" s="61"/>
      <c r="V772" s="63"/>
    </row>
    <row r="773" ht="15.75" customHeight="1">
      <c r="J773" s="61"/>
      <c r="K773" s="62"/>
      <c r="L773" s="62"/>
      <c r="N773" s="63"/>
      <c r="S773" s="64"/>
      <c r="U773" s="61"/>
      <c r="V773" s="63"/>
    </row>
    <row r="774" ht="15.75" customHeight="1">
      <c r="J774" s="61"/>
      <c r="K774" s="62"/>
      <c r="L774" s="62"/>
      <c r="N774" s="63"/>
      <c r="S774" s="64"/>
      <c r="U774" s="61"/>
      <c r="V774" s="63"/>
    </row>
    <row r="775" ht="15.75" customHeight="1">
      <c r="J775" s="61"/>
      <c r="K775" s="62"/>
      <c r="L775" s="62"/>
      <c r="N775" s="63"/>
      <c r="S775" s="64"/>
      <c r="U775" s="61"/>
      <c r="V775" s="63"/>
    </row>
    <row r="776" ht="15.75" customHeight="1">
      <c r="J776" s="61"/>
      <c r="K776" s="62"/>
      <c r="L776" s="62"/>
      <c r="N776" s="63"/>
      <c r="S776" s="64"/>
      <c r="U776" s="61"/>
      <c r="V776" s="63"/>
    </row>
    <row r="777" ht="15.75" customHeight="1">
      <c r="J777" s="61"/>
      <c r="K777" s="62"/>
      <c r="L777" s="62"/>
      <c r="N777" s="63"/>
      <c r="S777" s="64"/>
      <c r="U777" s="61"/>
      <c r="V777" s="63"/>
    </row>
    <row r="778" ht="15.75" customHeight="1">
      <c r="J778" s="61"/>
      <c r="K778" s="62"/>
      <c r="L778" s="62"/>
      <c r="N778" s="63"/>
      <c r="S778" s="64"/>
      <c r="U778" s="61"/>
      <c r="V778" s="63"/>
    </row>
    <row r="779" ht="15.75" customHeight="1">
      <c r="J779" s="61"/>
      <c r="K779" s="62"/>
      <c r="L779" s="62"/>
      <c r="N779" s="63"/>
      <c r="S779" s="64"/>
      <c r="U779" s="61"/>
      <c r="V779" s="63"/>
    </row>
    <row r="780" ht="15.75" customHeight="1">
      <c r="J780" s="61"/>
      <c r="K780" s="62"/>
      <c r="L780" s="62"/>
      <c r="N780" s="63"/>
      <c r="S780" s="64"/>
      <c r="U780" s="61"/>
      <c r="V780" s="63"/>
    </row>
    <row r="781" ht="15.75" customHeight="1">
      <c r="J781" s="61"/>
      <c r="K781" s="62"/>
      <c r="L781" s="62"/>
      <c r="N781" s="63"/>
      <c r="S781" s="64"/>
      <c r="U781" s="61"/>
      <c r="V781" s="63"/>
    </row>
    <row r="782" ht="15.75" customHeight="1">
      <c r="J782" s="61"/>
      <c r="K782" s="62"/>
      <c r="L782" s="62"/>
      <c r="N782" s="63"/>
      <c r="S782" s="64"/>
      <c r="U782" s="61"/>
      <c r="V782" s="63"/>
    </row>
    <row r="783" ht="15.75" customHeight="1">
      <c r="J783" s="61"/>
      <c r="K783" s="62"/>
      <c r="L783" s="62"/>
      <c r="N783" s="63"/>
      <c r="S783" s="64"/>
      <c r="U783" s="61"/>
      <c r="V783" s="63"/>
    </row>
    <row r="784" ht="15.75" customHeight="1">
      <c r="J784" s="61"/>
      <c r="K784" s="62"/>
      <c r="L784" s="62"/>
      <c r="N784" s="63"/>
      <c r="S784" s="64"/>
      <c r="U784" s="61"/>
      <c r="V784" s="63"/>
    </row>
    <row r="785" ht="15.75" customHeight="1">
      <c r="J785" s="61"/>
      <c r="K785" s="62"/>
      <c r="L785" s="62"/>
      <c r="N785" s="63"/>
      <c r="S785" s="64"/>
      <c r="U785" s="61"/>
      <c r="V785" s="63"/>
    </row>
    <row r="786" ht="15.75" customHeight="1">
      <c r="J786" s="61"/>
      <c r="K786" s="62"/>
      <c r="L786" s="62"/>
      <c r="N786" s="63"/>
      <c r="S786" s="64"/>
      <c r="U786" s="61"/>
      <c r="V786" s="63"/>
    </row>
    <row r="787" ht="15.75" customHeight="1">
      <c r="J787" s="61"/>
      <c r="K787" s="62"/>
      <c r="L787" s="62"/>
      <c r="N787" s="63"/>
      <c r="S787" s="64"/>
      <c r="U787" s="61"/>
      <c r="V787" s="63"/>
    </row>
    <row r="788" ht="15.75" customHeight="1">
      <c r="J788" s="61"/>
      <c r="K788" s="62"/>
      <c r="L788" s="62"/>
      <c r="N788" s="63"/>
      <c r="S788" s="64"/>
      <c r="U788" s="61"/>
      <c r="V788" s="63"/>
    </row>
    <row r="789" ht="15.75" customHeight="1">
      <c r="J789" s="61"/>
      <c r="K789" s="62"/>
      <c r="L789" s="62"/>
      <c r="N789" s="63"/>
      <c r="S789" s="64"/>
      <c r="U789" s="61"/>
      <c r="V789" s="63"/>
    </row>
    <row r="790" ht="15.75" customHeight="1">
      <c r="J790" s="61"/>
      <c r="K790" s="62"/>
      <c r="L790" s="62"/>
      <c r="N790" s="63"/>
      <c r="S790" s="64"/>
      <c r="U790" s="61"/>
      <c r="V790" s="63"/>
    </row>
    <row r="791" ht="15.75" customHeight="1">
      <c r="J791" s="61"/>
      <c r="K791" s="62"/>
      <c r="L791" s="62"/>
      <c r="N791" s="63"/>
      <c r="S791" s="64"/>
      <c r="U791" s="61"/>
      <c r="V791" s="63"/>
    </row>
    <row r="792" ht="15.75" customHeight="1">
      <c r="J792" s="61"/>
      <c r="K792" s="62"/>
      <c r="L792" s="62"/>
      <c r="N792" s="63"/>
      <c r="S792" s="64"/>
      <c r="U792" s="61"/>
      <c r="V792" s="63"/>
    </row>
    <row r="793" ht="15.75" customHeight="1">
      <c r="J793" s="61"/>
      <c r="K793" s="62"/>
      <c r="L793" s="62"/>
      <c r="N793" s="63"/>
      <c r="S793" s="64"/>
      <c r="U793" s="61"/>
      <c r="V793" s="63"/>
    </row>
    <row r="794" ht="15.75" customHeight="1">
      <c r="J794" s="61"/>
      <c r="K794" s="62"/>
      <c r="L794" s="62"/>
      <c r="N794" s="63"/>
      <c r="S794" s="64"/>
      <c r="U794" s="61"/>
      <c r="V794" s="63"/>
    </row>
    <row r="795" ht="15.75" customHeight="1">
      <c r="J795" s="61"/>
      <c r="K795" s="62"/>
      <c r="L795" s="62"/>
      <c r="N795" s="63"/>
      <c r="S795" s="64"/>
      <c r="U795" s="61"/>
      <c r="V795" s="63"/>
    </row>
    <row r="796" ht="15.75" customHeight="1">
      <c r="J796" s="61"/>
      <c r="K796" s="62"/>
      <c r="L796" s="62"/>
      <c r="N796" s="63"/>
      <c r="S796" s="64"/>
      <c r="U796" s="61"/>
      <c r="V796" s="63"/>
    </row>
    <row r="797" ht="15.75" customHeight="1">
      <c r="J797" s="61"/>
      <c r="K797" s="62"/>
      <c r="L797" s="62"/>
      <c r="N797" s="63"/>
      <c r="S797" s="64"/>
      <c r="U797" s="61"/>
      <c r="V797" s="63"/>
    </row>
    <row r="798" ht="15.75" customHeight="1">
      <c r="J798" s="61"/>
      <c r="K798" s="62"/>
      <c r="L798" s="62"/>
      <c r="N798" s="63"/>
      <c r="S798" s="64"/>
      <c r="U798" s="61"/>
      <c r="V798" s="63"/>
    </row>
    <row r="799" ht="15.75" customHeight="1">
      <c r="J799" s="61"/>
      <c r="K799" s="62"/>
      <c r="L799" s="62"/>
      <c r="N799" s="63"/>
      <c r="S799" s="64"/>
      <c r="U799" s="61"/>
      <c r="V799" s="63"/>
    </row>
    <row r="800" ht="15.75" customHeight="1">
      <c r="J800" s="61"/>
      <c r="K800" s="62"/>
      <c r="L800" s="62"/>
      <c r="N800" s="63"/>
      <c r="S800" s="64"/>
      <c r="U800" s="61"/>
      <c r="V800" s="63"/>
    </row>
    <row r="801" ht="15.75" customHeight="1">
      <c r="J801" s="61"/>
      <c r="K801" s="62"/>
      <c r="L801" s="62"/>
      <c r="N801" s="63"/>
      <c r="S801" s="64"/>
      <c r="U801" s="61"/>
      <c r="V801" s="63"/>
    </row>
    <row r="802" ht="15.75" customHeight="1">
      <c r="J802" s="61"/>
      <c r="K802" s="62"/>
      <c r="L802" s="62"/>
      <c r="N802" s="63"/>
      <c r="S802" s="64"/>
      <c r="U802" s="61"/>
      <c r="V802" s="63"/>
    </row>
    <row r="803" ht="15.75" customHeight="1">
      <c r="J803" s="61"/>
      <c r="K803" s="62"/>
      <c r="L803" s="62"/>
      <c r="N803" s="63"/>
      <c r="S803" s="64"/>
      <c r="U803" s="61"/>
      <c r="V803" s="63"/>
    </row>
    <row r="804" ht="15.75" customHeight="1">
      <c r="J804" s="61"/>
      <c r="K804" s="62"/>
      <c r="L804" s="62"/>
      <c r="N804" s="63"/>
      <c r="S804" s="64"/>
      <c r="U804" s="61"/>
      <c r="V804" s="63"/>
    </row>
    <row r="805" ht="15.75" customHeight="1">
      <c r="J805" s="61"/>
      <c r="K805" s="62"/>
      <c r="L805" s="62"/>
      <c r="N805" s="63"/>
      <c r="S805" s="64"/>
      <c r="U805" s="61"/>
      <c r="V805" s="63"/>
    </row>
    <row r="806" ht="15.75" customHeight="1">
      <c r="J806" s="61"/>
      <c r="K806" s="62"/>
      <c r="L806" s="62"/>
      <c r="N806" s="63"/>
      <c r="S806" s="64"/>
      <c r="U806" s="61"/>
      <c r="V806" s="63"/>
    </row>
    <row r="807" ht="15.75" customHeight="1">
      <c r="J807" s="61"/>
      <c r="K807" s="62"/>
      <c r="L807" s="62"/>
      <c r="N807" s="63"/>
      <c r="S807" s="64"/>
      <c r="U807" s="61"/>
      <c r="V807" s="63"/>
    </row>
    <row r="808" ht="15.75" customHeight="1">
      <c r="J808" s="61"/>
      <c r="K808" s="62"/>
      <c r="L808" s="62"/>
      <c r="N808" s="63"/>
      <c r="S808" s="64"/>
      <c r="U808" s="61"/>
      <c r="V808" s="63"/>
    </row>
    <row r="809" ht="15.75" customHeight="1">
      <c r="J809" s="61"/>
      <c r="K809" s="62"/>
      <c r="L809" s="62"/>
      <c r="N809" s="63"/>
      <c r="S809" s="64"/>
      <c r="U809" s="61"/>
      <c r="V809" s="63"/>
    </row>
    <row r="810" ht="15.75" customHeight="1">
      <c r="J810" s="61"/>
      <c r="K810" s="62"/>
      <c r="L810" s="62"/>
      <c r="N810" s="63"/>
      <c r="S810" s="64"/>
      <c r="U810" s="61"/>
      <c r="V810" s="63"/>
    </row>
    <row r="811" ht="15.75" customHeight="1">
      <c r="J811" s="61"/>
      <c r="K811" s="62"/>
      <c r="L811" s="62"/>
      <c r="N811" s="63"/>
      <c r="S811" s="64"/>
      <c r="U811" s="61"/>
      <c r="V811" s="63"/>
    </row>
    <row r="812" ht="15.75" customHeight="1">
      <c r="J812" s="61"/>
      <c r="K812" s="62"/>
      <c r="L812" s="62"/>
      <c r="N812" s="63"/>
      <c r="S812" s="64"/>
      <c r="U812" s="61"/>
      <c r="V812" s="63"/>
    </row>
    <row r="813" ht="15.75" customHeight="1">
      <c r="J813" s="61"/>
      <c r="K813" s="62"/>
      <c r="L813" s="62"/>
      <c r="N813" s="63"/>
      <c r="S813" s="64"/>
      <c r="U813" s="61"/>
      <c r="V813" s="63"/>
    </row>
    <row r="814" ht="15.75" customHeight="1">
      <c r="J814" s="61"/>
      <c r="K814" s="62"/>
      <c r="L814" s="62"/>
      <c r="N814" s="63"/>
      <c r="S814" s="64"/>
      <c r="U814" s="61"/>
      <c r="V814" s="63"/>
    </row>
    <row r="815" ht="15.75" customHeight="1">
      <c r="J815" s="61"/>
      <c r="K815" s="62"/>
      <c r="L815" s="62"/>
      <c r="N815" s="63"/>
      <c r="S815" s="64"/>
      <c r="U815" s="61"/>
      <c r="V815" s="63"/>
    </row>
    <row r="816" ht="15.75" customHeight="1">
      <c r="J816" s="61"/>
      <c r="K816" s="62"/>
      <c r="L816" s="62"/>
      <c r="N816" s="63"/>
      <c r="S816" s="64"/>
      <c r="U816" s="61"/>
      <c r="V816" s="63"/>
    </row>
    <row r="817" ht="15.75" customHeight="1">
      <c r="J817" s="61"/>
      <c r="K817" s="62"/>
      <c r="L817" s="62"/>
      <c r="N817" s="63"/>
      <c r="S817" s="64"/>
      <c r="U817" s="61"/>
      <c r="V817" s="63"/>
    </row>
    <row r="818" ht="15.75" customHeight="1">
      <c r="J818" s="61"/>
      <c r="K818" s="62"/>
      <c r="L818" s="62"/>
      <c r="N818" s="63"/>
      <c r="S818" s="64"/>
      <c r="U818" s="61"/>
      <c r="V818" s="63"/>
    </row>
    <row r="819" ht="15.75" customHeight="1">
      <c r="J819" s="61"/>
      <c r="K819" s="62"/>
      <c r="L819" s="62"/>
      <c r="N819" s="63"/>
      <c r="S819" s="64"/>
      <c r="U819" s="61"/>
      <c r="V819" s="63"/>
    </row>
    <row r="820" ht="15.75" customHeight="1">
      <c r="J820" s="61"/>
      <c r="K820" s="62"/>
      <c r="L820" s="62"/>
      <c r="N820" s="63"/>
      <c r="S820" s="64"/>
      <c r="U820" s="61"/>
      <c r="V820" s="63"/>
    </row>
    <row r="821" ht="15.75" customHeight="1">
      <c r="J821" s="61"/>
      <c r="K821" s="62"/>
      <c r="L821" s="62"/>
      <c r="N821" s="63"/>
      <c r="S821" s="64"/>
      <c r="U821" s="61"/>
      <c r="V821" s="63"/>
    </row>
    <row r="822" ht="15.75" customHeight="1">
      <c r="J822" s="61"/>
      <c r="K822" s="62"/>
      <c r="L822" s="62"/>
      <c r="N822" s="63"/>
      <c r="S822" s="64"/>
      <c r="U822" s="61"/>
      <c r="V822" s="63"/>
    </row>
    <row r="823" ht="15.75" customHeight="1">
      <c r="J823" s="61"/>
      <c r="K823" s="62"/>
      <c r="L823" s="62"/>
      <c r="N823" s="63"/>
      <c r="S823" s="64"/>
      <c r="U823" s="61"/>
      <c r="V823" s="63"/>
    </row>
    <row r="824" ht="15.75" customHeight="1">
      <c r="J824" s="61"/>
      <c r="K824" s="62"/>
      <c r="L824" s="62"/>
      <c r="N824" s="63"/>
      <c r="S824" s="64"/>
      <c r="U824" s="61"/>
      <c r="V824" s="63"/>
    </row>
    <row r="825" ht="15.75" customHeight="1">
      <c r="J825" s="61"/>
      <c r="K825" s="62"/>
      <c r="L825" s="62"/>
      <c r="N825" s="63"/>
      <c r="S825" s="64"/>
      <c r="U825" s="61"/>
      <c r="V825" s="63"/>
    </row>
    <row r="826" ht="15.75" customHeight="1">
      <c r="J826" s="61"/>
      <c r="K826" s="62"/>
      <c r="L826" s="62"/>
      <c r="N826" s="63"/>
      <c r="S826" s="64"/>
      <c r="U826" s="61"/>
      <c r="V826" s="63"/>
    </row>
    <row r="827" ht="15.75" customHeight="1">
      <c r="J827" s="61"/>
      <c r="K827" s="62"/>
      <c r="L827" s="62"/>
      <c r="N827" s="63"/>
      <c r="S827" s="64"/>
      <c r="U827" s="61"/>
      <c r="V827" s="63"/>
    </row>
    <row r="828" ht="15.75" customHeight="1">
      <c r="J828" s="61"/>
      <c r="K828" s="62"/>
      <c r="L828" s="62"/>
      <c r="N828" s="63"/>
      <c r="S828" s="64"/>
      <c r="U828" s="61"/>
      <c r="V828" s="63"/>
    </row>
    <row r="829" ht="15.75" customHeight="1">
      <c r="J829" s="61"/>
      <c r="K829" s="62"/>
      <c r="L829" s="62"/>
      <c r="N829" s="63"/>
      <c r="S829" s="64"/>
      <c r="U829" s="61"/>
      <c r="V829" s="63"/>
    </row>
    <row r="830" ht="15.75" customHeight="1">
      <c r="J830" s="61"/>
      <c r="K830" s="62"/>
      <c r="L830" s="62"/>
      <c r="N830" s="63"/>
      <c r="S830" s="64"/>
      <c r="U830" s="61"/>
      <c r="V830" s="63"/>
    </row>
    <row r="831" ht="15.75" customHeight="1">
      <c r="J831" s="61"/>
      <c r="K831" s="62"/>
      <c r="L831" s="62"/>
      <c r="N831" s="63"/>
      <c r="S831" s="64"/>
      <c r="U831" s="61"/>
      <c r="V831" s="63"/>
    </row>
    <row r="832" ht="15.75" customHeight="1">
      <c r="J832" s="61"/>
      <c r="K832" s="62"/>
      <c r="L832" s="62"/>
      <c r="N832" s="63"/>
      <c r="S832" s="64"/>
      <c r="U832" s="61"/>
      <c r="V832" s="63"/>
    </row>
    <row r="833" ht="15.75" customHeight="1">
      <c r="J833" s="61"/>
      <c r="K833" s="62"/>
      <c r="L833" s="62"/>
      <c r="N833" s="63"/>
      <c r="S833" s="64"/>
      <c r="U833" s="61"/>
      <c r="V833" s="63"/>
    </row>
    <row r="834" ht="15.75" customHeight="1">
      <c r="J834" s="61"/>
      <c r="K834" s="62"/>
      <c r="L834" s="62"/>
      <c r="N834" s="63"/>
      <c r="S834" s="64"/>
      <c r="U834" s="61"/>
      <c r="V834" s="63"/>
    </row>
    <row r="835" ht="15.75" customHeight="1">
      <c r="J835" s="61"/>
      <c r="K835" s="62"/>
      <c r="L835" s="62"/>
      <c r="N835" s="63"/>
      <c r="S835" s="64"/>
      <c r="U835" s="61"/>
      <c r="V835" s="63"/>
    </row>
    <row r="836" ht="15.75" customHeight="1">
      <c r="J836" s="61"/>
      <c r="K836" s="62"/>
      <c r="L836" s="62"/>
      <c r="N836" s="63"/>
      <c r="S836" s="64"/>
      <c r="U836" s="61"/>
      <c r="V836" s="63"/>
    </row>
    <row r="837" ht="15.75" customHeight="1">
      <c r="J837" s="61"/>
      <c r="K837" s="62"/>
      <c r="L837" s="62"/>
      <c r="N837" s="63"/>
      <c r="S837" s="64"/>
      <c r="U837" s="61"/>
      <c r="V837" s="63"/>
    </row>
    <row r="838" ht="15.75" customHeight="1">
      <c r="J838" s="61"/>
      <c r="K838" s="62"/>
      <c r="L838" s="62"/>
      <c r="N838" s="63"/>
      <c r="S838" s="64"/>
      <c r="U838" s="61"/>
      <c r="V838" s="63"/>
    </row>
    <row r="839" ht="15.75" customHeight="1">
      <c r="J839" s="61"/>
      <c r="K839" s="62"/>
      <c r="L839" s="62"/>
      <c r="N839" s="63"/>
      <c r="S839" s="64"/>
      <c r="U839" s="61"/>
      <c r="V839" s="63"/>
    </row>
    <row r="840" ht="15.75" customHeight="1">
      <c r="J840" s="61"/>
      <c r="K840" s="62"/>
      <c r="L840" s="62"/>
      <c r="N840" s="63"/>
      <c r="S840" s="64"/>
      <c r="U840" s="61"/>
      <c r="V840" s="63"/>
    </row>
    <row r="841" ht="15.75" customHeight="1">
      <c r="J841" s="61"/>
      <c r="K841" s="62"/>
      <c r="L841" s="62"/>
      <c r="N841" s="63"/>
      <c r="S841" s="64"/>
      <c r="U841" s="61"/>
      <c r="V841" s="63"/>
    </row>
    <row r="842" ht="15.75" customHeight="1">
      <c r="J842" s="61"/>
      <c r="K842" s="62"/>
      <c r="L842" s="62"/>
      <c r="N842" s="63"/>
      <c r="S842" s="64"/>
      <c r="U842" s="61"/>
      <c r="V842" s="63"/>
    </row>
    <row r="843" ht="15.75" customHeight="1">
      <c r="J843" s="61"/>
      <c r="K843" s="62"/>
      <c r="L843" s="62"/>
      <c r="N843" s="63"/>
      <c r="S843" s="64"/>
      <c r="U843" s="61"/>
      <c r="V843" s="63"/>
    </row>
    <row r="844" ht="15.75" customHeight="1">
      <c r="J844" s="61"/>
      <c r="K844" s="62"/>
      <c r="L844" s="62"/>
      <c r="N844" s="63"/>
      <c r="S844" s="64"/>
      <c r="U844" s="61"/>
      <c r="V844" s="63"/>
    </row>
    <row r="845" ht="15.75" customHeight="1">
      <c r="J845" s="61"/>
      <c r="K845" s="62"/>
      <c r="L845" s="62"/>
      <c r="N845" s="63"/>
      <c r="S845" s="64"/>
      <c r="U845" s="61"/>
      <c r="V845" s="63"/>
    </row>
    <row r="846" ht="15.75" customHeight="1">
      <c r="J846" s="61"/>
      <c r="K846" s="62"/>
      <c r="L846" s="62"/>
      <c r="N846" s="63"/>
      <c r="S846" s="64"/>
      <c r="U846" s="61"/>
      <c r="V846" s="63"/>
    </row>
    <row r="847" ht="15.75" customHeight="1">
      <c r="J847" s="61"/>
      <c r="K847" s="62"/>
      <c r="L847" s="62"/>
      <c r="N847" s="63"/>
      <c r="S847" s="64"/>
      <c r="U847" s="61"/>
      <c r="V847" s="63"/>
    </row>
    <row r="848" ht="15.75" customHeight="1">
      <c r="J848" s="61"/>
      <c r="K848" s="62"/>
      <c r="L848" s="62"/>
      <c r="N848" s="63"/>
      <c r="S848" s="64"/>
      <c r="U848" s="61"/>
      <c r="V848" s="63"/>
    </row>
    <row r="849" ht="15.75" customHeight="1">
      <c r="J849" s="61"/>
      <c r="K849" s="62"/>
      <c r="L849" s="62"/>
      <c r="N849" s="63"/>
      <c r="S849" s="64"/>
      <c r="U849" s="61"/>
      <c r="V849" s="63"/>
    </row>
    <row r="850" ht="15.75" customHeight="1">
      <c r="J850" s="61"/>
      <c r="K850" s="62"/>
      <c r="L850" s="62"/>
      <c r="N850" s="63"/>
      <c r="S850" s="64"/>
      <c r="U850" s="61"/>
      <c r="V850" s="63"/>
    </row>
    <row r="851" ht="15.75" customHeight="1">
      <c r="J851" s="61"/>
      <c r="K851" s="62"/>
      <c r="L851" s="62"/>
      <c r="N851" s="63"/>
      <c r="S851" s="64"/>
      <c r="U851" s="61"/>
      <c r="V851" s="63"/>
    </row>
    <row r="852" ht="15.75" customHeight="1">
      <c r="J852" s="61"/>
      <c r="K852" s="62"/>
      <c r="L852" s="62"/>
      <c r="N852" s="63"/>
      <c r="S852" s="64"/>
      <c r="U852" s="61"/>
      <c r="V852" s="63"/>
    </row>
    <row r="853" ht="15.75" customHeight="1">
      <c r="J853" s="61"/>
      <c r="K853" s="62"/>
      <c r="L853" s="62"/>
      <c r="N853" s="63"/>
      <c r="S853" s="64"/>
      <c r="U853" s="61"/>
      <c r="V853" s="63"/>
    </row>
    <row r="854" ht="15.75" customHeight="1">
      <c r="J854" s="61"/>
      <c r="K854" s="62"/>
      <c r="L854" s="62"/>
      <c r="N854" s="63"/>
      <c r="S854" s="64"/>
      <c r="U854" s="61"/>
      <c r="V854" s="63"/>
    </row>
    <row r="855" ht="15.75" customHeight="1">
      <c r="J855" s="61"/>
      <c r="K855" s="62"/>
      <c r="L855" s="62"/>
      <c r="N855" s="63"/>
      <c r="S855" s="64"/>
      <c r="U855" s="61"/>
      <c r="V855" s="63"/>
    </row>
    <row r="856" ht="15.75" customHeight="1">
      <c r="J856" s="61"/>
      <c r="K856" s="62"/>
      <c r="L856" s="62"/>
      <c r="N856" s="63"/>
      <c r="S856" s="64"/>
      <c r="U856" s="61"/>
      <c r="V856" s="63"/>
    </row>
    <row r="857" ht="15.75" customHeight="1">
      <c r="J857" s="61"/>
      <c r="K857" s="62"/>
      <c r="L857" s="62"/>
      <c r="N857" s="63"/>
      <c r="S857" s="64"/>
      <c r="U857" s="61"/>
      <c r="V857" s="63"/>
    </row>
    <row r="858" ht="15.75" customHeight="1">
      <c r="J858" s="61"/>
      <c r="K858" s="62"/>
      <c r="L858" s="62"/>
      <c r="N858" s="63"/>
      <c r="S858" s="64"/>
      <c r="U858" s="61"/>
      <c r="V858" s="63"/>
    </row>
    <row r="859" ht="15.75" customHeight="1">
      <c r="J859" s="61"/>
      <c r="K859" s="62"/>
      <c r="L859" s="62"/>
      <c r="N859" s="63"/>
      <c r="S859" s="64"/>
      <c r="U859" s="61"/>
      <c r="V859" s="63"/>
    </row>
    <row r="860" ht="15.75" customHeight="1">
      <c r="J860" s="61"/>
      <c r="K860" s="62"/>
      <c r="L860" s="62"/>
      <c r="N860" s="63"/>
      <c r="S860" s="64"/>
      <c r="U860" s="61"/>
      <c r="V860" s="63"/>
    </row>
    <row r="861" ht="15.75" customHeight="1">
      <c r="J861" s="61"/>
      <c r="K861" s="62"/>
      <c r="L861" s="62"/>
      <c r="N861" s="63"/>
      <c r="S861" s="64"/>
      <c r="U861" s="61"/>
      <c r="V861" s="63"/>
    </row>
    <row r="862" ht="15.75" customHeight="1">
      <c r="J862" s="61"/>
      <c r="K862" s="62"/>
      <c r="L862" s="62"/>
      <c r="N862" s="63"/>
      <c r="S862" s="64"/>
      <c r="U862" s="61"/>
      <c r="V862" s="63"/>
    </row>
    <row r="863" ht="15.75" customHeight="1">
      <c r="J863" s="61"/>
      <c r="K863" s="62"/>
      <c r="L863" s="62"/>
      <c r="N863" s="63"/>
      <c r="S863" s="64"/>
      <c r="U863" s="61"/>
      <c r="V863" s="63"/>
    </row>
    <row r="864" ht="15.75" customHeight="1">
      <c r="J864" s="61"/>
      <c r="K864" s="62"/>
      <c r="L864" s="62"/>
      <c r="N864" s="63"/>
      <c r="S864" s="64"/>
      <c r="U864" s="61"/>
      <c r="V864" s="63"/>
    </row>
    <row r="865" ht="15.75" customHeight="1">
      <c r="J865" s="61"/>
      <c r="K865" s="62"/>
      <c r="L865" s="62"/>
      <c r="N865" s="63"/>
      <c r="S865" s="64"/>
      <c r="U865" s="61"/>
      <c r="V865" s="63"/>
    </row>
    <row r="866" ht="15.75" customHeight="1">
      <c r="J866" s="61"/>
      <c r="K866" s="62"/>
      <c r="L866" s="62"/>
      <c r="N866" s="63"/>
      <c r="S866" s="64"/>
      <c r="U866" s="61"/>
      <c r="V866" s="63"/>
    </row>
    <row r="867" ht="15.75" customHeight="1">
      <c r="J867" s="61"/>
      <c r="K867" s="62"/>
      <c r="L867" s="62"/>
      <c r="N867" s="63"/>
      <c r="S867" s="64"/>
      <c r="U867" s="61"/>
      <c r="V867" s="63"/>
    </row>
    <row r="868" ht="15.75" customHeight="1">
      <c r="J868" s="61"/>
      <c r="K868" s="62"/>
      <c r="L868" s="62"/>
      <c r="N868" s="63"/>
      <c r="S868" s="64"/>
      <c r="U868" s="61"/>
      <c r="V868" s="63"/>
    </row>
    <row r="869" ht="15.75" customHeight="1">
      <c r="J869" s="61"/>
      <c r="K869" s="62"/>
      <c r="L869" s="62"/>
      <c r="N869" s="63"/>
      <c r="S869" s="64"/>
      <c r="U869" s="61"/>
      <c r="V869" s="63"/>
    </row>
    <row r="870" ht="15.75" customHeight="1">
      <c r="J870" s="61"/>
      <c r="K870" s="62"/>
      <c r="L870" s="62"/>
      <c r="N870" s="63"/>
      <c r="S870" s="64"/>
      <c r="U870" s="61"/>
      <c r="V870" s="63"/>
    </row>
    <row r="871" ht="15.75" customHeight="1">
      <c r="J871" s="61"/>
      <c r="K871" s="62"/>
      <c r="L871" s="62"/>
      <c r="N871" s="63"/>
      <c r="S871" s="64"/>
      <c r="U871" s="61"/>
      <c r="V871" s="63"/>
    </row>
    <row r="872" ht="15.75" customHeight="1">
      <c r="J872" s="61"/>
      <c r="K872" s="62"/>
      <c r="L872" s="62"/>
      <c r="N872" s="63"/>
      <c r="S872" s="64"/>
      <c r="U872" s="61"/>
      <c r="V872" s="63"/>
    </row>
    <row r="873" ht="15.75" customHeight="1">
      <c r="J873" s="61"/>
      <c r="K873" s="62"/>
      <c r="L873" s="62"/>
      <c r="N873" s="63"/>
      <c r="S873" s="64"/>
      <c r="U873" s="61"/>
      <c r="V873" s="63"/>
    </row>
    <row r="874" ht="15.75" customHeight="1">
      <c r="J874" s="61"/>
      <c r="K874" s="62"/>
      <c r="L874" s="62"/>
      <c r="N874" s="63"/>
      <c r="S874" s="64"/>
      <c r="U874" s="61"/>
      <c r="V874" s="63"/>
    </row>
    <row r="875" ht="15.75" customHeight="1">
      <c r="J875" s="61"/>
      <c r="K875" s="62"/>
      <c r="L875" s="62"/>
      <c r="N875" s="63"/>
      <c r="S875" s="64"/>
      <c r="U875" s="61"/>
      <c r="V875" s="63"/>
    </row>
    <row r="876" ht="15.75" customHeight="1">
      <c r="J876" s="61"/>
      <c r="K876" s="62"/>
      <c r="L876" s="62"/>
      <c r="N876" s="63"/>
      <c r="S876" s="64"/>
      <c r="U876" s="61"/>
      <c r="V876" s="63"/>
    </row>
    <row r="877" ht="15.75" customHeight="1">
      <c r="J877" s="61"/>
      <c r="K877" s="62"/>
      <c r="L877" s="62"/>
      <c r="N877" s="63"/>
      <c r="S877" s="64"/>
      <c r="U877" s="61"/>
      <c r="V877" s="63"/>
    </row>
    <row r="878" ht="15.75" customHeight="1">
      <c r="J878" s="61"/>
      <c r="K878" s="62"/>
      <c r="L878" s="62"/>
      <c r="N878" s="63"/>
      <c r="S878" s="64"/>
      <c r="U878" s="61"/>
      <c r="V878" s="63"/>
    </row>
    <row r="879" ht="15.75" customHeight="1">
      <c r="J879" s="61"/>
      <c r="K879" s="62"/>
      <c r="L879" s="62"/>
      <c r="N879" s="63"/>
      <c r="S879" s="64"/>
      <c r="U879" s="61"/>
      <c r="V879" s="63"/>
    </row>
    <row r="880" ht="15.75" customHeight="1">
      <c r="J880" s="61"/>
      <c r="K880" s="62"/>
      <c r="L880" s="62"/>
      <c r="N880" s="63"/>
      <c r="S880" s="64"/>
      <c r="U880" s="61"/>
      <c r="V880" s="63"/>
    </row>
    <row r="881" ht="15.75" customHeight="1">
      <c r="J881" s="61"/>
      <c r="K881" s="62"/>
      <c r="L881" s="62"/>
      <c r="N881" s="63"/>
      <c r="S881" s="64"/>
      <c r="U881" s="61"/>
      <c r="V881" s="63"/>
    </row>
    <row r="882" ht="15.75" customHeight="1">
      <c r="J882" s="61"/>
      <c r="K882" s="62"/>
      <c r="L882" s="62"/>
      <c r="N882" s="63"/>
      <c r="S882" s="64"/>
      <c r="U882" s="61"/>
      <c r="V882" s="63"/>
    </row>
    <row r="883" ht="15.75" customHeight="1">
      <c r="J883" s="61"/>
      <c r="K883" s="62"/>
      <c r="L883" s="62"/>
      <c r="N883" s="63"/>
      <c r="S883" s="64"/>
      <c r="U883" s="61"/>
      <c r="V883" s="63"/>
    </row>
    <row r="884" ht="15.75" customHeight="1">
      <c r="J884" s="61"/>
      <c r="K884" s="62"/>
      <c r="L884" s="62"/>
      <c r="N884" s="63"/>
      <c r="S884" s="64"/>
      <c r="U884" s="61"/>
      <c r="V884" s="63"/>
    </row>
    <row r="885" ht="15.75" customHeight="1">
      <c r="J885" s="61"/>
      <c r="K885" s="62"/>
      <c r="L885" s="62"/>
      <c r="N885" s="63"/>
      <c r="S885" s="64"/>
      <c r="U885" s="61"/>
      <c r="V885" s="63"/>
    </row>
    <row r="886" ht="15.75" customHeight="1">
      <c r="J886" s="61"/>
      <c r="K886" s="62"/>
      <c r="L886" s="62"/>
      <c r="N886" s="63"/>
      <c r="S886" s="64"/>
      <c r="U886" s="61"/>
      <c r="V886" s="63"/>
    </row>
    <row r="887" ht="15.75" customHeight="1">
      <c r="J887" s="61"/>
      <c r="K887" s="62"/>
      <c r="L887" s="62"/>
      <c r="N887" s="63"/>
      <c r="S887" s="64"/>
      <c r="U887" s="61"/>
      <c r="V887" s="63"/>
    </row>
    <row r="888" ht="15.75" customHeight="1">
      <c r="J888" s="61"/>
      <c r="K888" s="62"/>
      <c r="L888" s="62"/>
      <c r="N888" s="63"/>
      <c r="S888" s="64"/>
      <c r="U888" s="61"/>
      <c r="V888" s="63"/>
    </row>
    <row r="889" ht="15.75" customHeight="1">
      <c r="J889" s="61"/>
      <c r="K889" s="62"/>
      <c r="L889" s="62"/>
      <c r="N889" s="63"/>
      <c r="S889" s="64"/>
      <c r="U889" s="61"/>
      <c r="V889" s="63"/>
    </row>
    <row r="890" ht="15.75" customHeight="1">
      <c r="J890" s="61"/>
      <c r="K890" s="62"/>
      <c r="L890" s="62"/>
      <c r="N890" s="63"/>
      <c r="S890" s="64"/>
      <c r="U890" s="61"/>
      <c r="V890" s="63"/>
    </row>
    <row r="891" ht="15.75" customHeight="1">
      <c r="J891" s="61"/>
      <c r="K891" s="62"/>
      <c r="L891" s="62"/>
      <c r="N891" s="63"/>
      <c r="S891" s="64"/>
      <c r="U891" s="61"/>
      <c r="V891" s="63"/>
    </row>
    <row r="892" ht="15.75" customHeight="1">
      <c r="J892" s="61"/>
      <c r="K892" s="62"/>
      <c r="L892" s="62"/>
      <c r="N892" s="63"/>
      <c r="S892" s="64"/>
      <c r="U892" s="61"/>
      <c r="V892" s="63"/>
    </row>
    <row r="893" ht="15.75" customHeight="1">
      <c r="J893" s="61"/>
      <c r="K893" s="62"/>
      <c r="L893" s="62"/>
      <c r="N893" s="63"/>
      <c r="S893" s="64"/>
      <c r="U893" s="61"/>
      <c r="V893" s="63"/>
    </row>
    <row r="894" ht="15.75" customHeight="1">
      <c r="J894" s="61"/>
      <c r="K894" s="62"/>
      <c r="L894" s="62"/>
      <c r="N894" s="63"/>
      <c r="S894" s="64"/>
      <c r="U894" s="61"/>
      <c r="V894" s="63"/>
    </row>
    <row r="895" ht="15.75" customHeight="1">
      <c r="J895" s="61"/>
      <c r="K895" s="62"/>
      <c r="L895" s="62"/>
      <c r="N895" s="63"/>
      <c r="S895" s="64"/>
      <c r="U895" s="61"/>
      <c r="V895" s="63"/>
    </row>
    <row r="896" ht="15.75" customHeight="1">
      <c r="J896" s="61"/>
      <c r="K896" s="62"/>
      <c r="L896" s="62"/>
      <c r="N896" s="63"/>
      <c r="S896" s="64"/>
      <c r="U896" s="61"/>
      <c r="V896" s="63"/>
    </row>
    <row r="897" ht="15.75" customHeight="1">
      <c r="J897" s="61"/>
      <c r="K897" s="62"/>
      <c r="L897" s="62"/>
      <c r="N897" s="63"/>
      <c r="S897" s="64"/>
      <c r="U897" s="61"/>
      <c r="V897" s="63"/>
    </row>
    <row r="898" ht="15.75" customHeight="1">
      <c r="J898" s="61"/>
      <c r="K898" s="62"/>
      <c r="L898" s="62"/>
      <c r="N898" s="63"/>
      <c r="S898" s="64"/>
      <c r="U898" s="61"/>
      <c r="V898" s="63"/>
    </row>
    <row r="899" ht="15.75" customHeight="1">
      <c r="J899" s="61"/>
      <c r="K899" s="62"/>
      <c r="L899" s="62"/>
      <c r="N899" s="63"/>
      <c r="S899" s="64"/>
      <c r="U899" s="61"/>
      <c r="V899" s="63"/>
    </row>
    <row r="900" ht="15.75" customHeight="1">
      <c r="J900" s="61"/>
      <c r="K900" s="62"/>
      <c r="L900" s="62"/>
      <c r="N900" s="63"/>
      <c r="S900" s="64"/>
      <c r="U900" s="61"/>
      <c r="V900" s="63"/>
    </row>
    <row r="901" ht="15.75" customHeight="1">
      <c r="J901" s="61"/>
      <c r="K901" s="62"/>
      <c r="L901" s="62"/>
      <c r="N901" s="63"/>
      <c r="S901" s="64"/>
      <c r="U901" s="61"/>
      <c r="V901" s="63"/>
    </row>
    <row r="902" ht="15.75" customHeight="1">
      <c r="J902" s="61"/>
      <c r="K902" s="62"/>
      <c r="L902" s="62"/>
      <c r="N902" s="63"/>
      <c r="S902" s="64"/>
      <c r="U902" s="61"/>
      <c r="V902" s="63"/>
    </row>
    <row r="903" ht="15.75" customHeight="1">
      <c r="J903" s="61"/>
      <c r="K903" s="62"/>
      <c r="L903" s="62"/>
      <c r="N903" s="63"/>
      <c r="S903" s="64"/>
      <c r="U903" s="61"/>
      <c r="V903" s="63"/>
    </row>
    <row r="904" ht="15.75" customHeight="1">
      <c r="J904" s="61"/>
      <c r="K904" s="62"/>
      <c r="L904" s="62"/>
      <c r="N904" s="63"/>
      <c r="S904" s="64"/>
      <c r="U904" s="61"/>
      <c r="V904" s="63"/>
    </row>
    <row r="905" ht="15.75" customHeight="1">
      <c r="J905" s="61"/>
      <c r="K905" s="62"/>
      <c r="L905" s="62"/>
      <c r="N905" s="63"/>
      <c r="S905" s="64"/>
      <c r="U905" s="61"/>
      <c r="V905" s="63"/>
    </row>
    <row r="906" ht="15.75" customHeight="1">
      <c r="J906" s="61"/>
      <c r="K906" s="62"/>
      <c r="L906" s="62"/>
      <c r="N906" s="63"/>
      <c r="S906" s="64"/>
      <c r="U906" s="61"/>
      <c r="V906" s="63"/>
    </row>
    <row r="907" ht="15.75" customHeight="1">
      <c r="J907" s="61"/>
      <c r="K907" s="62"/>
      <c r="L907" s="62"/>
      <c r="N907" s="63"/>
      <c r="S907" s="64"/>
      <c r="U907" s="61"/>
      <c r="V907" s="63"/>
    </row>
    <row r="908" ht="15.75" customHeight="1">
      <c r="J908" s="61"/>
      <c r="K908" s="62"/>
      <c r="L908" s="62"/>
      <c r="N908" s="63"/>
      <c r="S908" s="64"/>
      <c r="U908" s="61"/>
      <c r="V908" s="63"/>
    </row>
    <row r="909" ht="15.75" customHeight="1">
      <c r="J909" s="61"/>
      <c r="K909" s="62"/>
      <c r="L909" s="62"/>
      <c r="N909" s="63"/>
      <c r="S909" s="64"/>
      <c r="U909" s="61"/>
      <c r="V909" s="63"/>
    </row>
    <row r="910" ht="15.75" customHeight="1">
      <c r="J910" s="61"/>
      <c r="K910" s="62"/>
      <c r="L910" s="62"/>
      <c r="N910" s="63"/>
      <c r="S910" s="64"/>
      <c r="U910" s="61"/>
      <c r="V910" s="63"/>
    </row>
    <row r="911" ht="15.75" customHeight="1">
      <c r="J911" s="61"/>
      <c r="K911" s="62"/>
      <c r="L911" s="62"/>
      <c r="N911" s="63"/>
      <c r="S911" s="64"/>
      <c r="U911" s="61"/>
      <c r="V911" s="63"/>
    </row>
    <row r="912" ht="15.75" customHeight="1">
      <c r="J912" s="61"/>
      <c r="K912" s="62"/>
      <c r="L912" s="62"/>
      <c r="N912" s="63"/>
      <c r="S912" s="64"/>
      <c r="U912" s="61"/>
      <c r="V912" s="63"/>
    </row>
    <row r="913" ht="15.75" customHeight="1">
      <c r="J913" s="61"/>
      <c r="K913" s="62"/>
      <c r="L913" s="62"/>
      <c r="N913" s="63"/>
      <c r="S913" s="64"/>
      <c r="U913" s="61"/>
      <c r="V913" s="63"/>
    </row>
    <row r="914" ht="15.75" customHeight="1">
      <c r="J914" s="61"/>
      <c r="K914" s="62"/>
      <c r="L914" s="62"/>
      <c r="N914" s="63"/>
      <c r="S914" s="64"/>
      <c r="U914" s="61"/>
      <c r="V914" s="63"/>
    </row>
    <row r="915" ht="15.75" customHeight="1">
      <c r="J915" s="61"/>
      <c r="K915" s="62"/>
      <c r="L915" s="62"/>
      <c r="N915" s="63"/>
      <c r="S915" s="64"/>
      <c r="U915" s="61"/>
      <c r="V915" s="63"/>
    </row>
    <row r="916" ht="15.75" customHeight="1">
      <c r="J916" s="61"/>
      <c r="K916" s="62"/>
      <c r="L916" s="62"/>
      <c r="N916" s="63"/>
      <c r="S916" s="64"/>
      <c r="U916" s="61"/>
      <c r="V916" s="63"/>
    </row>
    <row r="917" ht="15.75" customHeight="1">
      <c r="J917" s="61"/>
      <c r="K917" s="62"/>
      <c r="L917" s="62"/>
      <c r="N917" s="63"/>
      <c r="S917" s="64"/>
      <c r="U917" s="61"/>
      <c r="V917" s="63"/>
    </row>
    <row r="918" ht="15.75" customHeight="1">
      <c r="J918" s="61"/>
      <c r="K918" s="62"/>
      <c r="L918" s="62"/>
      <c r="N918" s="63"/>
      <c r="S918" s="64"/>
      <c r="U918" s="61"/>
      <c r="V918" s="63"/>
    </row>
    <row r="919" ht="15.75" customHeight="1">
      <c r="J919" s="61"/>
      <c r="K919" s="62"/>
      <c r="L919" s="62"/>
      <c r="N919" s="63"/>
      <c r="S919" s="64"/>
      <c r="U919" s="61"/>
      <c r="V919" s="63"/>
    </row>
    <row r="920" ht="15.75" customHeight="1">
      <c r="J920" s="61"/>
      <c r="K920" s="62"/>
      <c r="L920" s="62"/>
      <c r="N920" s="63"/>
      <c r="S920" s="64"/>
      <c r="U920" s="61"/>
      <c r="V920" s="63"/>
    </row>
    <row r="921" ht="15.75" customHeight="1">
      <c r="J921" s="61"/>
      <c r="K921" s="62"/>
      <c r="L921" s="62"/>
      <c r="N921" s="63"/>
      <c r="S921" s="64"/>
      <c r="U921" s="61"/>
      <c r="V921" s="63"/>
    </row>
    <row r="922" ht="15.75" customHeight="1">
      <c r="J922" s="61"/>
      <c r="K922" s="62"/>
      <c r="L922" s="62"/>
      <c r="N922" s="63"/>
      <c r="S922" s="64"/>
      <c r="U922" s="61"/>
      <c r="V922" s="63"/>
    </row>
    <row r="923" ht="15.75" customHeight="1">
      <c r="J923" s="61"/>
      <c r="K923" s="62"/>
      <c r="L923" s="62"/>
      <c r="N923" s="63"/>
      <c r="S923" s="64"/>
      <c r="U923" s="61"/>
      <c r="V923" s="63"/>
    </row>
    <row r="924" ht="15.75" customHeight="1">
      <c r="J924" s="61"/>
      <c r="K924" s="62"/>
      <c r="L924" s="62"/>
      <c r="N924" s="63"/>
      <c r="S924" s="64"/>
      <c r="U924" s="61"/>
      <c r="V924" s="63"/>
    </row>
    <row r="925" ht="15.75" customHeight="1">
      <c r="J925" s="61"/>
      <c r="K925" s="62"/>
      <c r="L925" s="62"/>
      <c r="N925" s="63"/>
      <c r="S925" s="64"/>
      <c r="U925" s="61"/>
      <c r="V925" s="63"/>
    </row>
    <row r="926" ht="15.75" customHeight="1">
      <c r="J926" s="61"/>
      <c r="K926" s="62"/>
      <c r="L926" s="62"/>
      <c r="N926" s="63"/>
      <c r="S926" s="64"/>
      <c r="U926" s="61"/>
      <c r="V926" s="63"/>
    </row>
    <row r="927" ht="15.75" customHeight="1">
      <c r="J927" s="61"/>
      <c r="K927" s="62"/>
      <c r="L927" s="62"/>
      <c r="N927" s="63"/>
      <c r="S927" s="64"/>
      <c r="U927" s="61"/>
      <c r="V927" s="63"/>
    </row>
    <row r="928" ht="15.75" customHeight="1">
      <c r="J928" s="61"/>
      <c r="K928" s="62"/>
      <c r="L928" s="62"/>
      <c r="N928" s="63"/>
      <c r="S928" s="64"/>
      <c r="U928" s="61"/>
      <c r="V928" s="63"/>
    </row>
    <row r="929" ht="15.75" customHeight="1">
      <c r="J929" s="61"/>
      <c r="K929" s="62"/>
      <c r="L929" s="62"/>
      <c r="N929" s="63"/>
      <c r="S929" s="64"/>
      <c r="U929" s="61"/>
      <c r="V929" s="63"/>
    </row>
    <row r="930" ht="15.75" customHeight="1">
      <c r="J930" s="61"/>
      <c r="K930" s="62"/>
      <c r="L930" s="62"/>
      <c r="N930" s="63"/>
      <c r="S930" s="64"/>
      <c r="U930" s="61"/>
      <c r="V930" s="63"/>
    </row>
    <row r="931" ht="15.75" customHeight="1">
      <c r="J931" s="61"/>
      <c r="K931" s="62"/>
      <c r="L931" s="62"/>
      <c r="N931" s="63"/>
      <c r="S931" s="64"/>
      <c r="U931" s="61"/>
      <c r="V931" s="63"/>
    </row>
    <row r="932" ht="15.75" customHeight="1">
      <c r="J932" s="61"/>
      <c r="K932" s="62"/>
      <c r="L932" s="62"/>
      <c r="N932" s="63"/>
      <c r="S932" s="64"/>
      <c r="U932" s="61"/>
      <c r="V932" s="63"/>
    </row>
    <row r="933" ht="15.75" customHeight="1">
      <c r="J933" s="61"/>
      <c r="K933" s="62"/>
      <c r="L933" s="62"/>
      <c r="N933" s="63"/>
      <c r="S933" s="64"/>
      <c r="U933" s="61"/>
      <c r="V933" s="63"/>
    </row>
    <row r="934" ht="15.75" customHeight="1">
      <c r="J934" s="61"/>
      <c r="K934" s="62"/>
      <c r="L934" s="62"/>
      <c r="N934" s="63"/>
      <c r="S934" s="64"/>
      <c r="U934" s="61"/>
      <c r="V934" s="63"/>
    </row>
    <row r="935" ht="15.75" customHeight="1">
      <c r="J935" s="61"/>
      <c r="K935" s="62"/>
      <c r="L935" s="62"/>
      <c r="N935" s="63"/>
      <c r="S935" s="64"/>
      <c r="U935" s="61"/>
      <c r="V935" s="63"/>
    </row>
    <row r="936" ht="15.75" customHeight="1">
      <c r="J936" s="61"/>
      <c r="K936" s="62"/>
      <c r="L936" s="62"/>
      <c r="N936" s="63"/>
      <c r="S936" s="64"/>
      <c r="U936" s="61"/>
      <c r="V936" s="63"/>
    </row>
    <row r="937" ht="15.75" customHeight="1">
      <c r="J937" s="61"/>
      <c r="K937" s="62"/>
      <c r="L937" s="62"/>
      <c r="N937" s="63"/>
      <c r="S937" s="64"/>
      <c r="U937" s="61"/>
      <c r="V937" s="63"/>
    </row>
    <row r="938" ht="15.75" customHeight="1">
      <c r="J938" s="61"/>
      <c r="K938" s="62"/>
      <c r="L938" s="62"/>
      <c r="N938" s="63"/>
      <c r="S938" s="64"/>
      <c r="U938" s="61"/>
      <c r="V938" s="63"/>
    </row>
    <row r="939" ht="15.75" customHeight="1">
      <c r="J939" s="61"/>
      <c r="K939" s="62"/>
      <c r="L939" s="62"/>
      <c r="N939" s="63"/>
      <c r="S939" s="64"/>
      <c r="U939" s="61"/>
      <c r="V939" s="63"/>
    </row>
    <row r="940" ht="15.75" customHeight="1">
      <c r="J940" s="61"/>
      <c r="K940" s="62"/>
      <c r="L940" s="62"/>
      <c r="N940" s="63"/>
      <c r="S940" s="64"/>
      <c r="U940" s="61"/>
      <c r="V940" s="63"/>
    </row>
    <row r="941" ht="15.75" customHeight="1">
      <c r="J941" s="61"/>
      <c r="K941" s="62"/>
      <c r="L941" s="62"/>
      <c r="N941" s="63"/>
      <c r="S941" s="64"/>
      <c r="U941" s="61"/>
      <c r="V941" s="63"/>
    </row>
    <row r="942" ht="15.75" customHeight="1">
      <c r="J942" s="61"/>
      <c r="K942" s="62"/>
      <c r="L942" s="62"/>
      <c r="N942" s="63"/>
      <c r="S942" s="64"/>
      <c r="U942" s="61"/>
      <c r="V942" s="63"/>
    </row>
    <row r="943" ht="15.75" customHeight="1">
      <c r="J943" s="61"/>
      <c r="K943" s="62"/>
      <c r="L943" s="62"/>
      <c r="N943" s="63"/>
      <c r="S943" s="64"/>
      <c r="U943" s="61"/>
      <c r="V943" s="63"/>
    </row>
    <row r="944" ht="15.75" customHeight="1">
      <c r="J944" s="61"/>
      <c r="K944" s="62"/>
      <c r="L944" s="62"/>
      <c r="N944" s="63"/>
      <c r="S944" s="64"/>
      <c r="U944" s="61"/>
      <c r="V944" s="63"/>
    </row>
    <row r="945" ht="15.75" customHeight="1">
      <c r="J945" s="61"/>
      <c r="K945" s="62"/>
      <c r="L945" s="62"/>
      <c r="N945" s="63"/>
      <c r="S945" s="64"/>
      <c r="U945" s="61"/>
      <c r="V945" s="63"/>
    </row>
    <row r="946" ht="15.75" customHeight="1">
      <c r="J946" s="61"/>
      <c r="K946" s="62"/>
      <c r="L946" s="62"/>
      <c r="N946" s="63"/>
      <c r="S946" s="64"/>
      <c r="U946" s="61"/>
      <c r="V946" s="63"/>
    </row>
    <row r="947" ht="15.75" customHeight="1">
      <c r="J947" s="61"/>
      <c r="K947" s="62"/>
      <c r="L947" s="62"/>
      <c r="N947" s="63"/>
      <c r="S947" s="64"/>
      <c r="U947" s="61"/>
      <c r="V947" s="63"/>
    </row>
    <row r="948" ht="15.75" customHeight="1">
      <c r="J948" s="61"/>
      <c r="K948" s="62"/>
      <c r="L948" s="62"/>
      <c r="N948" s="63"/>
      <c r="S948" s="64"/>
      <c r="U948" s="61"/>
      <c r="V948" s="63"/>
    </row>
    <row r="949" ht="15.75" customHeight="1">
      <c r="J949" s="61"/>
      <c r="K949" s="62"/>
      <c r="L949" s="62"/>
      <c r="N949" s="63"/>
      <c r="S949" s="64"/>
      <c r="U949" s="61"/>
      <c r="V949" s="63"/>
    </row>
    <row r="950" ht="15.75" customHeight="1">
      <c r="J950" s="61"/>
      <c r="K950" s="62"/>
      <c r="L950" s="62"/>
      <c r="N950" s="63"/>
      <c r="S950" s="64"/>
      <c r="U950" s="61"/>
      <c r="V950" s="63"/>
    </row>
    <row r="951" ht="15.75" customHeight="1">
      <c r="J951" s="61"/>
      <c r="K951" s="62"/>
      <c r="L951" s="62"/>
      <c r="N951" s="63"/>
      <c r="S951" s="64"/>
      <c r="U951" s="61"/>
      <c r="V951" s="63"/>
    </row>
    <row r="952" ht="15.75" customHeight="1">
      <c r="J952" s="61"/>
      <c r="K952" s="62"/>
      <c r="L952" s="62"/>
      <c r="N952" s="63"/>
      <c r="S952" s="64"/>
      <c r="U952" s="61"/>
      <c r="V952" s="63"/>
    </row>
    <row r="953" ht="15.75" customHeight="1">
      <c r="J953" s="61"/>
      <c r="K953" s="62"/>
      <c r="L953" s="62"/>
      <c r="N953" s="63"/>
      <c r="S953" s="64"/>
      <c r="U953" s="61"/>
      <c r="V953" s="63"/>
    </row>
    <row r="954" ht="15.75" customHeight="1">
      <c r="J954" s="61"/>
      <c r="K954" s="62"/>
      <c r="L954" s="62"/>
      <c r="N954" s="63"/>
      <c r="S954" s="64"/>
      <c r="U954" s="61"/>
      <c r="V954" s="63"/>
    </row>
    <row r="955" ht="15.75" customHeight="1">
      <c r="J955" s="61"/>
      <c r="K955" s="62"/>
      <c r="L955" s="62"/>
      <c r="N955" s="63"/>
      <c r="S955" s="64"/>
      <c r="U955" s="61"/>
      <c r="V955" s="63"/>
    </row>
    <row r="956" ht="15.75" customHeight="1">
      <c r="J956" s="61"/>
      <c r="K956" s="62"/>
      <c r="L956" s="62"/>
      <c r="N956" s="63"/>
      <c r="S956" s="64"/>
      <c r="U956" s="61"/>
      <c r="V956" s="63"/>
    </row>
    <row r="957" ht="15.75" customHeight="1">
      <c r="J957" s="61"/>
      <c r="K957" s="62"/>
      <c r="L957" s="62"/>
      <c r="N957" s="63"/>
      <c r="S957" s="64"/>
      <c r="U957" s="61"/>
      <c r="V957" s="63"/>
    </row>
    <row r="958" ht="15.75" customHeight="1">
      <c r="J958" s="61"/>
      <c r="K958" s="62"/>
      <c r="L958" s="62"/>
      <c r="N958" s="63"/>
      <c r="S958" s="64"/>
      <c r="U958" s="61"/>
      <c r="V958" s="63"/>
    </row>
    <row r="959" ht="15.75" customHeight="1">
      <c r="J959" s="61"/>
      <c r="K959" s="62"/>
      <c r="L959" s="62"/>
      <c r="N959" s="63"/>
      <c r="S959" s="64"/>
      <c r="U959" s="61"/>
      <c r="V959" s="63"/>
    </row>
    <row r="960" ht="15.75" customHeight="1">
      <c r="J960" s="61"/>
      <c r="K960" s="62"/>
      <c r="L960" s="62"/>
      <c r="N960" s="63"/>
      <c r="S960" s="64"/>
      <c r="U960" s="61"/>
      <c r="V960" s="63"/>
    </row>
    <row r="961" ht="15.75" customHeight="1">
      <c r="J961" s="61"/>
      <c r="K961" s="62"/>
      <c r="L961" s="62"/>
      <c r="N961" s="63"/>
      <c r="S961" s="64"/>
      <c r="U961" s="61"/>
      <c r="V961" s="63"/>
    </row>
    <row r="962" ht="15.75" customHeight="1">
      <c r="J962" s="61"/>
      <c r="K962" s="62"/>
      <c r="L962" s="62"/>
      <c r="N962" s="63"/>
      <c r="S962" s="64"/>
      <c r="U962" s="61"/>
      <c r="V962" s="63"/>
    </row>
    <row r="963" ht="15.75" customHeight="1">
      <c r="J963" s="61"/>
      <c r="K963" s="62"/>
      <c r="L963" s="62"/>
      <c r="N963" s="63"/>
      <c r="S963" s="64"/>
      <c r="U963" s="61"/>
      <c r="V963" s="63"/>
    </row>
    <row r="964" ht="15.75" customHeight="1">
      <c r="J964" s="61"/>
      <c r="K964" s="62"/>
      <c r="L964" s="62"/>
      <c r="N964" s="63"/>
      <c r="S964" s="64"/>
      <c r="U964" s="61"/>
      <c r="V964" s="63"/>
    </row>
    <row r="965" ht="15.75" customHeight="1">
      <c r="J965" s="61"/>
      <c r="K965" s="62"/>
      <c r="L965" s="62"/>
      <c r="N965" s="63"/>
      <c r="S965" s="64"/>
      <c r="U965" s="61"/>
      <c r="V965" s="63"/>
    </row>
    <row r="966" ht="15.75" customHeight="1">
      <c r="J966" s="61"/>
      <c r="K966" s="62"/>
      <c r="L966" s="62"/>
      <c r="N966" s="63"/>
      <c r="S966" s="64"/>
      <c r="U966" s="61"/>
      <c r="V966" s="63"/>
    </row>
    <row r="967" ht="15.75" customHeight="1">
      <c r="J967" s="61"/>
      <c r="K967" s="62"/>
      <c r="L967" s="62"/>
      <c r="N967" s="63"/>
      <c r="S967" s="64"/>
      <c r="U967" s="61"/>
      <c r="V967" s="63"/>
    </row>
    <row r="968" ht="15.75" customHeight="1">
      <c r="J968" s="61"/>
      <c r="K968" s="62"/>
      <c r="L968" s="62"/>
      <c r="N968" s="63"/>
      <c r="S968" s="64"/>
      <c r="U968" s="61"/>
      <c r="V968" s="63"/>
    </row>
    <row r="969" ht="15.75" customHeight="1">
      <c r="J969" s="61"/>
      <c r="K969" s="62"/>
      <c r="L969" s="62"/>
      <c r="N969" s="63"/>
      <c r="S969" s="64"/>
      <c r="U969" s="61"/>
      <c r="V969" s="63"/>
    </row>
    <row r="970" ht="15.75" customHeight="1">
      <c r="J970" s="61"/>
      <c r="K970" s="62"/>
      <c r="L970" s="62"/>
      <c r="N970" s="63"/>
      <c r="S970" s="64"/>
      <c r="U970" s="61"/>
      <c r="V970" s="63"/>
    </row>
    <row r="971" ht="15.75" customHeight="1">
      <c r="J971" s="61"/>
      <c r="K971" s="62"/>
      <c r="L971" s="62"/>
      <c r="N971" s="63"/>
      <c r="S971" s="64"/>
      <c r="U971" s="61"/>
      <c r="V971" s="63"/>
    </row>
    <row r="972" ht="15.75" customHeight="1">
      <c r="J972" s="61"/>
      <c r="K972" s="62"/>
      <c r="L972" s="62"/>
      <c r="N972" s="63"/>
      <c r="S972" s="64"/>
      <c r="U972" s="61"/>
      <c r="V972" s="63"/>
    </row>
    <row r="973" ht="15.75" customHeight="1">
      <c r="J973" s="61"/>
      <c r="K973" s="62"/>
      <c r="L973" s="62"/>
      <c r="N973" s="63"/>
      <c r="S973" s="64"/>
      <c r="U973" s="61"/>
      <c r="V973" s="63"/>
    </row>
    <row r="974" ht="15.75" customHeight="1">
      <c r="J974" s="61"/>
      <c r="K974" s="62"/>
      <c r="L974" s="62"/>
      <c r="N974" s="63"/>
      <c r="S974" s="64"/>
      <c r="U974" s="61"/>
      <c r="V974" s="63"/>
    </row>
    <row r="975" ht="15.75" customHeight="1">
      <c r="J975" s="61"/>
      <c r="K975" s="62"/>
      <c r="L975" s="62"/>
      <c r="N975" s="63"/>
      <c r="S975" s="64"/>
      <c r="U975" s="61"/>
      <c r="V975" s="63"/>
    </row>
    <row r="976" ht="15.75" customHeight="1">
      <c r="J976" s="61"/>
      <c r="K976" s="62"/>
      <c r="L976" s="62"/>
      <c r="N976" s="63"/>
      <c r="S976" s="64"/>
      <c r="U976" s="61"/>
      <c r="V976" s="63"/>
    </row>
    <row r="977" ht="15.75" customHeight="1">
      <c r="J977" s="61"/>
      <c r="K977" s="62"/>
      <c r="L977" s="62"/>
      <c r="N977" s="63"/>
      <c r="S977" s="64"/>
      <c r="U977" s="61"/>
      <c r="V977" s="63"/>
    </row>
    <row r="978" ht="15.75" customHeight="1">
      <c r="J978" s="61"/>
      <c r="K978" s="62"/>
      <c r="L978" s="62"/>
      <c r="N978" s="63"/>
      <c r="S978" s="64"/>
      <c r="U978" s="61"/>
      <c r="V978" s="63"/>
    </row>
    <row r="979" ht="15.75" customHeight="1">
      <c r="J979" s="61"/>
      <c r="K979" s="62"/>
      <c r="L979" s="62"/>
      <c r="N979" s="63"/>
      <c r="S979" s="64"/>
      <c r="U979" s="61"/>
      <c r="V979" s="63"/>
    </row>
    <row r="980" ht="15.75" customHeight="1">
      <c r="J980" s="61"/>
      <c r="K980" s="62"/>
      <c r="L980" s="62"/>
      <c r="N980" s="63"/>
      <c r="S980" s="64"/>
      <c r="U980" s="61"/>
      <c r="V980" s="63"/>
    </row>
    <row r="981" ht="15.75" customHeight="1">
      <c r="J981" s="61"/>
      <c r="K981" s="62"/>
      <c r="L981" s="62"/>
      <c r="N981" s="63"/>
      <c r="S981" s="64"/>
      <c r="U981" s="61"/>
      <c r="V981" s="63"/>
    </row>
    <row r="982" ht="15.75" customHeight="1">
      <c r="J982" s="61"/>
      <c r="K982" s="62"/>
      <c r="L982" s="62"/>
      <c r="N982" s="63"/>
      <c r="S982" s="64"/>
      <c r="U982" s="61"/>
      <c r="V982" s="63"/>
    </row>
    <row r="983" ht="15.75" customHeight="1">
      <c r="J983" s="61"/>
      <c r="K983" s="62"/>
      <c r="L983" s="62"/>
      <c r="N983" s="63"/>
      <c r="S983" s="64"/>
      <c r="U983" s="61"/>
      <c r="V983" s="63"/>
    </row>
    <row r="984" ht="15.75" customHeight="1">
      <c r="J984" s="61"/>
      <c r="K984" s="62"/>
      <c r="L984" s="62"/>
      <c r="N984" s="63"/>
      <c r="S984" s="64"/>
      <c r="U984" s="61"/>
      <c r="V984" s="63"/>
    </row>
    <row r="985" ht="15.75" customHeight="1">
      <c r="J985" s="61"/>
      <c r="K985" s="62"/>
      <c r="L985" s="62"/>
      <c r="N985" s="63"/>
      <c r="S985" s="64"/>
      <c r="U985" s="61"/>
      <c r="V985" s="63"/>
    </row>
    <row r="986" ht="15.75" customHeight="1">
      <c r="J986" s="61"/>
      <c r="K986" s="62"/>
      <c r="L986" s="62"/>
      <c r="N986" s="63"/>
      <c r="S986" s="64"/>
      <c r="U986" s="61"/>
      <c r="V986" s="63"/>
    </row>
    <row r="987" ht="15.75" customHeight="1">
      <c r="J987" s="61"/>
      <c r="K987" s="62"/>
      <c r="L987" s="62"/>
      <c r="N987" s="63"/>
      <c r="S987" s="64"/>
      <c r="U987" s="61"/>
      <c r="V987" s="63"/>
    </row>
    <row r="988" ht="15.75" customHeight="1">
      <c r="J988" s="61"/>
      <c r="K988" s="62"/>
      <c r="L988" s="62"/>
      <c r="N988" s="63"/>
      <c r="S988" s="64"/>
      <c r="U988" s="61"/>
      <c r="V988" s="63"/>
    </row>
    <row r="989" ht="15.75" customHeight="1">
      <c r="J989" s="61"/>
      <c r="K989" s="62"/>
      <c r="L989" s="62"/>
      <c r="N989" s="63"/>
      <c r="S989" s="64"/>
      <c r="U989" s="61"/>
      <c r="V989" s="63"/>
    </row>
    <row r="990" ht="15.75" customHeight="1">
      <c r="J990" s="61"/>
      <c r="K990" s="62"/>
      <c r="L990" s="62"/>
      <c r="N990" s="63"/>
      <c r="S990" s="64"/>
      <c r="U990" s="61"/>
      <c r="V990" s="63"/>
    </row>
    <row r="991" ht="15.75" customHeight="1">
      <c r="J991" s="61"/>
      <c r="K991" s="62"/>
      <c r="L991" s="62"/>
      <c r="N991" s="63"/>
      <c r="S991" s="64"/>
      <c r="U991" s="61"/>
      <c r="V991" s="63"/>
    </row>
    <row r="992" ht="15.75" customHeight="1">
      <c r="J992" s="61"/>
      <c r="K992" s="62"/>
      <c r="L992" s="62"/>
      <c r="N992" s="63"/>
      <c r="S992" s="64"/>
      <c r="U992" s="61"/>
      <c r="V992" s="63"/>
    </row>
    <row r="993" ht="15.75" customHeight="1">
      <c r="J993" s="61"/>
      <c r="K993" s="62"/>
      <c r="L993" s="62"/>
      <c r="N993" s="63"/>
      <c r="S993" s="64"/>
      <c r="U993" s="61"/>
      <c r="V993" s="63"/>
    </row>
    <row r="994" ht="15.75" customHeight="1">
      <c r="J994" s="61"/>
      <c r="K994" s="62"/>
      <c r="L994" s="62"/>
      <c r="N994" s="63"/>
      <c r="S994" s="64"/>
      <c r="U994" s="61"/>
      <c r="V994" s="63"/>
    </row>
    <row r="995" ht="15.75" customHeight="1">
      <c r="J995" s="61"/>
      <c r="K995" s="62"/>
      <c r="L995" s="62"/>
      <c r="N995" s="63"/>
      <c r="S995" s="64"/>
      <c r="U995" s="61"/>
      <c r="V995" s="63"/>
    </row>
    <row r="996" ht="15.75" customHeight="1">
      <c r="J996" s="61"/>
      <c r="K996" s="62"/>
      <c r="L996" s="62"/>
      <c r="N996" s="63"/>
      <c r="S996" s="64"/>
      <c r="U996" s="61"/>
      <c r="V996" s="63"/>
    </row>
    <row r="997" ht="15.75" customHeight="1">
      <c r="J997" s="61"/>
      <c r="K997" s="62"/>
      <c r="L997" s="62"/>
      <c r="N997" s="63"/>
      <c r="S997" s="64"/>
      <c r="U997" s="61"/>
      <c r="V997" s="63"/>
    </row>
    <row r="998" ht="15.75" customHeight="1">
      <c r="J998" s="61"/>
      <c r="K998" s="62"/>
      <c r="L998" s="62"/>
      <c r="N998" s="63"/>
      <c r="S998" s="64"/>
      <c r="U998" s="61"/>
      <c r="V998" s="63"/>
    </row>
    <row r="999" ht="15.75" customHeight="1">
      <c r="J999" s="61"/>
      <c r="K999" s="62"/>
      <c r="L999" s="62"/>
      <c r="N999" s="63"/>
      <c r="S999" s="64"/>
      <c r="U999" s="61"/>
      <c r="V999" s="63"/>
    </row>
    <row r="1000" ht="15.75" customHeight="1">
      <c r="J1000" s="61"/>
      <c r="K1000" s="62"/>
      <c r="L1000" s="62"/>
      <c r="N1000" s="63"/>
      <c r="S1000" s="64"/>
      <c r="U1000" s="61"/>
      <c r="V1000" s="63"/>
    </row>
    <row r="1001" ht="15.75" customHeight="1">
      <c r="J1001" s="61"/>
      <c r="K1001" s="62"/>
      <c r="L1001" s="62"/>
      <c r="N1001" s="63"/>
      <c r="S1001" s="64"/>
      <c r="U1001" s="61"/>
      <c r="V1001" s="63"/>
    </row>
    <row r="1002" ht="15.75" customHeight="1">
      <c r="J1002" s="61"/>
      <c r="K1002" s="62"/>
      <c r="L1002" s="62"/>
      <c r="N1002" s="63"/>
      <c r="S1002" s="64"/>
      <c r="U1002" s="61"/>
      <c r="V1002" s="63"/>
    </row>
    <row r="1003" ht="15.75" customHeight="1">
      <c r="J1003" s="61"/>
      <c r="K1003" s="62"/>
      <c r="L1003" s="62"/>
      <c r="N1003" s="63"/>
      <c r="S1003" s="64"/>
      <c r="U1003" s="61"/>
      <c r="V1003" s="63"/>
    </row>
    <row r="1004" ht="15.75" customHeight="1">
      <c r="J1004" s="61"/>
      <c r="K1004" s="62"/>
      <c r="L1004" s="62"/>
      <c r="N1004" s="63"/>
      <c r="S1004" s="64"/>
      <c r="U1004" s="61"/>
      <c r="V1004" s="63"/>
    </row>
    <row r="1005" ht="15.75" customHeight="1">
      <c r="J1005" s="61"/>
      <c r="K1005" s="62"/>
      <c r="L1005" s="62"/>
      <c r="N1005" s="63"/>
      <c r="S1005" s="64"/>
      <c r="U1005" s="61"/>
      <c r="V1005" s="63"/>
    </row>
    <row r="1006" ht="15.75" customHeight="1">
      <c r="J1006" s="61"/>
      <c r="K1006" s="62"/>
      <c r="L1006" s="62"/>
      <c r="N1006" s="63"/>
      <c r="S1006" s="64"/>
      <c r="U1006" s="61"/>
      <c r="V1006" s="63"/>
    </row>
    <row r="1007" ht="15.75" customHeight="1">
      <c r="J1007" s="61"/>
      <c r="K1007" s="62"/>
      <c r="L1007" s="62"/>
      <c r="N1007" s="63"/>
      <c r="S1007" s="64"/>
      <c r="U1007" s="61"/>
      <c r="V1007" s="63"/>
    </row>
    <row r="1008" ht="15.75" customHeight="1">
      <c r="J1008" s="61"/>
      <c r="K1008" s="62"/>
      <c r="L1008" s="62"/>
      <c r="N1008" s="63"/>
      <c r="S1008" s="64"/>
      <c r="U1008" s="61"/>
      <c r="V1008" s="63"/>
    </row>
    <row r="1009" ht="15.75" customHeight="1">
      <c r="J1009" s="61"/>
      <c r="K1009" s="62"/>
      <c r="L1009" s="62"/>
      <c r="N1009" s="63"/>
      <c r="S1009" s="64"/>
      <c r="U1009" s="61"/>
      <c r="V1009" s="63"/>
    </row>
    <row r="1010" ht="15.75" customHeight="1">
      <c r="J1010" s="61"/>
      <c r="K1010" s="62"/>
      <c r="L1010" s="62"/>
      <c r="N1010" s="63"/>
      <c r="S1010" s="64"/>
      <c r="U1010" s="61"/>
      <c r="V1010" s="63"/>
    </row>
  </sheetData>
  <dataValidations>
    <dataValidation type="custom" allowBlank="1" showDropDown="1" sqref="A11:A27 C11:M27 O11:P27 T11:U27 W11:W27">
      <formula1>AND(ISNUMBER(A11),(NOT(OR(NOT(ISERROR(DATEVALUE(A11))), AND(ISNUMBER(A11), LEFT(CELL("format", A11))="D")))))</formula1>
    </dataValidation>
  </dataValidations>
  <printOptions/>
  <pageMargins bottom="1.0" footer="0.0" header="0.0" left="0.75" right="0.75" top="1.0"/>
  <pageSetup orientation="landscape"/>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1" t="s">
        <v>32</v>
      </c>
    </row>
    <row r="2">
      <c r="A2" s="11" t="s">
        <v>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4" max="4" width="11.88"/>
    <col customWidth="1" min="6" max="6" width="10.63"/>
    <col customWidth="1" min="7" max="7" width="16.88"/>
    <col customWidth="1" min="8" max="8" width="17.25"/>
    <col customWidth="1" min="9" max="9" width="19.25"/>
    <col customWidth="1" min="10" max="10" width="13.75"/>
    <col customWidth="1" min="11" max="11" width="10.13"/>
    <col customWidth="1" min="15" max="15" width="10.38"/>
    <col customWidth="1" min="16" max="16" width="13.0"/>
    <col customWidth="1" min="17" max="17" width="8.0"/>
    <col customWidth="1" min="18" max="18" width="9.88"/>
    <col customWidth="1" min="19" max="19" width="11.0"/>
    <col customWidth="1" min="20" max="20" width="16.88"/>
    <col customWidth="1" min="21" max="21" width="14.25"/>
    <col customWidth="1" min="22" max="22" width="11.63"/>
    <col customWidth="1" min="23" max="24" width="12.75"/>
    <col customWidth="1" min="25" max="25" width="10.25"/>
    <col customWidth="1" min="26" max="26" width="10.88"/>
    <col customWidth="1" min="27" max="27" width="21.88"/>
    <col customWidth="1" min="28" max="28" width="11.5"/>
    <col customWidth="1" min="29" max="29" width="10.5"/>
    <col customWidth="1" min="30" max="30" width="12.63"/>
    <col customWidth="1" min="31" max="31" width="9.13"/>
    <col customWidth="1" min="32" max="32" width="11.38"/>
  </cols>
  <sheetData>
    <row r="1">
      <c r="A1" s="11" t="s">
        <v>34</v>
      </c>
      <c r="D1" s="69"/>
      <c r="E1" s="69"/>
      <c r="F1" s="70"/>
      <c r="G1" s="69"/>
      <c r="K1" s="71"/>
    </row>
    <row r="2">
      <c r="D2" s="69"/>
      <c r="E2" s="69"/>
      <c r="F2" s="72"/>
      <c r="G2" s="69"/>
      <c r="K2" s="71"/>
    </row>
    <row r="3" ht="22.5" customHeight="1">
      <c r="B3" s="73" t="s">
        <v>35</v>
      </c>
      <c r="C3" s="73" t="s">
        <v>36</v>
      </c>
      <c r="D3" s="74" t="s">
        <v>37</v>
      </c>
      <c r="E3" s="74" t="s">
        <v>38</v>
      </c>
      <c r="F3" s="75" t="s">
        <v>39</v>
      </c>
      <c r="G3" s="76" t="s">
        <v>3</v>
      </c>
      <c r="H3" s="77" t="s">
        <v>40</v>
      </c>
      <c r="I3" s="77" t="s">
        <v>41</v>
      </c>
      <c r="J3" s="73" t="s">
        <v>42</v>
      </c>
      <c r="K3" s="78" t="s">
        <v>43</v>
      </c>
      <c r="L3" s="74" t="s">
        <v>44</v>
      </c>
      <c r="M3" s="73" t="s">
        <v>45</v>
      </c>
      <c r="N3" s="73" t="s">
        <v>46</v>
      </c>
      <c r="O3" s="79" t="s">
        <v>47</v>
      </c>
      <c r="P3" s="33" t="s">
        <v>6</v>
      </c>
      <c r="Q3" s="33" t="s">
        <v>48</v>
      </c>
      <c r="R3" s="33" t="s">
        <v>49</v>
      </c>
      <c r="S3" s="32" t="s">
        <v>50</v>
      </c>
      <c r="U3" s="73" t="s">
        <v>35</v>
      </c>
      <c r="V3" s="73" t="s">
        <v>3</v>
      </c>
      <c r="W3" s="77" t="s">
        <v>51</v>
      </c>
      <c r="X3" s="77" t="s">
        <v>52</v>
      </c>
      <c r="Y3" s="73" t="s">
        <v>42</v>
      </c>
      <c r="Z3" s="73" t="s">
        <v>53</v>
      </c>
      <c r="AA3" s="73" t="s">
        <v>54</v>
      </c>
      <c r="AB3" s="73" t="s">
        <v>55</v>
      </c>
      <c r="AC3" s="73" t="s">
        <v>56</v>
      </c>
      <c r="AD3" s="74" t="s">
        <v>39</v>
      </c>
      <c r="AE3" s="73" t="s">
        <v>57</v>
      </c>
      <c r="AF3" s="77" t="s">
        <v>41</v>
      </c>
      <c r="AG3" s="77" t="s">
        <v>40</v>
      </c>
      <c r="AH3" s="73" t="s">
        <v>58</v>
      </c>
      <c r="AI3" s="73" t="s">
        <v>59</v>
      </c>
      <c r="AJ3" s="33" t="s">
        <v>48</v>
      </c>
    </row>
    <row r="4" ht="22.5" customHeight="1">
      <c r="B4" s="80" t="s">
        <v>60</v>
      </c>
      <c r="C4" s="80" t="s">
        <v>14</v>
      </c>
      <c r="D4" s="81">
        <f>IFERROR(__xludf.DUMMYFUNCTION("index(split(index(SPLIT($C4, "" ""),1), ""/"", 1),1)"),300.0)</f>
        <v>300</v>
      </c>
      <c r="E4" s="81">
        <f>IFERROR(__xludf.DUMMYFUNCTION("index(split(index(SPLIT($C4, "" ""),1), ""/"", 1),2)"),440.0)</f>
        <v>440</v>
      </c>
      <c r="F4" s="82">
        <f>D4+O4</f>
        <v>357</v>
      </c>
      <c r="G4" s="83">
        <v>47102.0</v>
      </c>
      <c r="H4" s="84">
        <f>recommendBullCallSpreadOpenDebit($B4, $G4, $D4, $E4, 60)</f>
        <v>60.69</v>
      </c>
      <c r="I4" s="84">
        <f>recommendBullCallSpreadCloseCredit($B4, $G4, $D4, $E4, 60)</f>
        <v>53.61</v>
      </c>
      <c r="J4" s="85" t="s">
        <v>61</v>
      </c>
      <c r="K4" s="86">
        <v>16.0</v>
      </c>
      <c r="L4" s="84">
        <f>100*K4*H4</f>
        <v>97104</v>
      </c>
      <c r="M4" s="87">
        <f>sum(M5:M8)</f>
        <v>7</v>
      </c>
      <c r="O4" s="88">
        <f>IF(COUNTA(M5:M8)=0, H4, SUMPRODUCT(M5:M8, N5:N8) / SUM(M5:M8))</f>
        <v>57</v>
      </c>
      <c r="P4" s="40">
        <f t="shared" ref="P4:P17" si="1">IF(LEN(O4), O4*M4*100, "")</f>
        <v>39900</v>
      </c>
      <c r="Q4" s="88">
        <f>(I4-O4)*100*M4</f>
        <v>-2373</v>
      </c>
      <c r="R4" s="89">
        <f>IFERROR(Q4/P4, 0)</f>
        <v>-0.05947368421</v>
      </c>
      <c r="S4" s="89">
        <f>(E4 - D4 - O4) / O4</f>
        <v>1.456140351</v>
      </c>
      <c r="U4" s="84" t="s">
        <v>60</v>
      </c>
      <c r="V4" s="90">
        <v>46028.0</v>
      </c>
      <c r="W4" s="91" t="s">
        <v>62</v>
      </c>
      <c r="X4" s="90">
        <v>46036.0</v>
      </c>
      <c r="Y4" s="92" t="s">
        <v>63</v>
      </c>
      <c r="Z4" s="84">
        <v>380.0</v>
      </c>
      <c r="AA4" s="84">
        <v>450.0</v>
      </c>
      <c r="AB4" s="84">
        <v>450.0</v>
      </c>
      <c r="AC4" s="84">
        <v>580.0</v>
      </c>
      <c r="AD4" s="84" t="str">
        <f t="shared" ref="AD4:AD5" si="2">(AA4 - AE4) &amp; " - " &amp; (AB4 + AE4)</f>
        <v>405.9 - 494.1</v>
      </c>
      <c r="AE4" s="84">
        <v>44.1</v>
      </c>
      <c r="AF4" s="84" t="str">
        <f t="shared" ref="AF4:AF5" si="3">recommendIronCondorOpenCredit(
  $U4,
  $V4,
  $Z4,
  $AA4,
  $AB4,
  $AC4,
  60)</f>
        <v>Loading...</v>
      </c>
      <c r="AG4" s="84">
        <v>35.0</v>
      </c>
      <c r="AH4" s="84">
        <v>2.0</v>
      </c>
      <c r="AI4" s="88">
        <f t="shared" ref="AI4:AI5" si="4">AH4*AE4*100</f>
        <v>8820</v>
      </c>
      <c r="AJ4" s="88">
        <f t="shared" ref="AJ4:AJ5" si="5">(AE4-AG4)*AH4*100</f>
        <v>1820</v>
      </c>
    </row>
    <row r="5" ht="22.5" customHeight="1">
      <c r="B5" s="80"/>
      <c r="C5" s="80"/>
      <c r="D5" s="81"/>
      <c r="E5" s="81"/>
      <c r="F5" s="93"/>
      <c r="G5" s="94"/>
      <c r="K5" s="95">
        <v>46042.0</v>
      </c>
      <c r="M5" s="84">
        <v>7.0</v>
      </c>
      <c r="N5" s="84">
        <v>57.0</v>
      </c>
      <c r="O5" s="88" t="str">
        <f>IF(COUNTA(M6:M10)=0, "", SUMPRODUCT(M6:M10, N6:N10) / SUM(M6:M10))</f>
        <v/>
      </c>
      <c r="P5" s="40" t="str">
        <f t="shared" si="1"/>
        <v/>
      </c>
      <c r="R5" s="89"/>
      <c r="S5" s="89"/>
      <c r="U5" s="84" t="s">
        <v>64</v>
      </c>
      <c r="V5" s="90">
        <v>46059.0</v>
      </c>
      <c r="W5" s="91" t="s">
        <v>65</v>
      </c>
      <c r="X5" s="90">
        <v>46034.0</v>
      </c>
      <c r="Y5" s="96" t="s">
        <v>66</v>
      </c>
      <c r="Z5" s="84">
        <v>220.0</v>
      </c>
      <c r="AA5" s="84">
        <v>235.0</v>
      </c>
      <c r="AB5" s="84">
        <v>260.0</v>
      </c>
      <c r="AC5" s="84">
        <v>275.0</v>
      </c>
      <c r="AD5" s="84" t="str">
        <f t="shared" si="2"/>
        <v>228.7 - 266.3</v>
      </c>
      <c r="AE5" s="84">
        <v>6.3</v>
      </c>
      <c r="AF5" s="84" t="str">
        <f t="shared" si="3"/>
        <v>Loading...</v>
      </c>
      <c r="AG5" s="84">
        <v>7.97</v>
      </c>
      <c r="AH5" s="84">
        <v>10.0</v>
      </c>
      <c r="AI5" s="88">
        <f t="shared" si="4"/>
        <v>6300</v>
      </c>
      <c r="AJ5" s="88">
        <f t="shared" si="5"/>
        <v>-1670</v>
      </c>
    </row>
    <row r="6" ht="22.5" customHeight="1">
      <c r="B6" s="80"/>
      <c r="C6" s="80"/>
      <c r="D6" s="81"/>
      <c r="E6" s="81"/>
      <c r="F6" s="93"/>
      <c r="G6" s="94"/>
      <c r="K6" s="86"/>
      <c r="L6" s="97"/>
      <c r="M6" s="97"/>
      <c r="P6" s="40" t="str">
        <f t="shared" si="1"/>
        <v/>
      </c>
      <c r="R6" s="89"/>
      <c r="S6" s="89"/>
      <c r="U6" s="98"/>
      <c r="V6" s="98"/>
      <c r="W6" s="98"/>
      <c r="X6" s="98"/>
      <c r="Y6" s="98"/>
      <c r="Z6" s="98"/>
      <c r="AA6" s="98"/>
      <c r="AB6" s="98"/>
      <c r="AC6" s="98"/>
      <c r="AD6" s="98"/>
      <c r="AE6" s="98"/>
      <c r="AF6" s="98"/>
      <c r="AG6" s="98"/>
      <c r="AH6" s="98"/>
      <c r="AI6" s="99">
        <f>SUM(Iron_Condors[Net])</f>
        <v>15120</v>
      </c>
      <c r="AJ6" s="99">
        <f>SUM(Iron_Condors[Gain])</f>
        <v>150</v>
      </c>
    </row>
    <row r="7" ht="22.5" customHeight="1">
      <c r="B7" s="80"/>
      <c r="C7" s="80"/>
      <c r="D7" s="81"/>
      <c r="E7" s="81"/>
      <c r="F7" s="93"/>
      <c r="G7" s="94"/>
      <c r="K7" s="86"/>
      <c r="L7" s="97"/>
      <c r="M7" s="97"/>
      <c r="P7" s="40" t="str">
        <f t="shared" si="1"/>
        <v/>
      </c>
      <c r="R7" s="89"/>
      <c r="S7" s="89"/>
    </row>
    <row r="8" ht="22.5" customHeight="1">
      <c r="B8" s="80"/>
      <c r="C8" s="80"/>
      <c r="D8" s="81"/>
      <c r="E8" s="81"/>
      <c r="F8" s="93"/>
      <c r="G8" s="94"/>
      <c r="K8" s="86"/>
      <c r="L8" s="97"/>
      <c r="M8" s="97"/>
      <c r="P8" s="40" t="str">
        <f t="shared" si="1"/>
        <v/>
      </c>
      <c r="R8" s="89"/>
      <c r="S8" s="89"/>
    </row>
    <row r="9" ht="22.5" customHeight="1">
      <c r="B9" s="100"/>
      <c r="C9" s="100"/>
      <c r="D9" s="101"/>
      <c r="E9" s="101"/>
      <c r="F9" s="102"/>
      <c r="G9" s="103"/>
      <c r="H9" s="104"/>
      <c r="I9" s="104"/>
      <c r="J9" s="104"/>
      <c r="K9" s="105"/>
      <c r="L9" s="106"/>
      <c r="M9" s="106"/>
      <c r="N9" s="104"/>
      <c r="O9" s="104"/>
      <c r="P9" s="107" t="str">
        <f t="shared" si="1"/>
        <v/>
      </c>
      <c r="Q9" s="107" t="str">
        <f t="shared" ref="Q9:S9" si="6">IF(LEN(P9), P9*N9*100, "")</f>
        <v/>
      </c>
      <c r="R9" s="107" t="str">
        <f t="shared" si="6"/>
        <v/>
      </c>
      <c r="S9" s="108" t="str">
        <f t="shared" si="6"/>
        <v/>
      </c>
      <c r="U9" s="11"/>
      <c r="V9" s="11"/>
      <c r="W9" s="11"/>
      <c r="X9" s="11"/>
      <c r="Y9" s="11"/>
      <c r="Z9" s="11"/>
      <c r="AA9" s="11"/>
      <c r="AB9" s="14"/>
    </row>
    <row r="10" ht="22.5" customHeight="1">
      <c r="B10" s="100"/>
      <c r="C10" s="100"/>
      <c r="D10" s="101"/>
      <c r="E10" s="101"/>
      <c r="F10" s="102"/>
      <c r="G10" s="103"/>
      <c r="H10" s="104"/>
      <c r="I10" s="104"/>
      <c r="J10" s="104"/>
      <c r="K10" s="105"/>
      <c r="L10" s="106"/>
      <c r="M10" s="106"/>
      <c r="N10" s="104"/>
      <c r="O10" s="104"/>
      <c r="P10" s="107" t="str">
        <f t="shared" si="1"/>
        <v/>
      </c>
      <c r="Q10" s="107" t="str">
        <f t="shared" ref="Q10:S10" si="7">IF(LEN(P10), P10*N10*100, "")</f>
        <v/>
      </c>
      <c r="R10" s="107" t="str">
        <f t="shared" si="7"/>
        <v/>
      </c>
      <c r="S10" s="108" t="str">
        <f t="shared" si="7"/>
        <v/>
      </c>
      <c r="U10" s="73" t="s">
        <v>35</v>
      </c>
      <c r="V10" s="73" t="s">
        <v>67</v>
      </c>
      <c r="W10" s="73" t="s">
        <v>68</v>
      </c>
      <c r="X10" s="73" t="s">
        <v>58</v>
      </c>
      <c r="Y10" s="73" t="s">
        <v>69</v>
      </c>
      <c r="Z10" s="73" t="s">
        <v>6</v>
      </c>
      <c r="AA10" s="33" t="s">
        <v>70</v>
      </c>
      <c r="AB10" s="33" t="s">
        <v>59</v>
      </c>
      <c r="AC10" s="33" t="s">
        <v>48</v>
      </c>
    </row>
    <row r="11" ht="22.5" customHeight="1">
      <c r="B11" s="80" t="s">
        <v>60</v>
      </c>
      <c r="C11" s="80" t="s">
        <v>16</v>
      </c>
      <c r="D11" s="81">
        <f>IFERROR(__xludf.DUMMYFUNCTION("index(split(index(SPLIT($C11, "" ""),1), ""/"", 1),1)"),350.0)</f>
        <v>350</v>
      </c>
      <c r="E11" s="81" t="s">
        <v>71</v>
      </c>
      <c r="F11" s="82">
        <f>D11+O11</f>
        <v>391.29</v>
      </c>
      <c r="G11" s="90">
        <v>46920.0</v>
      </c>
      <c r="H11" s="84" t="str">
        <f>recommendBullCallSpreadOpenDebit($B11, $G11, $D11, $E11, 60)</f>
        <v>Loading...</v>
      </c>
      <c r="I11" s="84" t="str">
        <f>recommendBullCallSpreadCloseCredit($B11, $G11, $D11, $E11, 60)</f>
        <v>Loading...</v>
      </c>
      <c r="J11" s="85" t="s">
        <v>72</v>
      </c>
      <c r="K11" s="86">
        <v>1.0</v>
      </c>
      <c r="L11" s="84" t="str">
        <f>100*K11*H11</f>
        <v>Loading...</v>
      </c>
      <c r="M11" s="87">
        <f>sum(M12:M15)</f>
        <v>1</v>
      </c>
      <c r="O11" s="88">
        <f>IF(COUNTA(M12:M15)=0, H11, SUMPRODUCT(M12:M15, N12:N15) / SUM(M12:M15))</f>
        <v>41.29</v>
      </c>
      <c r="P11" s="40">
        <f t="shared" si="1"/>
        <v>4129</v>
      </c>
      <c r="Q11" s="88" t="str">
        <f>(I11-O11)*100*M11</f>
        <v>Loading...</v>
      </c>
      <c r="R11" s="89">
        <f>IFERROR(Q11/P11, 0)</f>
        <v>0</v>
      </c>
      <c r="S11" s="89">
        <f>(E11 - D11 - O11) / O11</f>
        <v>1.421893921</v>
      </c>
      <c r="U11" s="84" t="s">
        <v>60</v>
      </c>
      <c r="X11" s="84">
        <f>SUM(X12:X15)</f>
        <v>647</v>
      </c>
      <c r="Y11" s="109">
        <f>IF(COUNTA(W12:W16)=0, 0, SUMPRODUCT(W12:W16, X12:X16) / SUM(X12:X16))</f>
        <v>276.2174034</v>
      </c>
      <c r="Z11" s="109">
        <f>Y11*X11</f>
        <v>178712.66</v>
      </c>
      <c r="AA11" s="88">
        <f>IFERROR(__xludf.DUMMYFUNCTION("GOOGLEFINANCE(U11,""price"")"),432.95)</f>
        <v>432.95</v>
      </c>
      <c r="AB11" s="88">
        <f>AA11*X11</f>
        <v>280118.65</v>
      </c>
      <c r="AC11" s="109">
        <f>AB11-Z11</f>
        <v>101405.99</v>
      </c>
    </row>
    <row r="12" ht="22.5" customHeight="1">
      <c r="B12" s="84"/>
      <c r="C12" s="84"/>
      <c r="D12" s="110"/>
      <c r="E12" s="110"/>
      <c r="F12" s="82"/>
      <c r="G12" s="90"/>
      <c r="J12" s="88"/>
      <c r="K12" s="111" t="s">
        <v>73</v>
      </c>
      <c r="L12" s="84"/>
      <c r="M12" s="84">
        <v>1.0</v>
      </c>
      <c r="N12" s="112">
        <v>41.29</v>
      </c>
      <c r="P12" s="40" t="str">
        <f t="shared" si="1"/>
        <v/>
      </c>
      <c r="R12" s="89"/>
      <c r="S12" s="89"/>
      <c r="V12" s="113">
        <v>44798.0</v>
      </c>
      <c r="W12" s="84">
        <v>297.0</v>
      </c>
      <c r="X12" s="84">
        <v>122.0</v>
      </c>
      <c r="Y12" s="109"/>
      <c r="Z12" s="109"/>
    </row>
    <row r="13" ht="22.5" customHeight="1">
      <c r="B13" s="84"/>
      <c r="C13" s="84"/>
      <c r="D13" s="110"/>
      <c r="E13" s="110"/>
      <c r="F13" s="82"/>
      <c r="G13" s="90"/>
      <c r="J13" s="88"/>
      <c r="K13" s="114"/>
      <c r="P13" s="40" t="str">
        <f t="shared" si="1"/>
        <v/>
      </c>
      <c r="R13" s="89"/>
      <c r="S13" s="89"/>
      <c r="V13" s="113">
        <v>44848.0</v>
      </c>
      <c r="W13" s="84">
        <v>208.0</v>
      </c>
      <c r="X13" s="84">
        <v>225.0</v>
      </c>
      <c r="Y13" s="109"/>
      <c r="Z13" s="109"/>
    </row>
    <row r="14" ht="22.5" customHeight="1">
      <c r="B14" s="84"/>
      <c r="C14" s="84"/>
      <c r="D14" s="110"/>
      <c r="E14" s="110"/>
      <c r="F14" s="82"/>
      <c r="G14" s="90"/>
      <c r="J14" s="88"/>
      <c r="K14" s="115"/>
      <c r="P14" s="40" t="str">
        <f t="shared" si="1"/>
        <v/>
      </c>
      <c r="R14" s="89"/>
      <c r="S14" s="89"/>
      <c r="V14" s="113">
        <v>44858.0</v>
      </c>
      <c r="W14" s="84">
        <v>235.0</v>
      </c>
      <c r="X14" s="84">
        <v>200.0</v>
      </c>
      <c r="Y14" s="109"/>
      <c r="Z14" s="109"/>
    </row>
    <row r="15" ht="22.5" customHeight="1">
      <c r="B15" s="84"/>
      <c r="C15" s="84"/>
      <c r="D15" s="110"/>
      <c r="E15" s="110"/>
      <c r="F15" s="82"/>
      <c r="G15" s="90"/>
      <c r="J15" s="88"/>
      <c r="K15" s="115"/>
      <c r="P15" s="40" t="str">
        <f t="shared" si="1"/>
        <v/>
      </c>
      <c r="R15" s="89"/>
      <c r="S15" s="89"/>
      <c r="V15" s="116">
        <v>46010.0</v>
      </c>
      <c r="W15" s="84">
        <v>486.7866</v>
      </c>
      <c r="X15" s="84">
        <v>100.0</v>
      </c>
      <c r="Y15" s="109"/>
      <c r="Z15" s="109"/>
    </row>
    <row r="16" ht="22.5" customHeight="1">
      <c r="B16" s="100"/>
      <c r="C16" s="100"/>
      <c r="D16" s="101"/>
      <c r="E16" s="101"/>
      <c r="F16" s="102"/>
      <c r="G16" s="103"/>
      <c r="H16" s="104"/>
      <c r="I16" s="104"/>
      <c r="J16" s="104"/>
      <c r="K16" s="105"/>
      <c r="L16" s="106"/>
      <c r="M16" s="106"/>
      <c r="N16" s="104"/>
      <c r="O16" s="104"/>
      <c r="P16" s="107" t="str">
        <f t="shared" si="1"/>
        <v/>
      </c>
      <c r="Q16" s="107" t="str">
        <f t="shared" ref="Q16:S16" si="8">IF(LEN(P16), P16*N16*100, "")</f>
        <v/>
      </c>
      <c r="R16" s="107" t="str">
        <f t="shared" si="8"/>
        <v/>
      </c>
      <c r="S16" s="108" t="str">
        <f t="shared" si="8"/>
        <v/>
      </c>
      <c r="V16" s="116"/>
      <c r="Y16" s="109"/>
      <c r="Z16" s="109"/>
    </row>
    <row r="17" ht="22.5" customHeight="1">
      <c r="B17" s="80" t="s">
        <v>60</v>
      </c>
      <c r="C17" s="80" t="s">
        <v>16</v>
      </c>
      <c r="D17" s="81">
        <f>IFERROR(__xludf.DUMMYFUNCTION("index(split(index(SPLIT($C17, "" ""),1), ""/"", 1),1)"),350.0)</f>
        <v>350</v>
      </c>
      <c r="E17" s="81">
        <f>IFERROR(__xludf.DUMMYFUNCTION("index(split(index(SPLIT($C17, "" ""),1), ""/"", 1),2)"),450.0)</f>
        <v>450</v>
      </c>
      <c r="F17" s="82">
        <f>D17+O17</f>
        <v>387</v>
      </c>
      <c r="G17" s="83">
        <v>47102.0</v>
      </c>
      <c r="H17" s="84" t="str">
        <f>recommendBullCallSpreadOpenDebit($B17, $G17, $D17, $E17, 60)</f>
        <v>Loading...</v>
      </c>
      <c r="I17" s="84" t="str">
        <f>recommendBullCallSpreadCloseCredit($B17, $G17, $D17, $E17, 60)</f>
        <v>Loading...</v>
      </c>
      <c r="J17" s="85" t="s">
        <v>74</v>
      </c>
      <c r="K17" s="86">
        <v>21.0</v>
      </c>
      <c r="L17" s="84" t="str">
        <f>100*K17*H17</f>
        <v>Loading...</v>
      </c>
      <c r="M17" s="88">
        <f>sum(M18:M21)</f>
        <v>7</v>
      </c>
      <c r="O17" s="88">
        <f>IF(COUNTA(M18:M21)=0, H17, SUMPRODUCT(M18:M21, N18:N21) / SUM(M18:M21))</f>
        <v>37</v>
      </c>
      <c r="P17" s="40">
        <f t="shared" si="1"/>
        <v>25900</v>
      </c>
      <c r="Q17" s="88" t="str">
        <f>(I17-O17)*100*M17</f>
        <v>Loading...</v>
      </c>
      <c r="R17" s="89">
        <f>IFERROR(Q17/P17, 0)</f>
        <v>0</v>
      </c>
      <c r="S17" s="89">
        <f>(E17 - D17 - O17) / O17</f>
        <v>1.702702703</v>
      </c>
      <c r="U17" s="104"/>
      <c r="V17" s="104"/>
      <c r="W17" s="104"/>
      <c r="X17" s="104"/>
      <c r="Y17" s="117"/>
      <c r="Z17" s="117"/>
      <c r="AA17" s="104"/>
      <c r="AB17" s="104"/>
      <c r="AC17" s="104"/>
    </row>
    <row r="18" ht="22.5" customHeight="1">
      <c r="B18" s="84"/>
      <c r="C18" s="84"/>
      <c r="D18" s="110"/>
      <c r="E18" s="110"/>
      <c r="F18" s="82"/>
      <c r="G18" s="90"/>
      <c r="K18" s="114">
        <v>46034.0</v>
      </c>
      <c r="M18" s="84">
        <v>7.0</v>
      </c>
      <c r="N18" s="84">
        <v>37.0</v>
      </c>
      <c r="P18" s="40"/>
      <c r="R18" s="89"/>
      <c r="S18" s="89"/>
      <c r="Y18" s="109"/>
      <c r="Z18" s="109"/>
    </row>
    <row r="19" ht="22.5" customHeight="1">
      <c r="B19" s="84"/>
      <c r="C19" s="84"/>
      <c r="D19" s="110"/>
      <c r="E19" s="110"/>
      <c r="F19" s="82"/>
      <c r="G19" s="90"/>
      <c r="P19" s="40" t="str">
        <f>IF(LEN(O19), O19*M18*100, "")</f>
        <v/>
      </c>
      <c r="R19" s="89"/>
      <c r="S19" s="89"/>
      <c r="V19" s="113"/>
      <c r="Y19" s="109"/>
      <c r="Z19" s="109"/>
    </row>
    <row r="20" ht="22.5" customHeight="1">
      <c r="B20" s="84"/>
      <c r="C20" s="84"/>
      <c r="D20" s="110"/>
      <c r="E20" s="110"/>
      <c r="F20" s="82"/>
      <c r="G20" s="90"/>
      <c r="K20" s="115"/>
      <c r="P20" s="40" t="str">
        <f t="shared" ref="P20:P29" si="9">IF(LEN(O20), O20*M20*100, "")</f>
        <v/>
      </c>
      <c r="R20" s="89"/>
      <c r="S20" s="89"/>
      <c r="V20" s="113"/>
      <c r="Y20" s="109"/>
      <c r="Z20" s="109"/>
    </row>
    <row r="21" ht="22.5" customHeight="1">
      <c r="B21" s="84"/>
      <c r="C21" s="84"/>
      <c r="D21" s="110"/>
      <c r="E21" s="110"/>
      <c r="F21" s="82"/>
      <c r="G21" s="90"/>
      <c r="K21" s="115"/>
      <c r="P21" s="40" t="str">
        <f t="shared" si="9"/>
        <v/>
      </c>
      <c r="R21" s="89"/>
      <c r="S21" s="89"/>
      <c r="V21" s="113"/>
      <c r="Y21" s="109"/>
      <c r="Z21" s="109"/>
    </row>
    <row r="22" ht="22.5" customHeight="1">
      <c r="B22" s="100"/>
      <c r="C22" s="100"/>
      <c r="D22" s="101"/>
      <c r="E22" s="101"/>
      <c r="F22" s="102"/>
      <c r="G22" s="103"/>
      <c r="H22" s="104"/>
      <c r="I22" s="104"/>
      <c r="J22" s="104"/>
      <c r="K22" s="105"/>
      <c r="L22" s="106"/>
      <c r="M22" s="106"/>
      <c r="N22" s="104"/>
      <c r="O22" s="104"/>
      <c r="P22" s="107" t="str">
        <f t="shared" si="9"/>
        <v/>
      </c>
      <c r="Q22" s="107" t="str">
        <f t="shared" ref="Q22:S22" si="10">IF(LEN(P22), P22*N22*100, "")</f>
        <v/>
      </c>
      <c r="R22" s="107" t="str">
        <f t="shared" si="10"/>
        <v/>
      </c>
      <c r="S22" s="108" t="str">
        <f t="shared" si="10"/>
        <v/>
      </c>
      <c r="U22" s="104"/>
      <c r="V22" s="104"/>
      <c r="W22" s="104"/>
      <c r="X22" s="104"/>
      <c r="Y22" s="117"/>
      <c r="Z22" s="118">
        <f>sum(Z11:Z15)</f>
        <v>178712.66</v>
      </c>
      <c r="AA22" s="117"/>
      <c r="AB22" s="117"/>
      <c r="AC22" s="118">
        <f>sum(AC11:AC15)</f>
        <v>101405.99</v>
      </c>
    </row>
    <row r="23" ht="22.5" customHeight="1">
      <c r="A23" s="64"/>
      <c r="B23" s="80" t="s">
        <v>60</v>
      </c>
      <c r="C23" s="119" t="s">
        <v>17</v>
      </c>
      <c r="D23" s="81">
        <f>IFERROR(__xludf.DUMMYFUNCTION("index(split(index(SPLIT($C23, "" ""),1), ""/"", 1),1)"),350.0)</f>
        <v>350</v>
      </c>
      <c r="E23" s="81">
        <f>IFERROR(__xludf.DUMMYFUNCTION("index(split(index(SPLIT($C23, "" ""),1), ""/"", 1),2)"),550.0)</f>
        <v>550</v>
      </c>
      <c r="F23" s="82">
        <f>D23+O23</f>
        <v>415</v>
      </c>
      <c r="G23" s="83">
        <v>47102.0</v>
      </c>
      <c r="H23" s="84" t="str">
        <f>recommendBullCallSpreadOpenDebit($B23, $G23, $D23, $E23, 60)</f>
        <v>Loading...</v>
      </c>
      <c r="I23" s="84">
        <f>recommendBullCallSpreadCloseCredit($B23, $G23, $D23, $E23, 60)</f>
        <v>60.46</v>
      </c>
      <c r="J23" s="120" t="s">
        <v>75</v>
      </c>
      <c r="K23" s="121">
        <v>8.0</v>
      </c>
      <c r="L23" s="84" t="str">
        <f>100*K23*H23</f>
        <v>Loading...</v>
      </c>
      <c r="M23" s="122">
        <f>sum(M24:M27)</f>
        <v>8</v>
      </c>
      <c r="N23" s="123"/>
      <c r="O23" s="88">
        <f>IF(COUNTA(M24:M27)=0, H23, SUMPRODUCT(M24:M27, N24:N27) / SUM(M24:M27))</f>
        <v>65</v>
      </c>
      <c r="P23" s="124">
        <f t="shared" si="9"/>
        <v>52000</v>
      </c>
      <c r="Q23" s="88">
        <f>(I23-O23)*100*M23</f>
        <v>-3632</v>
      </c>
      <c r="R23" s="89">
        <f>IFERROR(Q23/P23, 0)</f>
        <v>-0.06984615385</v>
      </c>
      <c r="S23" s="89">
        <f>(E23 - D23 - O23) / O23</f>
        <v>2.076923077</v>
      </c>
      <c r="T23" s="64"/>
      <c r="AE23" s="64"/>
      <c r="AF23" s="64"/>
      <c r="AG23" s="64"/>
      <c r="AH23" s="64"/>
      <c r="AI23" s="64"/>
      <c r="AJ23" s="64"/>
      <c r="AK23" s="64"/>
      <c r="AL23" s="64"/>
    </row>
    <row r="24" ht="22.5" customHeight="1">
      <c r="A24" s="64"/>
      <c r="B24" s="125"/>
      <c r="C24" s="125"/>
      <c r="D24" s="126"/>
      <c r="E24" s="126"/>
      <c r="F24" s="127"/>
      <c r="G24" s="128"/>
      <c r="H24" s="129"/>
      <c r="I24" s="129"/>
      <c r="J24" s="129"/>
      <c r="K24" s="130">
        <v>46031.0</v>
      </c>
      <c r="L24" s="131"/>
      <c r="M24" s="132">
        <v>8.0</v>
      </c>
      <c r="N24" s="133">
        <v>65.0</v>
      </c>
      <c r="O24" s="129" t="str">
        <f>IF(COUNTA(M25:M28)=0, "", SUMPRODUCT(M25:M28, N25:N28) / SUM(M25:M28))</f>
        <v/>
      </c>
      <c r="P24" s="134" t="str">
        <f t="shared" si="9"/>
        <v/>
      </c>
      <c r="Q24" s="135"/>
      <c r="R24" s="136"/>
      <c r="S24" s="136"/>
      <c r="T24" s="64"/>
      <c r="U24" s="64"/>
      <c r="V24" s="64"/>
      <c r="W24" s="64"/>
      <c r="X24" s="64"/>
      <c r="Y24" s="64"/>
      <c r="Z24" s="64"/>
      <c r="AA24" s="64"/>
      <c r="AB24" s="64"/>
      <c r="AC24" s="64"/>
      <c r="AD24" s="64"/>
      <c r="AE24" s="64"/>
      <c r="AF24" s="64"/>
      <c r="AG24" s="64"/>
      <c r="AH24" s="64"/>
      <c r="AI24" s="64"/>
      <c r="AJ24" s="64"/>
      <c r="AK24" s="64"/>
      <c r="AL24" s="64"/>
    </row>
    <row r="25" ht="22.5" customHeight="1">
      <c r="A25" s="64"/>
      <c r="B25" s="137"/>
      <c r="C25" s="137"/>
      <c r="D25" s="138"/>
      <c r="E25" s="138"/>
      <c r="F25" s="139"/>
      <c r="G25" s="140"/>
      <c r="H25" s="123"/>
      <c r="I25" s="123"/>
      <c r="J25" s="123"/>
      <c r="K25" s="141"/>
      <c r="L25" s="123"/>
      <c r="M25" s="123"/>
      <c r="N25" s="123"/>
      <c r="O25" s="123"/>
      <c r="P25" s="142" t="str">
        <f t="shared" si="9"/>
        <v/>
      </c>
      <c r="Q25" s="135"/>
      <c r="R25" s="136"/>
      <c r="S25" s="136"/>
      <c r="T25" s="64"/>
      <c r="U25" s="64"/>
      <c r="V25" s="64"/>
      <c r="W25" s="64"/>
      <c r="X25" s="64"/>
      <c r="Y25" s="64"/>
      <c r="Z25" s="64"/>
      <c r="AA25" s="64"/>
      <c r="AB25" s="64"/>
      <c r="AC25" s="64"/>
      <c r="AD25" s="64"/>
      <c r="AE25" s="64"/>
      <c r="AF25" s="64"/>
      <c r="AG25" s="64"/>
      <c r="AH25" s="64"/>
      <c r="AI25" s="64"/>
      <c r="AJ25" s="64"/>
      <c r="AK25" s="64"/>
      <c r="AL25" s="64"/>
    </row>
    <row r="26" ht="22.5" customHeight="1">
      <c r="A26" s="64"/>
      <c r="B26" s="125"/>
      <c r="C26" s="125"/>
      <c r="D26" s="126"/>
      <c r="E26" s="126"/>
      <c r="F26" s="127"/>
      <c r="G26" s="128"/>
      <c r="H26" s="129"/>
      <c r="I26" s="129"/>
      <c r="J26" s="129"/>
      <c r="K26" s="143"/>
      <c r="L26" s="129"/>
      <c r="M26" s="129"/>
      <c r="N26" s="129"/>
      <c r="O26" s="129"/>
      <c r="P26" s="134" t="str">
        <f t="shared" si="9"/>
        <v/>
      </c>
      <c r="Q26" s="135"/>
      <c r="R26" s="136"/>
      <c r="S26" s="136"/>
      <c r="T26" s="64"/>
      <c r="U26" s="64"/>
      <c r="V26" s="64"/>
      <c r="W26" s="64"/>
      <c r="X26" s="64"/>
      <c r="Y26" s="64"/>
      <c r="Z26" s="64"/>
      <c r="AA26" s="64"/>
      <c r="AB26" s="64"/>
      <c r="AC26" s="64"/>
      <c r="AD26" s="64"/>
      <c r="AE26" s="64"/>
      <c r="AF26" s="64"/>
      <c r="AG26" s="64"/>
      <c r="AH26" s="64"/>
      <c r="AI26" s="64"/>
      <c r="AJ26" s="64"/>
      <c r="AK26" s="64"/>
      <c r="AL26" s="64"/>
    </row>
    <row r="27" ht="22.5" customHeight="1">
      <c r="A27" s="64"/>
      <c r="B27" s="137"/>
      <c r="C27" s="137"/>
      <c r="D27" s="138"/>
      <c r="E27" s="138"/>
      <c r="F27" s="139"/>
      <c r="G27" s="140"/>
      <c r="H27" s="123"/>
      <c r="I27" s="123"/>
      <c r="J27" s="123"/>
      <c r="K27" s="141"/>
      <c r="L27" s="123"/>
      <c r="M27" s="123"/>
      <c r="N27" s="123"/>
      <c r="O27" s="123"/>
      <c r="P27" s="142" t="str">
        <f t="shared" si="9"/>
        <v/>
      </c>
      <c r="Q27" s="135"/>
      <c r="R27" s="136"/>
      <c r="S27" s="136"/>
      <c r="T27" s="64"/>
      <c r="U27" s="64"/>
      <c r="V27" s="64"/>
      <c r="W27" s="64"/>
      <c r="X27" s="64"/>
      <c r="Y27" s="64"/>
      <c r="Z27" s="64"/>
      <c r="AA27" s="64"/>
      <c r="AB27" s="64"/>
      <c r="AC27" s="64"/>
      <c r="AD27" s="64"/>
      <c r="AE27" s="64"/>
      <c r="AF27" s="64"/>
      <c r="AG27" s="64"/>
      <c r="AH27" s="64"/>
      <c r="AI27" s="64"/>
      <c r="AJ27" s="64"/>
      <c r="AK27" s="64"/>
      <c r="AL27" s="64"/>
    </row>
    <row r="28" ht="22.5" customHeight="1">
      <c r="A28" s="64"/>
      <c r="B28" s="100"/>
      <c r="C28" s="100"/>
      <c r="D28" s="101"/>
      <c r="E28" s="101"/>
      <c r="F28" s="102"/>
      <c r="G28" s="103"/>
      <c r="H28" s="104"/>
      <c r="I28" s="104"/>
      <c r="J28" s="104"/>
      <c r="K28" s="105"/>
      <c r="L28" s="106"/>
      <c r="M28" s="106"/>
      <c r="N28" s="104"/>
      <c r="O28" s="104"/>
      <c r="P28" s="107" t="str">
        <f t="shared" si="9"/>
        <v/>
      </c>
      <c r="Q28" s="107" t="str">
        <f t="shared" ref="Q28:S28" si="11">IF(LEN(P28), P28*N28*100, "")</f>
        <v/>
      </c>
      <c r="R28" s="107" t="str">
        <f t="shared" si="11"/>
        <v/>
      </c>
      <c r="S28" s="108" t="str">
        <f t="shared" si="11"/>
        <v/>
      </c>
      <c r="T28" s="64"/>
      <c r="U28" s="64"/>
      <c r="V28" s="64"/>
      <c r="W28" s="64"/>
      <c r="X28" s="64"/>
      <c r="Y28" s="64"/>
      <c r="Z28" s="64"/>
      <c r="AA28" s="64"/>
      <c r="AB28" s="64"/>
      <c r="AC28" s="64"/>
      <c r="AD28" s="64"/>
      <c r="AE28" s="64"/>
      <c r="AF28" s="64"/>
      <c r="AG28" s="64"/>
      <c r="AH28" s="64"/>
      <c r="AI28" s="64"/>
      <c r="AJ28" s="64"/>
      <c r="AK28" s="64"/>
      <c r="AL28" s="64"/>
    </row>
    <row r="29" ht="22.5" customHeight="1">
      <c r="B29" s="80" t="s">
        <v>60</v>
      </c>
      <c r="C29" s="84" t="s">
        <v>19</v>
      </c>
      <c r="D29" s="81">
        <f>IFERROR(__xludf.DUMMYFUNCTION("index(split(index(SPLIT($C29, "" ""),1), ""/"", 1),1)"),400.0)</f>
        <v>400</v>
      </c>
      <c r="E29" s="81">
        <f>IFERROR(__xludf.DUMMYFUNCTION("index(split(index(SPLIT($C29, "" ""),1), ""/"", 1),2)"),450.0)</f>
        <v>450</v>
      </c>
      <c r="F29" s="82">
        <f>D29+O29</f>
        <v>418</v>
      </c>
      <c r="G29" s="83">
        <v>47102.0</v>
      </c>
      <c r="H29" s="84" t="str">
        <f>recommendBullCallSpreadOpenDebit($B29, $G29, $D29, $E29, 60)</f>
        <v>Loading...</v>
      </c>
      <c r="I29" s="84" t="str">
        <f>recommendBullCallSpreadCloseCredit($B29, $G29, $D29, $E29, 60)</f>
        <v>Loading...</v>
      </c>
      <c r="J29" s="96" t="s">
        <v>76</v>
      </c>
      <c r="K29" s="144">
        <v>4.0</v>
      </c>
      <c r="L29" s="84" t="str">
        <f>100*K29*H29</f>
        <v>Loading...</v>
      </c>
      <c r="M29" s="145">
        <f>sum(M30:M33)</f>
        <v>8</v>
      </c>
      <c r="O29" s="88">
        <f>IF(COUNTA(M30:M33)=0, H29, SUMPRODUCT(M30:M33, N30:N33) / SUM(M30:M33))</f>
        <v>18</v>
      </c>
      <c r="P29" s="40">
        <f t="shared" si="9"/>
        <v>14400</v>
      </c>
      <c r="Q29" s="88" t="str">
        <f>(I29-O29)*100*M29</f>
        <v>Loading...</v>
      </c>
      <c r="R29" s="89">
        <f>IFERROR(Q29/P29, 0)</f>
        <v>0</v>
      </c>
      <c r="S29" s="89">
        <f>(E29 - D29 - O29) / O29</f>
        <v>1.777777778</v>
      </c>
      <c r="U29" s="64"/>
      <c r="V29" s="64"/>
      <c r="W29" s="64"/>
      <c r="X29" s="64"/>
      <c r="Y29" s="64"/>
      <c r="Z29" s="64"/>
      <c r="AA29" s="64"/>
      <c r="AB29" s="64"/>
      <c r="AC29" s="64"/>
      <c r="AD29" s="64"/>
    </row>
    <row r="30" ht="22.5" customHeight="1">
      <c r="D30" s="146"/>
      <c r="E30" s="146"/>
      <c r="F30" s="147"/>
      <c r="G30" s="148"/>
      <c r="K30" s="114">
        <v>46038.0</v>
      </c>
      <c r="L30" s="84"/>
      <c r="M30" s="84">
        <v>8.0</v>
      </c>
      <c r="N30" s="84">
        <v>18.0</v>
      </c>
      <c r="P30" s="40"/>
      <c r="R30" s="89"/>
      <c r="S30" s="89"/>
    </row>
    <row r="31" ht="22.5" customHeight="1">
      <c r="D31" s="146"/>
      <c r="E31" s="146"/>
      <c r="F31" s="147"/>
      <c r="G31" s="148"/>
      <c r="K31" s="114"/>
      <c r="P31" s="40"/>
      <c r="R31" s="89"/>
      <c r="S31" s="89"/>
    </row>
    <row r="32" ht="22.5" customHeight="1">
      <c r="D32" s="146"/>
      <c r="E32" s="146"/>
      <c r="F32" s="147"/>
      <c r="G32" s="148"/>
      <c r="K32" s="149"/>
      <c r="P32" s="40"/>
      <c r="R32" s="89"/>
      <c r="S32" s="89"/>
    </row>
    <row r="33" ht="22.5" customHeight="1">
      <c r="D33" s="146"/>
      <c r="E33" s="146"/>
      <c r="F33" s="147"/>
      <c r="G33" s="148"/>
      <c r="K33" s="149"/>
      <c r="P33" s="40"/>
      <c r="R33" s="89"/>
      <c r="S33" s="89"/>
    </row>
    <row r="34" ht="22.5" customHeight="1">
      <c r="A34" s="64"/>
      <c r="B34" s="100"/>
      <c r="C34" s="100"/>
      <c r="D34" s="101"/>
      <c r="E34" s="101"/>
      <c r="F34" s="102"/>
      <c r="G34" s="103"/>
      <c r="H34" s="104"/>
      <c r="I34" s="104"/>
      <c r="J34" s="104"/>
      <c r="K34" s="105"/>
      <c r="L34" s="106"/>
      <c r="M34" s="106"/>
      <c r="N34" s="104"/>
      <c r="O34" s="104"/>
      <c r="P34" s="107" t="str">
        <f t="shared" ref="P34:S34" si="12">IF(LEN(O34), O34*M34*100, "")</f>
        <v/>
      </c>
      <c r="Q34" s="107" t="str">
        <f t="shared" si="12"/>
        <v/>
      </c>
      <c r="R34" s="107" t="str">
        <f t="shared" si="12"/>
        <v/>
      </c>
      <c r="S34" s="108" t="str">
        <f t="shared" si="12"/>
        <v/>
      </c>
      <c r="T34" s="64"/>
      <c r="AE34" s="64"/>
      <c r="AF34" s="64"/>
      <c r="AG34" s="64"/>
      <c r="AH34" s="64"/>
      <c r="AI34" s="64"/>
      <c r="AJ34" s="64"/>
      <c r="AK34" s="64"/>
      <c r="AL34" s="64"/>
    </row>
    <row r="35" ht="22.5" customHeight="1">
      <c r="B35" s="80" t="s">
        <v>60</v>
      </c>
      <c r="C35" s="84" t="s">
        <v>20</v>
      </c>
      <c r="D35" s="81">
        <f>IFERROR(__xludf.DUMMYFUNCTION("index(split(index(SPLIT($C35, "" ""),1), ""/"", 1),1)"),400.0)</f>
        <v>400</v>
      </c>
      <c r="E35" s="81">
        <f>IFERROR(__xludf.DUMMYFUNCTION("index(split(index(SPLIT($C35, "" ""),1), ""/"", 1),2)"),550.0)</f>
        <v>550</v>
      </c>
      <c r="F35" s="82">
        <f>D35+O35</f>
        <v>447</v>
      </c>
      <c r="G35" s="90">
        <v>46920.0</v>
      </c>
      <c r="H35" s="84" t="str">
        <f>recommendBullCallSpreadOpenDebit($B35, $G35, $D35, $E35, 60)</f>
        <v>Loading...</v>
      </c>
      <c r="I35" s="84">
        <f>recommendBullCallSpreadCloseCredit($B35, $G35, $D35, $E35, 60)</f>
        <v>46.19</v>
      </c>
      <c r="J35" s="96" t="s">
        <v>77</v>
      </c>
      <c r="K35" s="115">
        <v>4.0</v>
      </c>
      <c r="L35" s="84" t="str">
        <f>100*K35*H35</f>
        <v>Loading...</v>
      </c>
      <c r="M35" s="88">
        <f>sum(M36:M39)</f>
        <v>4</v>
      </c>
      <c r="O35" s="88">
        <f>IF(COUNTA(M36:M39)=0, H35, SUMPRODUCT(M36:M39, N36:N39) / SUM(M36:M39))</f>
        <v>47</v>
      </c>
      <c r="P35" s="40">
        <f>IF(LEN(O35), O35*M35*100, "")</f>
        <v>18800</v>
      </c>
      <c r="Q35" s="88">
        <f>(I35-O35)*100*M35</f>
        <v>-324</v>
      </c>
      <c r="R35" s="89">
        <f>IFERROR(Q35/P35, 0)</f>
        <v>-0.01723404255</v>
      </c>
      <c r="S35" s="89">
        <f>(E35 - D35 - O35) / O35</f>
        <v>2.191489362</v>
      </c>
      <c r="U35" s="64"/>
      <c r="V35" s="64"/>
      <c r="W35" s="64"/>
      <c r="X35" s="64"/>
      <c r="Y35" s="64"/>
      <c r="Z35" s="64"/>
      <c r="AA35" s="64"/>
      <c r="AB35" s="64"/>
      <c r="AC35" s="64"/>
      <c r="AD35" s="64"/>
    </row>
    <row r="36" ht="22.5" customHeight="1">
      <c r="D36" s="146"/>
      <c r="E36" s="146"/>
      <c r="F36" s="147"/>
      <c r="G36" s="148"/>
      <c r="K36" s="149"/>
      <c r="L36" s="114">
        <v>46024.0</v>
      </c>
      <c r="M36" s="84">
        <v>2.0</v>
      </c>
      <c r="N36" s="84">
        <v>48.0</v>
      </c>
      <c r="P36" s="40"/>
      <c r="R36" s="89"/>
      <c r="S36" s="89"/>
    </row>
    <row r="37" ht="22.5" customHeight="1">
      <c r="D37" s="146"/>
      <c r="E37" s="146"/>
      <c r="F37" s="147"/>
      <c r="G37" s="148"/>
      <c r="K37" s="149"/>
      <c r="L37" s="114">
        <v>46028.0</v>
      </c>
      <c r="M37" s="84">
        <v>2.0</v>
      </c>
      <c r="N37" s="84">
        <v>46.0</v>
      </c>
      <c r="P37" s="40"/>
      <c r="R37" s="89"/>
      <c r="S37" s="89"/>
    </row>
    <row r="38" ht="22.5" customHeight="1">
      <c r="D38" s="146"/>
      <c r="E38" s="146"/>
      <c r="F38" s="147"/>
      <c r="G38" s="148"/>
      <c r="K38" s="149"/>
      <c r="P38" s="40"/>
      <c r="R38" s="89"/>
      <c r="S38" s="89"/>
    </row>
    <row r="39" ht="22.5" customHeight="1">
      <c r="D39" s="146"/>
      <c r="E39" s="146"/>
      <c r="F39" s="147"/>
      <c r="G39" s="148"/>
      <c r="K39" s="149"/>
      <c r="P39" s="40"/>
      <c r="R39" s="89"/>
      <c r="S39" s="89"/>
    </row>
    <row r="40" ht="22.5" customHeight="1">
      <c r="A40" s="64"/>
      <c r="B40" s="100"/>
      <c r="C40" s="100"/>
      <c r="D40" s="101"/>
      <c r="E40" s="101"/>
      <c r="F40" s="102"/>
      <c r="G40" s="103"/>
      <c r="H40" s="104"/>
      <c r="I40" s="104"/>
      <c r="J40" s="104"/>
      <c r="K40" s="105"/>
      <c r="L40" s="106"/>
      <c r="M40" s="106"/>
      <c r="N40" s="104"/>
      <c r="O40" s="104"/>
      <c r="P40" s="107" t="str">
        <f t="shared" ref="P40:S40" si="13">IF(LEN(O40), O40*M40*100, "")</f>
        <v/>
      </c>
      <c r="Q40" s="107" t="str">
        <f t="shared" si="13"/>
        <v/>
      </c>
      <c r="R40" s="107" t="str">
        <f t="shared" si="13"/>
        <v/>
      </c>
      <c r="S40" s="108" t="str">
        <f t="shared" si="13"/>
        <v/>
      </c>
      <c r="T40" s="64"/>
      <c r="AE40" s="64"/>
      <c r="AF40" s="64"/>
      <c r="AG40" s="64"/>
      <c r="AH40" s="64"/>
      <c r="AI40" s="64"/>
      <c r="AJ40" s="64"/>
      <c r="AK40" s="64"/>
      <c r="AL40" s="64"/>
    </row>
    <row r="41" ht="22.5" customHeight="1">
      <c r="B41" s="80" t="s">
        <v>60</v>
      </c>
      <c r="C41" s="84" t="s">
        <v>20</v>
      </c>
      <c r="D41" s="81">
        <f>IFERROR(__xludf.DUMMYFUNCTION("index(split(index(SPLIT($C41, "" ""),1), ""/"", 1),1)"),400.0)</f>
        <v>400</v>
      </c>
      <c r="E41" s="81">
        <f>IFERROR(__xludf.DUMMYFUNCTION("index(split(index(SPLIT($C41, "" ""),1), ""/"", 1),2)"),550.0)</f>
        <v>550</v>
      </c>
      <c r="F41" s="82">
        <f>D41+O41</f>
        <v>445</v>
      </c>
      <c r="G41" s="150">
        <v>47102.0</v>
      </c>
      <c r="H41" s="84" t="str">
        <f>recommendBullCallSpreadOpenDebit($B41, $G41, $D41, $E41, 60)</f>
        <v>Loading...</v>
      </c>
      <c r="I41" s="84" t="str">
        <f>recommendBullCallSpreadCloseCredit($B41, $G41, $D41, $E41, 60)</f>
        <v>Loading...</v>
      </c>
      <c r="J41" s="96" t="s">
        <v>78</v>
      </c>
      <c r="K41" s="115">
        <v>13.0</v>
      </c>
      <c r="L41" s="84" t="str">
        <f>100*K41*H41</f>
        <v>Loading...</v>
      </c>
      <c r="M41" s="88">
        <f>sum(M42:M45)</f>
        <v>5</v>
      </c>
      <c r="O41" s="88">
        <f>IF(COUNTA(M42:M45)=0, H41, SUMPRODUCT(M42:M45, N42:N45) / SUM(M42:M45))</f>
        <v>45</v>
      </c>
      <c r="P41" s="40">
        <f>IF(LEN(O41), O41*M41*100, "")</f>
        <v>22500</v>
      </c>
      <c r="Q41" s="88" t="str">
        <f>(I41-O41)*100*M41</f>
        <v>Loading...</v>
      </c>
      <c r="R41" s="89">
        <f>IFERROR(Q41/P41, 0)</f>
        <v>0</v>
      </c>
      <c r="S41" s="89">
        <f>(E41 - D41 - O41) / O41</f>
        <v>2.333333333</v>
      </c>
      <c r="U41" s="64"/>
      <c r="V41" s="64"/>
      <c r="W41" s="64"/>
      <c r="X41" s="64"/>
      <c r="Y41" s="64"/>
      <c r="Z41" s="64"/>
      <c r="AA41" s="64"/>
      <c r="AB41" s="64"/>
      <c r="AC41" s="64"/>
      <c r="AD41" s="64"/>
    </row>
    <row r="42" ht="22.5" customHeight="1">
      <c r="D42" s="146"/>
      <c r="E42" s="146"/>
      <c r="F42" s="147"/>
      <c r="G42" s="148"/>
      <c r="K42" s="149"/>
      <c r="L42" s="84"/>
      <c r="M42" s="84">
        <v>5.0</v>
      </c>
      <c r="N42" s="84">
        <v>45.0</v>
      </c>
      <c r="P42" s="40"/>
      <c r="R42" s="89"/>
      <c r="S42" s="89"/>
    </row>
    <row r="43" ht="22.5" customHeight="1">
      <c r="D43" s="146"/>
      <c r="E43" s="146"/>
      <c r="F43" s="147"/>
      <c r="G43" s="148"/>
      <c r="K43" s="149"/>
      <c r="P43" s="40"/>
      <c r="R43" s="89"/>
      <c r="S43" s="89"/>
    </row>
    <row r="44" ht="22.5" customHeight="1">
      <c r="D44" s="146"/>
      <c r="E44" s="146"/>
      <c r="F44" s="147"/>
      <c r="G44" s="148"/>
      <c r="K44" s="149"/>
      <c r="P44" s="40"/>
      <c r="R44" s="89"/>
      <c r="S44" s="89"/>
    </row>
    <row r="45" ht="22.5" customHeight="1">
      <c r="D45" s="146"/>
      <c r="E45" s="146"/>
      <c r="F45" s="147"/>
      <c r="G45" s="148"/>
      <c r="K45" s="149"/>
      <c r="P45" s="40"/>
      <c r="R45" s="89"/>
      <c r="S45" s="89"/>
    </row>
    <row r="46" ht="22.5" customHeight="1">
      <c r="B46" s="100"/>
      <c r="C46" s="100"/>
      <c r="D46" s="101"/>
      <c r="E46" s="101"/>
      <c r="F46" s="102"/>
      <c r="G46" s="103"/>
      <c r="H46" s="104"/>
      <c r="I46" s="104"/>
      <c r="J46" s="104"/>
      <c r="K46" s="105"/>
      <c r="L46" s="106"/>
      <c r="M46" s="106"/>
      <c r="N46" s="104"/>
      <c r="O46" s="104"/>
      <c r="P46" s="107" t="str">
        <f t="shared" ref="P46:S46" si="14">IF(LEN(O46), O46*M46*100, "")</f>
        <v/>
      </c>
      <c r="Q46" s="107" t="str">
        <f t="shared" si="14"/>
        <v/>
      </c>
      <c r="R46" s="107" t="str">
        <f t="shared" si="14"/>
        <v/>
      </c>
      <c r="S46" s="108" t="str">
        <f t="shared" si="14"/>
        <v/>
      </c>
    </row>
    <row r="47" ht="22.5" customHeight="1">
      <c r="B47" s="80" t="s">
        <v>60</v>
      </c>
      <c r="C47" s="84" t="s">
        <v>22</v>
      </c>
      <c r="D47" s="81">
        <f>IFERROR(__xludf.DUMMYFUNCTION("index(split(index(SPLIT($C47, "" ""),1), ""/"", 1),1)"),400.0)</f>
        <v>400</v>
      </c>
      <c r="E47" s="81">
        <f>IFERROR(__xludf.DUMMYFUNCTION("index(split(index(SPLIT($C47, "" ""),1), ""/"", 1),2)"),600.0)</f>
        <v>600</v>
      </c>
      <c r="F47" s="82" t="str">
        <f>D47+O47</f>
        <v>Loading...</v>
      </c>
      <c r="G47" s="90">
        <v>46920.0</v>
      </c>
      <c r="H47" s="84" t="str">
        <f>recommendBullCallSpreadOpenDebit($B47, $G47, $D47, $E47, 60)</f>
        <v>Loading...</v>
      </c>
      <c r="I47" s="84" t="str">
        <f>recommendBullCallSpreadCloseCredit($B47, $G47, $D47, $E47, 60)</f>
        <v>Loading...</v>
      </c>
      <c r="J47" s="84" t="str">
        <f>buildOptionStratUrl(C47,"TSLA","bull-call-spread", G47)
</f>
        <v>Loading...</v>
      </c>
      <c r="K47" s="115">
        <v>2.0</v>
      </c>
      <c r="L47" s="84" t="str">
        <f>100*K47*H47</f>
        <v>Loading...</v>
      </c>
      <c r="M47" s="88">
        <f>sum(M48:M51)</f>
        <v>0</v>
      </c>
      <c r="O47" s="88" t="str">
        <f>IF(COUNTA(M48:M51)=0, H47, SUMPRODUCT(M48:M51, N48:N51) / SUM(M48:M51))</f>
        <v>Loading...</v>
      </c>
      <c r="P47" s="40" t="str">
        <f>IF(LEN(O47), O47*M47*100, "")</f>
        <v>Loading...</v>
      </c>
      <c r="Q47" s="88" t="str">
        <f>(I47-O47)*100*M47</f>
        <v>Loading...</v>
      </c>
      <c r="R47" s="89">
        <f>IFERROR(Q47/P47, 0)</f>
        <v>0</v>
      </c>
      <c r="S47" s="89" t="str">
        <f>(E47 - D47 - O47) / O47</f>
        <v>Loading...</v>
      </c>
    </row>
    <row r="48" ht="22.5" customHeight="1">
      <c r="D48" s="146"/>
      <c r="E48" s="146"/>
      <c r="F48" s="147"/>
      <c r="G48" s="148"/>
      <c r="K48" s="149"/>
      <c r="N48" s="84"/>
      <c r="P48" s="40"/>
      <c r="R48" s="89"/>
      <c r="S48" s="89"/>
    </row>
    <row r="49" ht="22.5" customHeight="1">
      <c r="D49" s="146"/>
      <c r="E49" s="146"/>
      <c r="F49" s="147"/>
      <c r="G49" s="148"/>
      <c r="K49" s="149"/>
      <c r="P49" s="40"/>
      <c r="R49" s="89"/>
      <c r="S49" s="89"/>
    </row>
    <row r="50" ht="22.5" customHeight="1">
      <c r="D50" s="146"/>
      <c r="E50" s="146"/>
      <c r="F50" s="147"/>
      <c r="G50" s="148"/>
      <c r="K50" s="149"/>
      <c r="P50" s="40"/>
      <c r="R50" s="89"/>
      <c r="S50" s="89"/>
    </row>
    <row r="51" ht="22.5" customHeight="1">
      <c r="D51" s="146"/>
      <c r="E51" s="146"/>
      <c r="F51" s="147"/>
      <c r="G51" s="148"/>
      <c r="K51" s="149"/>
      <c r="P51" s="40"/>
      <c r="R51" s="89"/>
      <c r="S51" s="89"/>
    </row>
    <row r="52" ht="22.5" customHeight="1">
      <c r="B52" s="100"/>
      <c r="C52" s="100"/>
      <c r="D52" s="101"/>
      <c r="E52" s="101"/>
      <c r="F52" s="102"/>
      <c r="G52" s="103"/>
      <c r="H52" s="104"/>
      <c r="I52" s="104"/>
      <c r="J52" s="104"/>
      <c r="K52" s="105"/>
      <c r="L52" s="106"/>
      <c r="M52" s="106"/>
      <c r="N52" s="104"/>
      <c r="O52" s="104"/>
      <c r="P52" s="107" t="str">
        <f t="shared" ref="P52:S52" si="15">IF(LEN(O52), O52*M52*100, "")</f>
        <v/>
      </c>
      <c r="Q52" s="107" t="str">
        <f t="shared" si="15"/>
        <v/>
      </c>
      <c r="R52" s="107" t="str">
        <f t="shared" si="15"/>
        <v/>
      </c>
      <c r="S52" s="108" t="str">
        <f t="shared" si="15"/>
        <v/>
      </c>
    </row>
    <row r="53" ht="22.5" customHeight="1">
      <c r="B53" s="80" t="s">
        <v>60</v>
      </c>
      <c r="C53" s="84" t="s">
        <v>25</v>
      </c>
      <c r="D53" s="81">
        <f>IFERROR(__xludf.DUMMYFUNCTION("index(split(index(SPLIT($C53, "" ""),1), ""/"", 1),1)"),460.0)</f>
        <v>460</v>
      </c>
      <c r="E53" s="81">
        <f>IFERROR(__xludf.DUMMYFUNCTION("index(split(index(SPLIT($C53, "" ""),1), ""/"", 1),2)"),480.0)</f>
        <v>480</v>
      </c>
      <c r="F53" s="82" t="str">
        <f>D53+O53</f>
        <v>Loading...</v>
      </c>
      <c r="G53" s="83">
        <v>47102.0</v>
      </c>
      <c r="H53" s="84" t="str">
        <f>recommendBullCallSpreadOpenDebit($B53, $G53, $D53, $E53, 60)</f>
        <v>Loading...</v>
      </c>
      <c r="I53" s="84" t="str">
        <f>recommendBullCallSpreadCloseCredit($B53, $G53, $D53, $E53, 60)</f>
        <v>Loading...</v>
      </c>
      <c r="J53" s="85" t="str">
        <f>buildOptionStratUrl(C53,"TSLA","bull-call-spread", G53)
</f>
        <v>https://optionstrat.com/build/bull-call-spread/TSLA/.TSLA281215C460,-.TSLA281215C480</v>
      </c>
      <c r="K53" s="115">
        <v>60.0</v>
      </c>
      <c r="L53" s="84" t="str">
        <f>100*K53*H53</f>
        <v>Loading...</v>
      </c>
      <c r="M53" s="88">
        <f>sum(M54:M57)</f>
        <v>0</v>
      </c>
      <c r="O53" s="88" t="str">
        <f>IF(COUNTA(M54:M57)=0, H53, SUMPRODUCT(M54:M57, N54:N57) / SUM(M54:M57))</f>
        <v>Loading...</v>
      </c>
      <c r="P53" s="40" t="str">
        <f>IF(LEN(O53), O53*M53*100, "")</f>
        <v>Loading...</v>
      </c>
      <c r="Q53" s="88" t="str">
        <f>(I53-O53)*100*M53</f>
        <v>Loading...</v>
      </c>
      <c r="R53" s="89">
        <f>IFERROR(Q53/P53, 0)</f>
        <v>0</v>
      </c>
      <c r="S53" s="89" t="str">
        <f>(E53 - D53 - O53) / O53</f>
        <v>Loading...</v>
      </c>
    </row>
    <row r="54" ht="22.5" customHeight="1">
      <c r="D54" s="146"/>
      <c r="E54" s="146"/>
      <c r="F54" s="147"/>
      <c r="G54" s="148"/>
      <c r="K54" s="149"/>
      <c r="P54" s="40"/>
      <c r="R54" s="89"/>
      <c r="S54" s="89"/>
    </row>
    <row r="55" ht="22.5" customHeight="1">
      <c r="D55" s="146"/>
      <c r="E55" s="146"/>
      <c r="F55" s="147"/>
      <c r="G55" s="148"/>
      <c r="K55" s="149"/>
      <c r="P55" s="40"/>
      <c r="R55" s="89"/>
      <c r="S55" s="89"/>
    </row>
    <row r="56" ht="22.5" customHeight="1">
      <c r="D56" s="146"/>
      <c r="E56" s="146"/>
      <c r="F56" s="147"/>
      <c r="G56" s="148"/>
      <c r="K56" s="149"/>
      <c r="P56" s="40"/>
      <c r="R56" s="89"/>
      <c r="S56" s="89"/>
    </row>
    <row r="57" ht="22.5" customHeight="1">
      <c r="D57" s="146"/>
      <c r="E57" s="146"/>
      <c r="F57" s="147"/>
      <c r="G57" s="148"/>
      <c r="K57" s="149"/>
      <c r="P57" s="40"/>
      <c r="R57" s="89"/>
      <c r="S57" s="89"/>
    </row>
    <row r="58" ht="22.5" customHeight="1">
      <c r="B58" s="100"/>
      <c r="C58" s="100"/>
      <c r="D58" s="101"/>
      <c r="E58" s="101"/>
      <c r="F58" s="102"/>
      <c r="G58" s="103"/>
      <c r="H58" s="104"/>
      <c r="I58" s="104"/>
      <c r="J58" s="104"/>
      <c r="K58" s="105"/>
      <c r="L58" s="106"/>
      <c r="M58" s="106"/>
      <c r="N58" s="104"/>
      <c r="O58" s="104"/>
      <c r="P58" s="107" t="str">
        <f t="shared" ref="P58:S58" si="16">IF(LEN(O58), O58*M58*100, "")</f>
        <v/>
      </c>
      <c r="Q58" s="107" t="str">
        <f t="shared" si="16"/>
        <v/>
      </c>
      <c r="R58" s="107" t="str">
        <f t="shared" si="16"/>
        <v/>
      </c>
      <c r="S58" s="108" t="str">
        <f t="shared" si="16"/>
        <v/>
      </c>
    </row>
    <row r="59" ht="22.5" customHeight="1">
      <c r="B59" s="80" t="s">
        <v>60</v>
      </c>
      <c r="C59" s="151" t="s">
        <v>28</v>
      </c>
      <c r="D59" s="81">
        <f>IFERROR(__xludf.DUMMYFUNCTION("index(split(index(SPLIT($C59, "" ""),1), ""/"", 1),1)"),500.0)</f>
        <v>500</v>
      </c>
      <c r="E59" s="81">
        <f>IFERROR(__xludf.DUMMYFUNCTION("index(split(index(SPLIT($C59, "" ""),1), ""/"", 1),2)"),700.0)</f>
        <v>700</v>
      </c>
      <c r="F59" s="82">
        <f>D59+O59</f>
        <v>545.5</v>
      </c>
      <c r="G59" s="90">
        <v>46920.0</v>
      </c>
      <c r="H59" s="84" t="str">
        <f>recommendBullCallSpreadOpenDebit($B59, $G59, $D59, $E59, 60)</f>
        <v>Loading...</v>
      </c>
      <c r="I59" s="84" t="str">
        <f>recommendBullCallSpreadCloseCredit($B59, $G59, $D59, $E59, 60)</f>
        <v>Loading...</v>
      </c>
      <c r="J59" s="85" t="s">
        <v>79</v>
      </c>
      <c r="K59" s="152">
        <v>2.0</v>
      </c>
      <c r="L59" s="84" t="str">
        <f>100*K59*H59</f>
        <v>Loading...</v>
      </c>
      <c r="M59" s="153">
        <f>sum(M60:M63)</f>
        <v>2</v>
      </c>
      <c r="N59" s="129"/>
      <c r="O59" s="88">
        <f>IF(COUNTA(M60:M63)=0, H59, SUMPRODUCT(M60:M63, N60:N63) / SUM(M60:M63))</f>
        <v>45.5</v>
      </c>
      <c r="P59" s="40">
        <f>IF(LEN(O59), O59*M59*100, "")</f>
        <v>9100</v>
      </c>
      <c r="Q59" s="88" t="str">
        <f>(I59-O59)*100*M59</f>
        <v>Loading...</v>
      </c>
      <c r="R59" s="89">
        <f>IFERROR(Q59/P59, 0)</f>
        <v>0</v>
      </c>
      <c r="S59" s="89">
        <f>(E59 - D59 - O59) / O59</f>
        <v>3.395604396</v>
      </c>
    </row>
    <row r="60" ht="22.5" customHeight="1">
      <c r="B60" s="123"/>
      <c r="C60" s="123"/>
      <c r="D60" s="138"/>
      <c r="E60" s="138"/>
      <c r="F60" s="139"/>
      <c r="G60" s="140"/>
      <c r="H60" s="123"/>
      <c r="I60" s="123"/>
      <c r="J60" s="123"/>
      <c r="K60" s="141"/>
      <c r="L60" s="154">
        <v>46024.0</v>
      </c>
      <c r="M60" s="155">
        <v>2.0</v>
      </c>
      <c r="N60" s="156">
        <v>45.5</v>
      </c>
      <c r="O60" s="123"/>
      <c r="P60" s="40"/>
      <c r="R60" s="89"/>
      <c r="S60" s="89"/>
    </row>
    <row r="61" ht="22.5" customHeight="1">
      <c r="B61" s="129"/>
      <c r="C61" s="129"/>
      <c r="D61" s="126"/>
      <c r="E61" s="126"/>
      <c r="F61" s="127"/>
      <c r="G61" s="128"/>
      <c r="H61" s="129"/>
      <c r="I61" s="129"/>
      <c r="J61" s="129"/>
      <c r="K61" s="143"/>
      <c r="L61" s="129"/>
      <c r="M61" s="129"/>
      <c r="N61" s="129"/>
      <c r="O61" s="129"/>
      <c r="P61" s="40"/>
      <c r="R61" s="89"/>
      <c r="S61" s="89"/>
    </row>
    <row r="62" ht="22.5" customHeight="1">
      <c r="B62" s="123"/>
      <c r="C62" s="123"/>
      <c r="D62" s="138"/>
      <c r="E62" s="138"/>
      <c r="F62" s="139"/>
      <c r="G62" s="140"/>
      <c r="H62" s="123"/>
      <c r="I62" s="123"/>
      <c r="J62" s="123"/>
      <c r="K62" s="141"/>
      <c r="L62" s="123"/>
      <c r="M62" s="123"/>
      <c r="N62" s="123"/>
      <c r="O62" s="123"/>
      <c r="P62" s="40"/>
      <c r="R62" s="89"/>
      <c r="S62" s="89"/>
    </row>
    <row r="63" ht="22.5" customHeight="1">
      <c r="B63" s="129"/>
      <c r="C63" s="129"/>
      <c r="D63" s="126"/>
      <c r="E63" s="126"/>
      <c r="F63" s="127"/>
      <c r="G63" s="128"/>
      <c r="H63" s="129"/>
      <c r="I63" s="129"/>
      <c r="J63" s="129"/>
      <c r="K63" s="143"/>
      <c r="L63" s="129"/>
      <c r="M63" s="129"/>
      <c r="N63" s="129"/>
      <c r="O63" s="129"/>
      <c r="P63" s="40"/>
      <c r="R63" s="89"/>
      <c r="S63" s="89"/>
    </row>
    <row r="64" ht="22.5" customHeight="1">
      <c r="B64" s="100"/>
      <c r="C64" s="100"/>
      <c r="D64" s="101"/>
      <c r="E64" s="101"/>
      <c r="F64" s="102"/>
      <c r="G64" s="103"/>
      <c r="H64" s="104"/>
      <c r="I64" s="104"/>
      <c r="J64" s="104"/>
      <c r="K64" s="105"/>
      <c r="L64" s="106"/>
      <c r="M64" s="106"/>
      <c r="N64" s="104"/>
      <c r="O64" s="104"/>
      <c r="P64" s="107" t="str">
        <f t="shared" ref="P64:S64" si="17">IF(LEN(O64), O64*M64*100, "")</f>
        <v/>
      </c>
      <c r="Q64" s="107" t="str">
        <f t="shared" si="17"/>
        <v/>
      </c>
      <c r="R64" s="107" t="str">
        <f t="shared" si="17"/>
        <v/>
      </c>
      <c r="S64" s="108" t="str">
        <f t="shared" si="17"/>
        <v/>
      </c>
    </row>
    <row r="65" ht="22.5" customHeight="1">
      <c r="B65" s="80" t="s">
        <v>60</v>
      </c>
      <c r="C65" s="151" t="s">
        <v>28</v>
      </c>
      <c r="D65" s="81">
        <f>IFERROR(__xludf.DUMMYFUNCTION("index(split(index(SPLIT($C65, "" ""),1), ""/"", 1),1)"),500.0)</f>
        <v>500</v>
      </c>
      <c r="E65" s="81">
        <f>IFERROR(__xludf.DUMMYFUNCTION("index(split(index(SPLIT($C65, "" ""),1), ""/"", 1),2)"),700.0)</f>
        <v>700</v>
      </c>
      <c r="F65" s="82">
        <f>D65+O65</f>
        <v>544</v>
      </c>
      <c r="G65" s="83">
        <v>47102.0</v>
      </c>
      <c r="H65" s="84">
        <f>recommendBullCallSpreadOpenDebit($B65, $G65, $D65, $E65, 60)</f>
        <v>45.15</v>
      </c>
      <c r="I65" s="84" t="str">
        <f>recommendBullCallSpreadCloseCredit($B65, $G65, $D65, $E65, 60)</f>
        <v>Loading...</v>
      </c>
      <c r="J65" s="96" t="s">
        <v>80</v>
      </c>
      <c r="K65" s="152">
        <v>2.0</v>
      </c>
      <c r="L65" s="84">
        <f>100*K65*H65</f>
        <v>9030</v>
      </c>
      <c r="M65" s="153">
        <f>sum(M66:M69)</f>
        <v>2</v>
      </c>
      <c r="N65" s="129"/>
      <c r="O65" s="88">
        <f>IF(COUNTA(M66:M69)=0, H65, SUMPRODUCT(M66:M69, N66:N69) / SUM(M66:M69))</f>
        <v>44</v>
      </c>
      <c r="P65" s="40">
        <f>IF(LEN(O65), O65*M65*100, "")</f>
        <v>8800</v>
      </c>
      <c r="Q65" s="88" t="str">
        <f>(I65-O65)*100*M65</f>
        <v>Loading...</v>
      </c>
      <c r="R65" s="89">
        <f>IFERROR(Q65/P65, 0)</f>
        <v>0</v>
      </c>
      <c r="S65" s="89">
        <f>(E65 - D65 - O65) / O65</f>
        <v>3.545454545</v>
      </c>
    </row>
    <row r="66" ht="22.5" customHeight="1">
      <c r="B66" s="123"/>
      <c r="C66" s="123"/>
      <c r="D66" s="138"/>
      <c r="E66" s="138"/>
      <c r="F66" s="139"/>
      <c r="G66" s="140"/>
      <c r="H66" s="123"/>
      <c r="I66" s="123"/>
      <c r="J66" s="123"/>
      <c r="K66" s="141"/>
      <c r="L66" s="155"/>
      <c r="M66" s="155">
        <v>2.0</v>
      </c>
      <c r="N66" s="156">
        <v>44.0</v>
      </c>
      <c r="O66" s="123"/>
      <c r="P66" s="40"/>
      <c r="R66" s="89"/>
      <c r="S66" s="89"/>
    </row>
    <row r="67" ht="22.5" customHeight="1">
      <c r="B67" s="129"/>
      <c r="C67" s="129"/>
      <c r="D67" s="126"/>
      <c r="E67" s="126"/>
      <c r="F67" s="127"/>
      <c r="G67" s="128"/>
      <c r="H67" s="129"/>
      <c r="I67" s="129"/>
      <c r="J67" s="129"/>
      <c r="K67" s="143"/>
      <c r="L67" s="129"/>
      <c r="M67" s="129"/>
      <c r="N67" s="129"/>
      <c r="O67" s="129"/>
      <c r="P67" s="40"/>
      <c r="R67" s="89"/>
      <c r="S67" s="89"/>
    </row>
    <row r="68" ht="22.5" customHeight="1">
      <c r="B68" s="123"/>
      <c r="C68" s="123"/>
      <c r="D68" s="138"/>
      <c r="E68" s="138"/>
      <c r="F68" s="139"/>
      <c r="G68" s="140"/>
      <c r="H68" s="123"/>
      <c r="I68" s="123"/>
      <c r="J68" s="123"/>
      <c r="K68" s="141"/>
      <c r="L68" s="123"/>
      <c r="M68" s="123"/>
      <c r="N68" s="123"/>
      <c r="O68" s="123"/>
      <c r="P68" s="40"/>
      <c r="R68" s="89"/>
      <c r="S68" s="89"/>
    </row>
    <row r="69" ht="22.5" customHeight="1">
      <c r="B69" s="129"/>
      <c r="C69" s="129"/>
      <c r="D69" s="126"/>
      <c r="E69" s="126"/>
      <c r="F69" s="127"/>
      <c r="G69" s="128"/>
      <c r="H69" s="129"/>
      <c r="I69" s="129"/>
      <c r="J69" s="129"/>
      <c r="K69" s="143"/>
      <c r="L69" s="129"/>
      <c r="M69" s="129"/>
      <c r="N69" s="129"/>
      <c r="O69" s="129"/>
      <c r="P69" s="40"/>
      <c r="R69" s="89"/>
      <c r="S69" s="89"/>
    </row>
    <row r="70" ht="22.5" customHeight="1">
      <c r="B70" s="100"/>
      <c r="C70" s="100"/>
      <c r="D70" s="101"/>
      <c r="E70" s="101"/>
      <c r="F70" s="102"/>
      <c r="G70" s="103"/>
      <c r="H70" s="104"/>
      <c r="I70" s="104"/>
      <c r="J70" s="104"/>
      <c r="K70" s="105"/>
      <c r="L70" s="106"/>
      <c r="M70" s="106"/>
      <c r="N70" s="104"/>
      <c r="O70" s="104"/>
      <c r="P70" s="107" t="str">
        <f t="shared" ref="P70:S70" si="18">IF(LEN(O70), O70*M70*100, "")</f>
        <v/>
      </c>
      <c r="Q70" s="107" t="str">
        <f t="shared" si="18"/>
        <v/>
      </c>
      <c r="R70" s="107" t="str">
        <f t="shared" si="18"/>
        <v/>
      </c>
      <c r="S70" s="108" t="str">
        <f t="shared" si="18"/>
        <v/>
      </c>
    </row>
    <row r="71" ht="22.5" customHeight="1">
      <c r="B71" s="80" t="s">
        <v>60</v>
      </c>
      <c r="C71" s="151" t="s">
        <v>30</v>
      </c>
      <c r="D71" s="81">
        <f>IFERROR(__xludf.DUMMYFUNCTION("index(split(index(SPLIT($C71, "" ""),1), ""/"", 1),1)"),650.0)</f>
        <v>650</v>
      </c>
      <c r="E71" s="81">
        <f>IFERROR(__xludf.DUMMYFUNCTION("index(split(index(SPLIT($C71, "" ""),1), ""/"", 1),2)"),700.0)</f>
        <v>700</v>
      </c>
      <c r="F71" s="82" t="str">
        <f>D71+O71</f>
        <v>Loading...</v>
      </c>
      <c r="G71" s="90">
        <v>46920.0</v>
      </c>
      <c r="H71" s="84" t="str">
        <f>recommendBullCallSpreadOpenDebit($B71, $G71, $D71, $E71, 60)</f>
        <v>Loading...</v>
      </c>
      <c r="I71" s="84" t="str">
        <f>recommendBullCallSpreadCloseCredit($B71, $G71, $D71, $E71, 60)</f>
        <v>Loading...</v>
      </c>
      <c r="J71" s="85" t="str">
        <f>buildOptionStratUrl(C71,"TSLA","bull-call-spread", G71)
</f>
        <v>https://optionstrat.com/build/bull-call-spread/TSLA/.TSLA280616C650,-.TSLA280616C700</v>
      </c>
      <c r="K71" s="152">
        <v>1.0</v>
      </c>
      <c r="L71" s="84" t="str">
        <f>100*K71*H71</f>
        <v>Loading...</v>
      </c>
      <c r="M71" s="88">
        <f>sum(M72:M75)</f>
        <v>0</v>
      </c>
      <c r="N71" s="129"/>
      <c r="O71" s="88" t="str">
        <f>IF(COUNTA(M72:M75)=0, H71, SUMPRODUCT(M72:M75, N72:N75) / SUM(M72:M75))</f>
        <v>Loading...</v>
      </c>
      <c r="P71" s="40" t="str">
        <f>IF(LEN(O71), O71*M71*100, "")</f>
        <v>Loading...</v>
      </c>
      <c r="Q71" s="88" t="str">
        <f>(I71-O71)*100*M71</f>
        <v>Loading...</v>
      </c>
      <c r="R71" s="89">
        <f>IFERROR(Q71/P71, 0)</f>
        <v>0</v>
      </c>
      <c r="S71" s="89" t="str">
        <f>(E71 - D71 - O71) / O71</f>
        <v>Loading...</v>
      </c>
    </row>
    <row r="72" ht="22.5" customHeight="1">
      <c r="B72" s="123"/>
      <c r="C72" s="123"/>
      <c r="D72" s="138"/>
      <c r="E72" s="138"/>
      <c r="F72" s="139"/>
      <c r="G72" s="140"/>
      <c r="H72" s="123"/>
      <c r="I72" s="123"/>
      <c r="J72" s="123"/>
      <c r="K72" s="141"/>
      <c r="L72" s="155"/>
      <c r="M72" s="155"/>
      <c r="N72" s="156"/>
      <c r="O72" s="123"/>
      <c r="P72" s="40"/>
      <c r="R72" s="89"/>
      <c r="S72" s="89"/>
    </row>
    <row r="73" ht="22.5" customHeight="1">
      <c r="B73" s="129"/>
      <c r="C73" s="129"/>
      <c r="D73" s="126"/>
      <c r="E73" s="126"/>
      <c r="F73" s="127"/>
      <c r="G73" s="128"/>
      <c r="H73" s="129"/>
      <c r="I73" s="129"/>
      <c r="J73" s="129"/>
      <c r="K73" s="143"/>
      <c r="L73" s="129"/>
      <c r="M73" s="129"/>
      <c r="N73" s="129"/>
      <c r="O73" s="129"/>
      <c r="P73" s="40"/>
      <c r="R73" s="89"/>
      <c r="S73" s="89"/>
    </row>
    <row r="74" ht="22.5" customHeight="1">
      <c r="B74" s="123"/>
      <c r="C74" s="123"/>
      <c r="D74" s="138"/>
      <c r="E74" s="138"/>
      <c r="F74" s="139"/>
      <c r="G74" s="140"/>
      <c r="H74" s="123"/>
      <c r="I74" s="123"/>
      <c r="J74" s="123"/>
      <c r="K74" s="141"/>
      <c r="L74" s="123"/>
      <c r="M74" s="123"/>
      <c r="N74" s="123"/>
      <c r="O74" s="123"/>
      <c r="P74" s="40"/>
      <c r="R74" s="89"/>
      <c r="S74" s="89"/>
    </row>
    <row r="75" ht="22.5" customHeight="1">
      <c r="B75" s="129"/>
      <c r="C75" s="129"/>
      <c r="D75" s="126"/>
      <c r="E75" s="126"/>
      <c r="F75" s="127"/>
      <c r="G75" s="128"/>
      <c r="H75" s="129"/>
      <c r="I75" s="129"/>
      <c r="J75" s="129"/>
      <c r="K75" s="143"/>
      <c r="L75" s="129"/>
      <c r="M75" s="129"/>
      <c r="N75" s="129"/>
      <c r="O75" s="129"/>
      <c r="P75" s="40"/>
      <c r="R75" s="89"/>
      <c r="S75" s="89"/>
    </row>
    <row r="76" ht="22.5" customHeight="1">
      <c r="B76" s="157"/>
      <c r="C76" s="157"/>
      <c r="D76" s="158"/>
      <c r="E76" s="158"/>
      <c r="F76" s="159"/>
      <c r="G76" s="160"/>
      <c r="H76" s="157"/>
      <c r="I76" s="157"/>
      <c r="J76" s="157"/>
      <c r="K76" s="161"/>
      <c r="L76" s="157"/>
      <c r="M76" s="157"/>
      <c r="N76" s="157"/>
      <c r="O76" s="157"/>
      <c r="P76" s="40"/>
      <c r="R76" s="89"/>
      <c r="S76" s="89"/>
    </row>
    <row r="77" ht="22.5" customHeight="1">
      <c r="D77" s="146"/>
      <c r="E77" s="146"/>
      <c r="F77" s="147"/>
      <c r="G77" s="148"/>
      <c r="K77" s="149"/>
      <c r="P77" s="40"/>
      <c r="R77" s="89"/>
      <c r="S77" s="89"/>
    </row>
    <row r="78" ht="22.5" customHeight="1">
      <c r="D78" s="146"/>
      <c r="E78" s="146"/>
      <c r="F78" s="147"/>
      <c r="G78" s="148"/>
      <c r="K78" s="149"/>
      <c r="P78" s="40"/>
      <c r="R78" s="89"/>
      <c r="S78" s="89"/>
    </row>
    <row r="79" ht="22.5" customHeight="1">
      <c r="B79" s="162"/>
      <c r="C79" s="162"/>
      <c r="D79" s="163"/>
      <c r="E79" s="163"/>
      <c r="F79" s="164"/>
      <c r="G79" s="165"/>
      <c r="H79" s="162"/>
      <c r="I79" s="162"/>
      <c r="J79" s="162"/>
      <c r="K79" s="166"/>
      <c r="L79" s="162" t="str">
        <f>sum(BullCallSpreads[Target Invst])</f>
        <v>Loading...</v>
      </c>
      <c r="M79" s="162"/>
      <c r="N79" s="162"/>
      <c r="O79" s="162"/>
      <c r="P79" s="167" t="str">
        <f>sum(BullCallSpreads[Investment])</f>
        <v>Loading...</v>
      </c>
      <c r="Q79" s="167" t="str">
        <f>sum(BullCallSpreads[Gain])</f>
        <v>Loading...</v>
      </c>
      <c r="R79" s="168">
        <f>IFERROR(Q79/P79, 0)</f>
        <v>0</v>
      </c>
      <c r="S79" s="169"/>
    </row>
    <row r="80">
      <c r="D80" s="69"/>
      <c r="E80" s="69"/>
      <c r="F80" s="70"/>
      <c r="G80" s="69"/>
      <c r="K80" s="71"/>
    </row>
    <row r="81">
      <c r="D81" s="69"/>
      <c r="E81" s="69"/>
      <c r="F81" s="70"/>
      <c r="G81" s="69"/>
      <c r="K81" s="71"/>
    </row>
    <row r="82">
      <c r="D82" s="69"/>
      <c r="E82" s="69"/>
      <c r="F82" s="70"/>
      <c r="G82" s="69"/>
      <c r="K82" s="71"/>
    </row>
    <row r="83">
      <c r="D83" s="69"/>
      <c r="E83" s="69"/>
      <c r="F83" s="70"/>
      <c r="G83" s="69"/>
      <c r="K83" s="71"/>
    </row>
    <row r="84">
      <c r="D84" s="69"/>
      <c r="E84" s="69"/>
      <c r="F84" s="70"/>
      <c r="G84" s="69"/>
      <c r="K84" s="71"/>
    </row>
    <row r="85">
      <c r="D85" s="69"/>
      <c r="E85" s="69"/>
      <c r="F85" s="70"/>
      <c r="G85" s="69"/>
      <c r="K85" s="71"/>
    </row>
    <row r="86">
      <c r="D86" s="69"/>
      <c r="E86" s="69"/>
      <c r="F86" s="70"/>
      <c r="G86" s="69"/>
      <c r="K86" s="71"/>
    </row>
    <row r="87">
      <c r="D87" s="69"/>
      <c r="E87" s="69"/>
      <c r="F87" s="70"/>
      <c r="G87" s="69"/>
      <c r="K87" s="71"/>
    </row>
    <row r="88">
      <c r="D88" s="69"/>
      <c r="E88" s="69"/>
      <c r="F88" s="70"/>
      <c r="G88" s="69"/>
      <c r="K88" s="71"/>
    </row>
    <row r="89">
      <c r="D89" s="69"/>
      <c r="E89" s="69"/>
      <c r="F89" s="70"/>
      <c r="G89" s="69"/>
      <c r="K89" s="71"/>
    </row>
    <row r="90">
      <c r="D90" s="69"/>
      <c r="E90" s="69"/>
      <c r="F90" s="70"/>
      <c r="G90" s="69"/>
      <c r="K90" s="71"/>
    </row>
    <row r="91">
      <c r="D91" s="69"/>
      <c r="E91" s="69"/>
      <c r="F91" s="70"/>
      <c r="G91" s="69"/>
      <c r="K91" s="71"/>
    </row>
    <row r="92">
      <c r="D92" s="69"/>
      <c r="E92" s="69"/>
      <c r="F92" s="70"/>
      <c r="G92" s="69"/>
      <c r="K92" s="71"/>
    </row>
    <row r="93">
      <c r="D93" s="69"/>
      <c r="E93" s="69"/>
      <c r="F93" s="70"/>
      <c r="G93" s="69"/>
      <c r="K93" s="71"/>
    </row>
    <row r="94">
      <c r="D94" s="69"/>
      <c r="E94" s="69"/>
      <c r="F94" s="70"/>
      <c r="G94" s="69"/>
      <c r="K94" s="71"/>
    </row>
    <row r="95">
      <c r="D95" s="69"/>
      <c r="E95" s="69"/>
      <c r="F95" s="70"/>
      <c r="G95" s="69"/>
      <c r="K95" s="71"/>
    </row>
    <row r="96">
      <c r="D96" s="69"/>
      <c r="E96" s="69"/>
      <c r="F96" s="70"/>
      <c r="G96" s="69"/>
      <c r="K96" s="71"/>
    </row>
    <row r="97">
      <c r="D97" s="69"/>
      <c r="E97" s="69"/>
      <c r="F97" s="70"/>
      <c r="G97" s="69"/>
      <c r="K97" s="71"/>
    </row>
    <row r="98">
      <c r="D98" s="69"/>
      <c r="E98" s="69"/>
      <c r="F98" s="70"/>
      <c r="G98" s="69"/>
      <c r="K98" s="71"/>
    </row>
    <row r="99">
      <c r="D99" s="69"/>
      <c r="E99" s="69"/>
      <c r="F99" s="70"/>
      <c r="G99" s="69"/>
      <c r="K99" s="71"/>
    </row>
    <row r="100">
      <c r="D100" s="69"/>
      <c r="E100" s="69"/>
      <c r="F100" s="70"/>
      <c r="G100" s="69"/>
      <c r="K100" s="71"/>
    </row>
    <row r="101">
      <c r="D101" s="69"/>
      <c r="E101" s="69"/>
      <c r="F101" s="70"/>
      <c r="G101" s="69"/>
      <c r="K101" s="71"/>
    </row>
    <row r="102">
      <c r="D102" s="69"/>
      <c r="E102" s="69"/>
      <c r="F102" s="70"/>
      <c r="G102" s="69"/>
      <c r="K102" s="71"/>
    </row>
    <row r="103">
      <c r="D103" s="69"/>
      <c r="E103" s="69"/>
      <c r="F103" s="70"/>
      <c r="G103" s="69"/>
      <c r="K103" s="71"/>
    </row>
    <row r="104">
      <c r="D104" s="69"/>
      <c r="E104" s="69"/>
      <c r="F104" s="70"/>
      <c r="G104" s="69"/>
      <c r="K104" s="71"/>
    </row>
    <row r="105">
      <c r="D105" s="69"/>
      <c r="E105" s="69"/>
      <c r="F105" s="70"/>
      <c r="G105" s="69"/>
      <c r="K105" s="71"/>
    </row>
    <row r="106">
      <c r="D106" s="69"/>
      <c r="E106" s="69"/>
      <c r="F106" s="70"/>
      <c r="G106" s="69"/>
      <c r="K106" s="71"/>
    </row>
    <row r="107">
      <c r="D107" s="69"/>
      <c r="E107" s="69"/>
      <c r="F107" s="70"/>
      <c r="G107" s="69"/>
      <c r="K107" s="71"/>
    </row>
    <row r="108">
      <c r="D108" s="69"/>
      <c r="E108" s="69"/>
      <c r="F108" s="70"/>
      <c r="G108" s="69"/>
      <c r="K108" s="71"/>
    </row>
    <row r="109">
      <c r="D109" s="69"/>
      <c r="E109" s="69"/>
      <c r="F109" s="70"/>
      <c r="G109" s="69"/>
      <c r="K109" s="71"/>
    </row>
    <row r="110">
      <c r="D110" s="69"/>
      <c r="E110" s="69"/>
      <c r="F110" s="70"/>
      <c r="G110" s="69"/>
      <c r="K110" s="71"/>
    </row>
    <row r="111">
      <c r="D111" s="69"/>
      <c r="E111" s="69"/>
      <c r="F111" s="70"/>
      <c r="G111" s="69"/>
      <c r="K111" s="71"/>
    </row>
    <row r="112">
      <c r="D112" s="69"/>
      <c r="E112" s="69"/>
      <c r="F112" s="70"/>
      <c r="G112" s="69"/>
      <c r="K112" s="71"/>
    </row>
    <row r="113">
      <c r="D113" s="69"/>
      <c r="E113" s="69"/>
      <c r="F113" s="70"/>
      <c r="G113" s="69"/>
      <c r="K113" s="71"/>
    </row>
    <row r="114">
      <c r="D114" s="69"/>
      <c r="E114" s="69"/>
      <c r="F114" s="70"/>
      <c r="G114" s="69"/>
      <c r="K114" s="71"/>
    </row>
    <row r="115">
      <c r="D115" s="69"/>
      <c r="E115" s="69"/>
      <c r="F115" s="70"/>
      <c r="G115" s="69"/>
      <c r="K115" s="71"/>
    </row>
    <row r="116">
      <c r="D116" s="69"/>
      <c r="E116" s="69"/>
      <c r="F116" s="70"/>
      <c r="G116" s="69"/>
      <c r="K116" s="71"/>
    </row>
    <row r="117">
      <c r="D117" s="69"/>
      <c r="E117" s="69"/>
      <c r="F117" s="70"/>
      <c r="G117" s="69"/>
      <c r="K117" s="71"/>
    </row>
    <row r="118">
      <c r="D118" s="69"/>
      <c r="E118" s="69"/>
      <c r="F118" s="70"/>
      <c r="G118" s="69"/>
      <c r="K118" s="71"/>
    </row>
    <row r="119">
      <c r="D119" s="69"/>
      <c r="E119" s="69"/>
      <c r="F119" s="70"/>
      <c r="G119" s="69"/>
      <c r="K119" s="71"/>
    </row>
    <row r="120">
      <c r="D120" s="69"/>
      <c r="E120" s="69"/>
      <c r="F120" s="70"/>
      <c r="G120" s="69"/>
      <c r="K120" s="71"/>
    </row>
    <row r="121">
      <c r="D121" s="69"/>
      <c r="E121" s="69"/>
      <c r="F121" s="70"/>
      <c r="G121" s="69"/>
      <c r="K121" s="71"/>
    </row>
    <row r="122">
      <c r="D122" s="69"/>
      <c r="E122" s="69"/>
      <c r="F122" s="70"/>
      <c r="G122" s="69"/>
      <c r="K122" s="71"/>
    </row>
    <row r="123">
      <c r="D123" s="69"/>
      <c r="E123" s="69"/>
      <c r="F123" s="70"/>
      <c r="G123" s="69"/>
      <c r="K123" s="71"/>
    </row>
    <row r="124">
      <c r="D124" s="69"/>
      <c r="E124" s="69"/>
      <c r="F124" s="70"/>
      <c r="G124" s="69"/>
      <c r="K124" s="71"/>
    </row>
    <row r="125">
      <c r="D125" s="69"/>
      <c r="E125" s="69"/>
      <c r="F125" s="70"/>
      <c r="G125" s="69"/>
      <c r="K125" s="71"/>
    </row>
    <row r="126">
      <c r="D126" s="69"/>
      <c r="E126" s="69"/>
      <c r="F126" s="70"/>
      <c r="G126" s="69"/>
      <c r="K126" s="71"/>
    </row>
    <row r="127">
      <c r="D127" s="69"/>
      <c r="E127" s="69"/>
      <c r="F127" s="70"/>
      <c r="G127" s="69"/>
      <c r="K127" s="71"/>
    </row>
    <row r="128">
      <c r="D128" s="69"/>
      <c r="E128" s="69"/>
      <c r="F128" s="70"/>
      <c r="G128" s="69"/>
      <c r="K128" s="71"/>
    </row>
    <row r="129">
      <c r="D129" s="69"/>
      <c r="E129" s="69"/>
      <c r="F129" s="70"/>
      <c r="G129" s="69"/>
      <c r="K129" s="71"/>
    </row>
    <row r="130">
      <c r="D130" s="69"/>
      <c r="E130" s="69"/>
      <c r="F130" s="70"/>
      <c r="G130" s="69"/>
      <c r="K130" s="71"/>
    </row>
    <row r="131">
      <c r="D131" s="69"/>
      <c r="E131" s="69"/>
      <c r="F131" s="70"/>
      <c r="G131" s="69"/>
      <c r="K131" s="71"/>
    </row>
    <row r="132">
      <c r="D132" s="69"/>
      <c r="E132" s="69"/>
      <c r="F132" s="70"/>
      <c r="G132" s="69"/>
      <c r="K132" s="71"/>
    </row>
    <row r="133">
      <c r="D133" s="69"/>
      <c r="E133" s="69"/>
      <c r="F133" s="70"/>
      <c r="G133" s="69"/>
      <c r="K133" s="71"/>
    </row>
    <row r="134">
      <c r="D134" s="69"/>
      <c r="E134" s="69"/>
      <c r="F134" s="70"/>
      <c r="G134" s="69"/>
      <c r="K134" s="71"/>
    </row>
    <row r="135">
      <c r="D135" s="69"/>
      <c r="E135" s="69"/>
      <c r="F135" s="70"/>
      <c r="G135" s="69"/>
      <c r="K135" s="71"/>
    </row>
    <row r="136">
      <c r="D136" s="69"/>
      <c r="E136" s="69"/>
      <c r="F136" s="70"/>
      <c r="G136" s="69"/>
      <c r="K136" s="71"/>
    </row>
    <row r="137">
      <c r="D137" s="69"/>
      <c r="E137" s="69"/>
      <c r="F137" s="70"/>
      <c r="G137" s="69"/>
      <c r="K137" s="71"/>
    </row>
    <row r="138">
      <c r="D138" s="69"/>
      <c r="E138" s="69"/>
      <c r="F138" s="70"/>
      <c r="G138" s="69"/>
      <c r="K138" s="71"/>
    </row>
    <row r="139">
      <c r="D139" s="69"/>
      <c r="E139" s="69"/>
      <c r="F139" s="70"/>
      <c r="G139" s="69"/>
      <c r="K139" s="71"/>
    </row>
    <row r="140">
      <c r="D140" s="69"/>
      <c r="E140" s="69"/>
      <c r="F140" s="70"/>
      <c r="G140" s="69"/>
      <c r="K140" s="71"/>
    </row>
    <row r="141">
      <c r="D141" s="69"/>
      <c r="E141" s="69"/>
      <c r="F141" s="70"/>
      <c r="G141" s="69"/>
      <c r="K141" s="71"/>
    </row>
    <row r="142">
      <c r="D142" s="69"/>
      <c r="E142" s="69"/>
      <c r="F142" s="70"/>
      <c r="G142" s="69"/>
      <c r="K142" s="71"/>
    </row>
    <row r="143">
      <c r="D143" s="69"/>
      <c r="E143" s="69"/>
      <c r="F143" s="70"/>
      <c r="G143" s="69"/>
      <c r="K143" s="71"/>
    </row>
    <row r="144">
      <c r="D144" s="69"/>
      <c r="E144" s="69"/>
      <c r="F144" s="70"/>
      <c r="G144" s="69"/>
      <c r="K144" s="71"/>
    </row>
    <row r="145">
      <c r="D145" s="69"/>
      <c r="E145" s="69"/>
      <c r="F145" s="70"/>
      <c r="G145" s="69"/>
      <c r="K145" s="71"/>
    </row>
    <row r="146">
      <c r="D146" s="69"/>
      <c r="E146" s="69"/>
      <c r="F146" s="70"/>
      <c r="G146" s="69"/>
      <c r="K146" s="71"/>
    </row>
    <row r="147">
      <c r="D147" s="69"/>
      <c r="E147" s="69"/>
      <c r="F147" s="70"/>
      <c r="G147" s="69"/>
      <c r="K147" s="71"/>
    </row>
    <row r="148">
      <c r="D148" s="69"/>
      <c r="E148" s="69"/>
      <c r="F148" s="70"/>
      <c r="G148" s="69"/>
      <c r="K148" s="71"/>
    </row>
    <row r="149">
      <c r="D149" s="69"/>
      <c r="E149" s="69"/>
      <c r="F149" s="70"/>
      <c r="G149" s="69"/>
      <c r="K149" s="71"/>
    </row>
    <row r="150">
      <c r="D150" s="69"/>
      <c r="E150" s="69"/>
      <c r="F150" s="70"/>
      <c r="G150" s="69"/>
      <c r="K150" s="71"/>
    </row>
    <row r="151">
      <c r="D151" s="69"/>
      <c r="E151" s="69"/>
      <c r="F151" s="70"/>
      <c r="G151" s="69"/>
      <c r="K151" s="71"/>
    </row>
    <row r="152">
      <c r="D152" s="69"/>
      <c r="E152" s="69"/>
      <c r="F152" s="70"/>
      <c r="G152" s="69"/>
      <c r="K152" s="71"/>
    </row>
    <row r="153">
      <c r="D153" s="69"/>
      <c r="E153" s="69"/>
      <c r="F153" s="70"/>
      <c r="G153" s="69"/>
      <c r="K153" s="71"/>
    </row>
    <row r="154">
      <c r="D154" s="69"/>
      <c r="E154" s="69"/>
      <c r="F154" s="70"/>
      <c r="G154" s="69"/>
      <c r="K154" s="71"/>
    </row>
    <row r="155">
      <c r="D155" s="69"/>
      <c r="E155" s="69"/>
      <c r="F155" s="70"/>
      <c r="G155" s="69"/>
      <c r="K155" s="71"/>
    </row>
    <row r="156">
      <c r="D156" s="69"/>
      <c r="E156" s="69"/>
      <c r="F156" s="70"/>
      <c r="G156" s="69"/>
      <c r="K156" s="71"/>
    </row>
    <row r="157">
      <c r="D157" s="69"/>
      <c r="E157" s="69"/>
      <c r="F157" s="70"/>
      <c r="G157" s="69"/>
      <c r="K157" s="71"/>
    </row>
    <row r="158">
      <c r="D158" s="69"/>
      <c r="E158" s="69"/>
      <c r="F158" s="70"/>
      <c r="G158" s="69"/>
      <c r="K158" s="71"/>
    </row>
    <row r="159">
      <c r="D159" s="69"/>
      <c r="E159" s="69"/>
      <c r="F159" s="70"/>
      <c r="G159" s="69"/>
      <c r="K159" s="71"/>
    </row>
    <row r="160">
      <c r="D160" s="69"/>
      <c r="E160" s="69"/>
      <c r="F160" s="70"/>
      <c r="G160" s="69"/>
      <c r="K160" s="71"/>
    </row>
    <row r="161">
      <c r="D161" s="69"/>
      <c r="E161" s="69"/>
      <c r="F161" s="70"/>
      <c r="G161" s="69"/>
      <c r="K161" s="71"/>
    </row>
    <row r="162">
      <c r="D162" s="69"/>
      <c r="E162" s="69"/>
      <c r="F162" s="70"/>
      <c r="G162" s="69"/>
      <c r="K162" s="71"/>
    </row>
    <row r="163">
      <c r="D163" s="69"/>
      <c r="E163" s="69"/>
      <c r="F163" s="70"/>
      <c r="G163" s="69"/>
      <c r="K163" s="71"/>
    </row>
    <row r="164">
      <c r="D164" s="69"/>
      <c r="E164" s="69"/>
      <c r="F164" s="70"/>
      <c r="G164" s="69"/>
      <c r="K164" s="71"/>
    </row>
    <row r="165">
      <c r="D165" s="69"/>
      <c r="E165" s="69"/>
      <c r="F165" s="70"/>
      <c r="G165" s="69"/>
      <c r="K165" s="71"/>
    </row>
    <row r="166">
      <c r="D166" s="69"/>
      <c r="E166" s="69"/>
      <c r="F166" s="70"/>
      <c r="G166" s="69"/>
      <c r="K166" s="71"/>
    </row>
    <row r="167">
      <c r="D167" s="69"/>
      <c r="E167" s="69"/>
      <c r="F167" s="70"/>
      <c r="G167" s="69"/>
      <c r="K167" s="71"/>
    </row>
    <row r="168">
      <c r="D168" s="69"/>
      <c r="E168" s="69"/>
      <c r="F168" s="70"/>
      <c r="G168" s="69"/>
      <c r="K168" s="71"/>
    </row>
    <row r="169">
      <c r="D169" s="69"/>
      <c r="E169" s="69"/>
      <c r="F169" s="70"/>
      <c r="G169" s="69"/>
      <c r="K169" s="71"/>
    </row>
    <row r="170">
      <c r="D170" s="69"/>
      <c r="E170" s="69"/>
      <c r="F170" s="70"/>
      <c r="G170" s="69"/>
      <c r="K170" s="71"/>
    </row>
    <row r="171">
      <c r="D171" s="69"/>
      <c r="E171" s="69"/>
      <c r="F171" s="70"/>
      <c r="G171" s="69"/>
      <c r="K171" s="71"/>
    </row>
    <row r="172">
      <c r="D172" s="69"/>
      <c r="E172" s="69"/>
      <c r="F172" s="70"/>
      <c r="G172" s="69"/>
      <c r="K172" s="71"/>
    </row>
    <row r="173">
      <c r="D173" s="69"/>
      <c r="E173" s="69"/>
      <c r="F173" s="70"/>
      <c r="G173" s="69"/>
      <c r="K173" s="71"/>
    </row>
    <row r="174">
      <c r="D174" s="69"/>
      <c r="E174" s="69"/>
      <c r="F174" s="70"/>
      <c r="G174" s="69"/>
      <c r="K174" s="71"/>
    </row>
    <row r="175">
      <c r="D175" s="69"/>
      <c r="E175" s="69"/>
      <c r="F175" s="70"/>
      <c r="G175" s="69"/>
      <c r="K175" s="71"/>
    </row>
    <row r="176">
      <c r="D176" s="69"/>
      <c r="E176" s="69"/>
      <c r="F176" s="70"/>
      <c r="G176" s="69"/>
      <c r="K176" s="71"/>
    </row>
    <row r="177">
      <c r="D177" s="69"/>
      <c r="E177" s="69"/>
      <c r="F177" s="70"/>
      <c r="G177" s="69"/>
      <c r="K177" s="71"/>
    </row>
    <row r="178">
      <c r="D178" s="69"/>
      <c r="E178" s="69"/>
      <c r="F178" s="70"/>
      <c r="G178" s="69"/>
      <c r="K178" s="71"/>
    </row>
    <row r="179">
      <c r="D179" s="69"/>
      <c r="E179" s="69"/>
      <c r="F179" s="70"/>
      <c r="G179" s="69"/>
      <c r="K179" s="71"/>
    </row>
    <row r="180">
      <c r="D180" s="69"/>
      <c r="E180" s="69"/>
      <c r="F180" s="70"/>
      <c r="G180" s="69"/>
      <c r="K180" s="71"/>
    </row>
    <row r="181">
      <c r="D181" s="69"/>
      <c r="E181" s="69"/>
      <c r="F181" s="70"/>
      <c r="G181" s="69"/>
      <c r="K181" s="71"/>
    </row>
    <row r="182">
      <c r="D182" s="69"/>
      <c r="E182" s="69"/>
      <c r="F182" s="70"/>
      <c r="G182" s="69"/>
      <c r="K182" s="71"/>
    </row>
    <row r="183">
      <c r="D183" s="69"/>
      <c r="E183" s="69"/>
      <c r="F183" s="70"/>
      <c r="G183" s="69"/>
      <c r="K183" s="71"/>
    </row>
    <row r="184">
      <c r="D184" s="69"/>
      <c r="E184" s="69"/>
      <c r="F184" s="70"/>
      <c r="G184" s="69"/>
      <c r="K184" s="71"/>
    </row>
    <row r="185">
      <c r="D185" s="69"/>
      <c r="E185" s="69"/>
      <c r="F185" s="70"/>
      <c r="G185" s="69"/>
      <c r="K185" s="71"/>
    </row>
    <row r="186">
      <c r="D186" s="69"/>
      <c r="E186" s="69"/>
      <c r="F186" s="70"/>
      <c r="G186" s="69"/>
      <c r="K186" s="71"/>
    </row>
    <row r="187">
      <c r="D187" s="69"/>
      <c r="E187" s="69"/>
      <c r="F187" s="70"/>
      <c r="G187" s="69"/>
      <c r="K187" s="71"/>
    </row>
    <row r="188">
      <c r="D188" s="69"/>
      <c r="E188" s="69"/>
      <c r="F188" s="70"/>
      <c r="G188" s="69"/>
      <c r="K188" s="71"/>
    </row>
    <row r="189">
      <c r="D189" s="69"/>
      <c r="E189" s="69"/>
      <c r="F189" s="70"/>
      <c r="G189" s="69"/>
      <c r="K189" s="71"/>
    </row>
    <row r="190">
      <c r="D190" s="69"/>
      <c r="E190" s="69"/>
      <c r="F190" s="70"/>
      <c r="G190" s="69"/>
      <c r="K190" s="71"/>
    </row>
    <row r="191">
      <c r="D191" s="69"/>
      <c r="E191" s="69"/>
      <c r="F191" s="70"/>
      <c r="G191" s="69"/>
      <c r="K191" s="71"/>
    </row>
    <row r="192">
      <c r="D192" s="69"/>
      <c r="E192" s="69"/>
      <c r="F192" s="70"/>
      <c r="G192" s="69"/>
      <c r="K192" s="71"/>
    </row>
    <row r="193">
      <c r="D193" s="69"/>
      <c r="E193" s="69"/>
      <c r="F193" s="70"/>
      <c r="G193" s="69"/>
      <c r="K193" s="71"/>
    </row>
    <row r="194">
      <c r="D194" s="69"/>
      <c r="E194" s="69"/>
      <c r="F194" s="70"/>
      <c r="G194" s="69"/>
      <c r="K194" s="71"/>
    </row>
    <row r="195">
      <c r="D195" s="69"/>
      <c r="E195" s="69"/>
      <c r="F195" s="70"/>
      <c r="G195" s="69"/>
      <c r="K195" s="71"/>
    </row>
    <row r="196">
      <c r="D196" s="69"/>
      <c r="E196" s="69"/>
      <c r="F196" s="70"/>
      <c r="G196" s="69"/>
      <c r="K196" s="71"/>
    </row>
    <row r="197">
      <c r="D197" s="69"/>
      <c r="E197" s="69"/>
      <c r="F197" s="70"/>
      <c r="G197" s="69"/>
      <c r="K197" s="71"/>
    </row>
    <row r="198">
      <c r="D198" s="69"/>
      <c r="E198" s="69"/>
      <c r="F198" s="70"/>
      <c r="G198" s="69"/>
      <c r="K198" s="71"/>
    </row>
    <row r="199">
      <c r="D199" s="69"/>
      <c r="E199" s="69"/>
      <c r="F199" s="70"/>
      <c r="G199" s="69"/>
      <c r="K199" s="71"/>
    </row>
    <row r="200">
      <c r="D200" s="69"/>
      <c r="E200" s="69"/>
      <c r="F200" s="70"/>
      <c r="G200" s="69"/>
      <c r="K200" s="71"/>
    </row>
    <row r="201">
      <c r="D201" s="69"/>
      <c r="E201" s="69"/>
      <c r="F201" s="70"/>
      <c r="G201" s="69"/>
      <c r="K201" s="71"/>
    </row>
    <row r="202">
      <c r="D202" s="69"/>
      <c r="E202" s="69"/>
      <c r="F202" s="70"/>
      <c r="G202" s="69"/>
      <c r="K202" s="71"/>
    </row>
    <row r="203">
      <c r="D203" s="69"/>
      <c r="E203" s="69"/>
      <c r="F203" s="70"/>
      <c r="G203" s="69"/>
      <c r="K203" s="71"/>
    </row>
    <row r="204">
      <c r="D204" s="69"/>
      <c r="E204" s="69"/>
      <c r="F204" s="70"/>
      <c r="G204" s="69"/>
      <c r="K204" s="71"/>
    </row>
    <row r="205">
      <c r="D205" s="69"/>
      <c r="E205" s="69"/>
      <c r="F205" s="70"/>
      <c r="G205" s="69"/>
      <c r="K205" s="71"/>
    </row>
    <row r="206">
      <c r="D206" s="69"/>
      <c r="E206" s="69"/>
      <c r="F206" s="70"/>
      <c r="G206" s="69"/>
      <c r="K206" s="71"/>
    </row>
    <row r="207">
      <c r="D207" s="69"/>
      <c r="E207" s="69"/>
      <c r="F207" s="70"/>
      <c r="G207" s="69"/>
      <c r="K207" s="71"/>
    </row>
    <row r="208">
      <c r="D208" s="69"/>
      <c r="E208" s="69"/>
      <c r="F208" s="70"/>
      <c r="G208" s="69"/>
      <c r="K208" s="71"/>
    </row>
    <row r="209">
      <c r="D209" s="69"/>
      <c r="E209" s="69"/>
      <c r="F209" s="70"/>
      <c r="G209" s="69"/>
      <c r="K209" s="71"/>
    </row>
    <row r="210">
      <c r="D210" s="69"/>
      <c r="E210" s="69"/>
      <c r="F210" s="70"/>
      <c r="G210" s="69"/>
      <c r="K210" s="71"/>
    </row>
    <row r="211">
      <c r="D211" s="69"/>
      <c r="E211" s="69"/>
      <c r="F211" s="70"/>
      <c r="G211" s="69"/>
      <c r="K211" s="71"/>
    </row>
    <row r="212">
      <c r="D212" s="69"/>
      <c r="E212" s="69"/>
      <c r="F212" s="70"/>
      <c r="G212" s="69"/>
      <c r="K212" s="71"/>
    </row>
    <row r="213">
      <c r="D213" s="69"/>
      <c r="E213" s="69"/>
      <c r="F213" s="70"/>
      <c r="G213" s="69"/>
      <c r="K213" s="71"/>
    </row>
    <row r="214">
      <c r="D214" s="69"/>
      <c r="E214" s="69"/>
      <c r="F214" s="70"/>
      <c r="G214" s="69"/>
      <c r="K214" s="71"/>
    </row>
    <row r="215">
      <c r="D215" s="69"/>
      <c r="E215" s="69"/>
      <c r="F215" s="70"/>
      <c r="G215" s="69"/>
      <c r="K215" s="71"/>
    </row>
    <row r="216">
      <c r="D216" s="69"/>
      <c r="E216" s="69"/>
      <c r="F216" s="70"/>
      <c r="G216" s="69"/>
      <c r="K216" s="71"/>
    </row>
    <row r="217">
      <c r="D217" s="69"/>
      <c r="E217" s="69"/>
      <c r="F217" s="70"/>
      <c r="G217" s="69"/>
      <c r="K217" s="71"/>
    </row>
    <row r="218">
      <c r="D218" s="69"/>
      <c r="E218" s="69"/>
      <c r="F218" s="70"/>
      <c r="G218" s="69"/>
      <c r="K218" s="71"/>
    </row>
    <row r="219">
      <c r="D219" s="69"/>
      <c r="E219" s="69"/>
      <c r="F219" s="70"/>
      <c r="G219" s="69"/>
      <c r="K219" s="71"/>
    </row>
    <row r="220">
      <c r="D220" s="69"/>
      <c r="E220" s="69"/>
      <c r="F220" s="70"/>
      <c r="G220" s="69"/>
      <c r="K220" s="71"/>
    </row>
    <row r="221">
      <c r="D221" s="69"/>
      <c r="E221" s="69"/>
      <c r="F221" s="70"/>
      <c r="G221" s="69"/>
      <c r="K221" s="71"/>
    </row>
    <row r="222">
      <c r="D222" s="69"/>
      <c r="E222" s="69"/>
      <c r="F222" s="70"/>
      <c r="G222" s="69"/>
      <c r="K222" s="71"/>
    </row>
    <row r="223">
      <c r="D223" s="69"/>
      <c r="E223" s="69"/>
      <c r="F223" s="70"/>
      <c r="G223" s="69"/>
      <c r="K223" s="71"/>
    </row>
    <row r="224">
      <c r="D224" s="69"/>
      <c r="E224" s="69"/>
      <c r="F224" s="70"/>
      <c r="G224" s="69"/>
      <c r="K224" s="71"/>
    </row>
    <row r="225">
      <c r="D225" s="69"/>
      <c r="E225" s="69"/>
      <c r="F225" s="70"/>
      <c r="G225" s="69"/>
      <c r="K225" s="71"/>
    </row>
    <row r="226">
      <c r="D226" s="69"/>
      <c r="E226" s="69"/>
      <c r="F226" s="70"/>
      <c r="G226" s="69"/>
      <c r="K226" s="71"/>
    </row>
    <row r="227">
      <c r="D227" s="69"/>
      <c r="E227" s="69"/>
      <c r="F227" s="70"/>
      <c r="G227" s="69"/>
      <c r="K227" s="71"/>
    </row>
    <row r="228">
      <c r="D228" s="69"/>
      <c r="E228" s="69"/>
      <c r="F228" s="70"/>
      <c r="G228" s="69"/>
      <c r="K228" s="71"/>
    </row>
    <row r="229">
      <c r="D229" s="69"/>
      <c r="E229" s="69"/>
      <c r="F229" s="70"/>
      <c r="G229" s="69"/>
      <c r="K229" s="71"/>
    </row>
    <row r="230">
      <c r="D230" s="69"/>
      <c r="E230" s="69"/>
      <c r="F230" s="70"/>
      <c r="G230" s="69"/>
      <c r="K230" s="71"/>
    </row>
    <row r="231">
      <c r="D231" s="69"/>
      <c r="E231" s="69"/>
      <c r="F231" s="70"/>
      <c r="G231" s="69"/>
      <c r="K231" s="71"/>
    </row>
    <row r="232">
      <c r="D232" s="69"/>
      <c r="E232" s="69"/>
      <c r="F232" s="70"/>
      <c r="G232" s="69"/>
      <c r="K232" s="71"/>
    </row>
    <row r="233">
      <c r="D233" s="69"/>
      <c r="E233" s="69"/>
      <c r="F233" s="70"/>
      <c r="G233" s="69"/>
      <c r="K233" s="71"/>
    </row>
    <row r="234">
      <c r="D234" s="69"/>
      <c r="E234" s="69"/>
      <c r="F234" s="70"/>
      <c r="G234" s="69"/>
      <c r="K234" s="71"/>
    </row>
    <row r="235">
      <c r="D235" s="69"/>
      <c r="E235" s="69"/>
      <c r="F235" s="70"/>
      <c r="G235" s="69"/>
      <c r="K235" s="71"/>
    </row>
    <row r="236">
      <c r="D236" s="69"/>
      <c r="E236" s="69"/>
      <c r="F236" s="70"/>
      <c r="G236" s="69"/>
      <c r="K236" s="71"/>
    </row>
    <row r="237">
      <c r="D237" s="69"/>
      <c r="E237" s="69"/>
      <c r="F237" s="70"/>
      <c r="G237" s="69"/>
      <c r="K237" s="71"/>
    </row>
    <row r="238">
      <c r="D238" s="69"/>
      <c r="E238" s="69"/>
      <c r="F238" s="70"/>
      <c r="G238" s="69"/>
      <c r="K238" s="71"/>
    </row>
    <row r="239">
      <c r="D239" s="69"/>
      <c r="E239" s="69"/>
      <c r="F239" s="70"/>
      <c r="G239" s="69"/>
      <c r="K239" s="71"/>
    </row>
    <row r="240">
      <c r="D240" s="69"/>
      <c r="E240" s="69"/>
      <c r="F240" s="70"/>
      <c r="G240" s="69"/>
      <c r="K240" s="71"/>
    </row>
    <row r="241">
      <c r="D241" s="69"/>
      <c r="E241" s="69"/>
      <c r="F241" s="70"/>
      <c r="G241" s="69"/>
      <c r="K241" s="71"/>
    </row>
    <row r="242">
      <c r="D242" s="69"/>
      <c r="E242" s="69"/>
      <c r="F242" s="70"/>
      <c r="G242" s="69"/>
      <c r="K242" s="71"/>
    </row>
    <row r="243">
      <c r="D243" s="69"/>
      <c r="E243" s="69"/>
      <c r="F243" s="70"/>
      <c r="G243" s="69"/>
      <c r="K243" s="71"/>
    </row>
    <row r="244">
      <c r="D244" s="69"/>
      <c r="E244" s="69"/>
      <c r="F244" s="70"/>
      <c r="G244" s="69"/>
      <c r="K244" s="71"/>
    </row>
    <row r="245">
      <c r="D245" s="69"/>
      <c r="E245" s="69"/>
      <c r="F245" s="70"/>
      <c r="G245" s="69"/>
      <c r="K245" s="71"/>
    </row>
    <row r="246">
      <c r="D246" s="69"/>
      <c r="E246" s="69"/>
      <c r="F246" s="70"/>
      <c r="G246" s="69"/>
      <c r="K246" s="71"/>
    </row>
    <row r="247">
      <c r="D247" s="69"/>
      <c r="E247" s="69"/>
      <c r="F247" s="70"/>
      <c r="G247" s="69"/>
      <c r="K247" s="71"/>
    </row>
    <row r="248">
      <c r="D248" s="69"/>
      <c r="E248" s="69"/>
      <c r="F248" s="70"/>
      <c r="G248" s="69"/>
      <c r="K248" s="71"/>
    </row>
    <row r="249">
      <c r="D249" s="69"/>
      <c r="E249" s="69"/>
      <c r="F249" s="70"/>
      <c r="G249" s="69"/>
      <c r="K249" s="71"/>
    </row>
    <row r="250">
      <c r="D250" s="69"/>
      <c r="E250" s="69"/>
      <c r="F250" s="70"/>
      <c r="G250" s="69"/>
      <c r="K250" s="71"/>
    </row>
    <row r="251">
      <c r="D251" s="69"/>
      <c r="E251" s="69"/>
      <c r="F251" s="70"/>
      <c r="G251" s="69"/>
      <c r="K251" s="71"/>
    </row>
    <row r="252">
      <c r="D252" s="69"/>
      <c r="E252" s="69"/>
      <c r="F252" s="70"/>
      <c r="G252" s="69"/>
      <c r="K252" s="71"/>
    </row>
    <row r="253">
      <c r="D253" s="69"/>
      <c r="E253" s="69"/>
      <c r="F253" s="70"/>
      <c r="G253" s="69"/>
      <c r="K253" s="71"/>
    </row>
    <row r="254">
      <c r="D254" s="69"/>
      <c r="E254" s="69"/>
      <c r="F254" s="70"/>
      <c r="G254" s="69"/>
      <c r="K254" s="71"/>
    </row>
    <row r="255">
      <c r="D255" s="69"/>
      <c r="E255" s="69"/>
      <c r="F255" s="70"/>
      <c r="G255" s="69"/>
      <c r="K255" s="71"/>
    </row>
    <row r="256">
      <c r="D256" s="69"/>
      <c r="E256" s="69"/>
      <c r="F256" s="70"/>
      <c r="G256" s="69"/>
      <c r="K256" s="71"/>
    </row>
    <row r="257">
      <c r="D257" s="69"/>
      <c r="E257" s="69"/>
      <c r="F257" s="70"/>
      <c r="G257" s="69"/>
      <c r="K257" s="71"/>
    </row>
    <row r="258">
      <c r="D258" s="69"/>
      <c r="E258" s="69"/>
      <c r="F258" s="70"/>
      <c r="G258" s="69"/>
      <c r="K258" s="71"/>
    </row>
    <row r="259">
      <c r="D259" s="69"/>
      <c r="E259" s="69"/>
      <c r="F259" s="70"/>
      <c r="G259" s="69"/>
      <c r="K259" s="71"/>
    </row>
    <row r="260">
      <c r="D260" s="69"/>
      <c r="E260" s="69"/>
      <c r="F260" s="70"/>
      <c r="G260" s="69"/>
      <c r="K260" s="71"/>
    </row>
    <row r="261">
      <c r="D261" s="69"/>
      <c r="E261" s="69"/>
      <c r="F261" s="70"/>
      <c r="G261" s="69"/>
      <c r="K261" s="71"/>
    </row>
    <row r="262">
      <c r="D262" s="69"/>
      <c r="E262" s="69"/>
      <c r="F262" s="70"/>
      <c r="G262" s="69"/>
      <c r="K262" s="71"/>
    </row>
    <row r="263">
      <c r="D263" s="69"/>
      <c r="E263" s="69"/>
      <c r="F263" s="70"/>
      <c r="G263" s="69"/>
      <c r="K263" s="71"/>
    </row>
    <row r="264">
      <c r="D264" s="69"/>
      <c r="E264" s="69"/>
      <c r="F264" s="70"/>
      <c r="G264" s="69"/>
      <c r="K264" s="71"/>
    </row>
    <row r="265">
      <c r="D265" s="69"/>
      <c r="E265" s="69"/>
      <c r="F265" s="70"/>
      <c r="G265" s="69"/>
      <c r="K265" s="71"/>
    </row>
    <row r="266">
      <c r="D266" s="69"/>
      <c r="E266" s="69"/>
      <c r="F266" s="70"/>
      <c r="G266" s="69"/>
      <c r="K266" s="71"/>
    </row>
    <row r="267">
      <c r="D267" s="69"/>
      <c r="E267" s="69"/>
      <c r="F267" s="70"/>
      <c r="G267" s="69"/>
      <c r="K267" s="71"/>
    </row>
    <row r="268">
      <c r="D268" s="69"/>
      <c r="E268" s="69"/>
      <c r="F268" s="70"/>
      <c r="G268" s="69"/>
      <c r="K268" s="71"/>
    </row>
    <row r="269">
      <c r="D269" s="69"/>
      <c r="E269" s="69"/>
      <c r="F269" s="70"/>
      <c r="G269" s="69"/>
      <c r="K269" s="71"/>
    </row>
    <row r="270">
      <c r="D270" s="69"/>
      <c r="E270" s="69"/>
      <c r="F270" s="70"/>
      <c r="G270" s="69"/>
      <c r="K270" s="71"/>
    </row>
    <row r="271">
      <c r="D271" s="69"/>
      <c r="E271" s="69"/>
      <c r="F271" s="70"/>
      <c r="G271" s="69"/>
      <c r="K271" s="71"/>
    </row>
    <row r="272">
      <c r="D272" s="69"/>
      <c r="E272" s="69"/>
      <c r="F272" s="70"/>
      <c r="G272" s="69"/>
      <c r="K272" s="71"/>
    </row>
    <row r="273">
      <c r="D273" s="69"/>
      <c r="E273" s="69"/>
      <c r="F273" s="70"/>
      <c r="G273" s="69"/>
      <c r="K273" s="71"/>
    </row>
    <row r="274">
      <c r="D274" s="69"/>
      <c r="E274" s="69"/>
      <c r="F274" s="70"/>
      <c r="G274" s="69"/>
      <c r="K274" s="71"/>
    </row>
    <row r="275">
      <c r="D275" s="69"/>
      <c r="E275" s="69"/>
      <c r="F275" s="70"/>
      <c r="G275" s="69"/>
      <c r="K275" s="71"/>
    </row>
    <row r="276">
      <c r="D276" s="69"/>
      <c r="E276" s="69"/>
      <c r="F276" s="70"/>
      <c r="G276" s="69"/>
      <c r="K276" s="71"/>
    </row>
    <row r="277">
      <c r="D277" s="69"/>
      <c r="E277" s="69"/>
      <c r="F277" s="70"/>
      <c r="G277" s="69"/>
      <c r="K277" s="71"/>
    </row>
    <row r="278">
      <c r="D278" s="69"/>
      <c r="E278" s="69"/>
      <c r="F278" s="70"/>
      <c r="G278" s="69"/>
      <c r="K278" s="71"/>
    </row>
    <row r="279">
      <c r="D279" s="69"/>
      <c r="E279" s="69"/>
      <c r="F279" s="70"/>
      <c r="G279" s="69"/>
      <c r="K279" s="71"/>
    </row>
    <row r="280">
      <c r="D280" s="69"/>
      <c r="E280" s="69"/>
      <c r="F280" s="70"/>
      <c r="G280" s="69"/>
      <c r="K280" s="71"/>
    </row>
    <row r="281">
      <c r="D281" s="69"/>
      <c r="E281" s="69"/>
      <c r="F281" s="70"/>
      <c r="G281" s="69"/>
      <c r="K281" s="71"/>
    </row>
    <row r="282">
      <c r="D282" s="69"/>
      <c r="E282" s="69"/>
      <c r="F282" s="70"/>
      <c r="G282" s="69"/>
      <c r="K282" s="71"/>
    </row>
    <row r="283">
      <c r="D283" s="69"/>
      <c r="E283" s="69"/>
      <c r="F283" s="70"/>
      <c r="G283" s="69"/>
      <c r="K283" s="71"/>
    </row>
    <row r="284">
      <c r="D284" s="69"/>
      <c r="E284" s="69"/>
      <c r="F284" s="70"/>
      <c r="G284" s="69"/>
      <c r="K284" s="71"/>
    </row>
    <row r="285">
      <c r="D285" s="69"/>
      <c r="E285" s="69"/>
      <c r="F285" s="70"/>
      <c r="G285" s="69"/>
      <c r="K285" s="71"/>
    </row>
    <row r="286">
      <c r="D286" s="69"/>
      <c r="E286" s="69"/>
      <c r="F286" s="70"/>
      <c r="G286" s="69"/>
      <c r="K286" s="71"/>
    </row>
    <row r="287">
      <c r="D287" s="69"/>
      <c r="E287" s="69"/>
      <c r="F287" s="70"/>
      <c r="G287" s="69"/>
      <c r="K287" s="71"/>
    </row>
    <row r="288">
      <c r="D288" s="69"/>
      <c r="E288" s="69"/>
      <c r="F288" s="70"/>
      <c r="G288" s="69"/>
      <c r="K288" s="71"/>
    </row>
    <row r="289">
      <c r="D289" s="69"/>
      <c r="E289" s="69"/>
      <c r="F289" s="70"/>
      <c r="G289" s="69"/>
      <c r="K289" s="71"/>
    </row>
    <row r="290">
      <c r="D290" s="69"/>
      <c r="E290" s="69"/>
      <c r="F290" s="70"/>
      <c r="G290" s="69"/>
      <c r="K290" s="71"/>
    </row>
    <row r="291">
      <c r="D291" s="69"/>
      <c r="E291" s="69"/>
      <c r="F291" s="70"/>
      <c r="G291" s="69"/>
      <c r="K291" s="71"/>
    </row>
    <row r="292">
      <c r="D292" s="69"/>
      <c r="E292" s="69"/>
      <c r="F292" s="70"/>
      <c r="G292" s="69"/>
      <c r="K292" s="71"/>
    </row>
    <row r="293">
      <c r="D293" s="69"/>
      <c r="E293" s="69"/>
      <c r="F293" s="70"/>
      <c r="G293" s="69"/>
      <c r="K293" s="71"/>
    </row>
    <row r="294">
      <c r="D294" s="69"/>
      <c r="E294" s="69"/>
      <c r="F294" s="70"/>
      <c r="G294" s="69"/>
      <c r="K294" s="71"/>
    </row>
    <row r="295">
      <c r="D295" s="69"/>
      <c r="E295" s="69"/>
      <c r="F295" s="70"/>
      <c r="G295" s="69"/>
      <c r="K295" s="71"/>
    </row>
    <row r="296">
      <c r="D296" s="69"/>
      <c r="E296" s="69"/>
      <c r="F296" s="70"/>
      <c r="G296" s="69"/>
      <c r="K296" s="71"/>
    </row>
    <row r="297">
      <c r="D297" s="69"/>
      <c r="E297" s="69"/>
      <c r="F297" s="70"/>
      <c r="G297" s="69"/>
      <c r="K297" s="71"/>
    </row>
    <row r="298">
      <c r="D298" s="69"/>
      <c r="E298" s="69"/>
      <c r="F298" s="70"/>
      <c r="G298" s="69"/>
      <c r="K298" s="71"/>
    </row>
    <row r="299">
      <c r="D299" s="69"/>
      <c r="E299" s="69"/>
      <c r="F299" s="70"/>
      <c r="G299" s="69"/>
      <c r="K299" s="71"/>
    </row>
    <row r="300">
      <c r="D300" s="69"/>
      <c r="E300" s="69"/>
      <c r="F300" s="70"/>
      <c r="G300" s="69"/>
      <c r="K300" s="71"/>
    </row>
    <row r="301">
      <c r="D301" s="69"/>
      <c r="E301" s="69"/>
      <c r="F301" s="70"/>
      <c r="G301" s="69"/>
      <c r="K301" s="71"/>
    </row>
    <row r="302">
      <c r="D302" s="69"/>
      <c r="E302" s="69"/>
      <c r="F302" s="70"/>
      <c r="G302" s="69"/>
      <c r="K302" s="71"/>
    </row>
    <row r="303">
      <c r="D303" s="69"/>
      <c r="E303" s="69"/>
      <c r="F303" s="70"/>
      <c r="G303" s="69"/>
      <c r="K303" s="71"/>
    </row>
    <row r="304">
      <c r="D304" s="69"/>
      <c r="E304" s="69"/>
      <c r="F304" s="70"/>
      <c r="G304" s="69"/>
      <c r="K304" s="71"/>
    </row>
    <row r="305">
      <c r="D305" s="69"/>
      <c r="E305" s="69"/>
      <c r="F305" s="70"/>
      <c r="G305" s="69"/>
      <c r="K305" s="71"/>
    </row>
    <row r="306">
      <c r="D306" s="69"/>
      <c r="E306" s="69"/>
      <c r="F306" s="70"/>
      <c r="G306" s="69"/>
      <c r="K306" s="71"/>
    </row>
    <row r="307">
      <c r="D307" s="69"/>
      <c r="E307" s="69"/>
      <c r="F307" s="70"/>
      <c r="G307" s="69"/>
      <c r="K307" s="71"/>
    </row>
    <row r="308">
      <c r="D308" s="69"/>
      <c r="E308" s="69"/>
      <c r="F308" s="70"/>
      <c r="G308" s="69"/>
      <c r="K308" s="71"/>
    </row>
    <row r="309">
      <c r="D309" s="69"/>
      <c r="E309" s="69"/>
      <c r="F309" s="70"/>
      <c r="G309" s="69"/>
      <c r="K309" s="71"/>
    </row>
    <row r="310">
      <c r="D310" s="69"/>
      <c r="E310" s="69"/>
      <c r="F310" s="70"/>
      <c r="G310" s="69"/>
      <c r="K310" s="71"/>
    </row>
    <row r="311">
      <c r="D311" s="69"/>
      <c r="E311" s="69"/>
      <c r="F311" s="70"/>
      <c r="G311" s="69"/>
      <c r="K311" s="71"/>
    </row>
    <row r="312">
      <c r="D312" s="69"/>
      <c r="E312" s="69"/>
      <c r="F312" s="70"/>
      <c r="G312" s="69"/>
      <c r="K312" s="71"/>
    </row>
    <row r="313">
      <c r="D313" s="69"/>
      <c r="E313" s="69"/>
      <c r="F313" s="70"/>
      <c r="G313" s="69"/>
      <c r="K313" s="71"/>
    </row>
    <row r="314">
      <c r="D314" s="69"/>
      <c r="E314" s="69"/>
      <c r="F314" s="70"/>
      <c r="G314" s="69"/>
      <c r="K314" s="71"/>
    </row>
    <row r="315">
      <c r="D315" s="69"/>
      <c r="E315" s="69"/>
      <c r="F315" s="70"/>
      <c r="G315" s="69"/>
      <c r="K315" s="71"/>
    </row>
    <row r="316">
      <c r="D316" s="69"/>
      <c r="E316" s="69"/>
      <c r="F316" s="70"/>
      <c r="G316" s="69"/>
      <c r="K316" s="71"/>
    </row>
    <row r="317">
      <c r="D317" s="69"/>
      <c r="E317" s="69"/>
      <c r="F317" s="70"/>
      <c r="G317" s="69"/>
      <c r="K317" s="71"/>
    </row>
    <row r="318">
      <c r="D318" s="69"/>
      <c r="E318" s="69"/>
      <c r="F318" s="70"/>
      <c r="G318" s="69"/>
      <c r="K318" s="71"/>
    </row>
    <row r="319">
      <c r="D319" s="69"/>
      <c r="E319" s="69"/>
      <c r="F319" s="70"/>
      <c r="G319" s="69"/>
      <c r="K319" s="71"/>
    </row>
    <row r="320">
      <c r="D320" s="69"/>
      <c r="E320" s="69"/>
      <c r="F320" s="70"/>
      <c r="G320" s="69"/>
      <c r="K320" s="71"/>
    </row>
    <row r="321">
      <c r="D321" s="69"/>
      <c r="E321" s="69"/>
      <c r="F321" s="70"/>
      <c r="G321" s="69"/>
      <c r="K321" s="71"/>
    </row>
    <row r="322">
      <c r="D322" s="69"/>
      <c r="E322" s="69"/>
      <c r="F322" s="70"/>
      <c r="G322" s="69"/>
      <c r="K322" s="71"/>
    </row>
    <row r="323">
      <c r="D323" s="69"/>
      <c r="E323" s="69"/>
      <c r="F323" s="70"/>
      <c r="G323" s="69"/>
      <c r="K323" s="71"/>
    </row>
    <row r="324">
      <c r="D324" s="69"/>
      <c r="E324" s="69"/>
      <c r="F324" s="70"/>
      <c r="G324" s="69"/>
      <c r="K324" s="71"/>
    </row>
    <row r="325">
      <c r="D325" s="69"/>
      <c r="E325" s="69"/>
      <c r="F325" s="70"/>
      <c r="G325" s="69"/>
      <c r="K325" s="71"/>
    </row>
    <row r="326">
      <c r="D326" s="69"/>
      <c r="E326" s="69"/>
      <c r="F326" s="70"/>
      <c r="G326" s="69"/>
      <c r="K326" s="71"/>
    </row>
    <row r="327">
      <c r="D327" s="69"/>
      <c r="E327" s="69"/>
      <c r="F327" s="70"/>
      <c r="G327" s="69"/>
      <c r="K327" s="71"/>
    </row>
    <row r="328">
      <c r="D328" s="69"/>
      <c r="E328" s="69"/>
      <c r="F328" s="70"/>
      <c r="G328" s="69"/>
      <c r="K328" s="71"/>
    </row>
    <row r="329">
      <c r="D329" s="69"/>
      <c r="E329" s="69"/>
      <c r="F329" s="70"/>
      <c r="G329" s="69"/>
      <c r="K329" s="71"/>
    </row>
    <row r="330">
      <c r="D330" s="69"/>
      <c r="E330" s="69"/>
      <c r="F330" s="70"/>
      <c r="G330" s="69"/>
      <c r="K330" s="71"/>
    </row>
    <row r="331">
      <c r="D331" s="69"/>
      <c r="E331" s="69"/>
      <c r="F331" s="70"/>
      <c r="G331" s="69"/>
      <c r="K331" s="71"/>
    </row>
    <row r="332">
      <c r="D332" s="69"/>
      <c r="E332" s="69"/>
      <c r="F332" s="70"/>
      <c r="G332" s="69"/>
      <c r="K332" s="71"/>
    </row>
    <row r="333">
      <c r="D333" s="69"/>
      <c r="E333" s="69"/>
      <c r="F333" s="70"/>
      <c r="G333" s="69"/>
      <c r="K333" s="71"/>
    </row>
    <row r="334">
      <c r="D334" s="69"/>
      <c r="E334" s="69"/>
      <c r="F334" s="70"/>
      <c r="G334" s="69"/>
      <c r="K334" s="71"/>
    </row>
    <row r="335">
      <c r="D335" s="69"/>
      <c r="E335" s="69"/>
      <c r="F335" s="70"/>
      <c r="G335" s="69"/>
      <c r="K335" s="71"/>
    </row>
    <row r="336">
      <c r="D336" s="69"/>
      <c r="E336" s="69"/>
      <c r="F336" s="70"/>
      <c r="G336" s="69"/>
      <c r="K336" s="71"/>
    </row>
    <row r="337">
      <c r="D337" s="69"/>
      <c r="E337" s="69"/>
      <c r="F337" s="70"/>
      <c r="G337" s="69"/>
      <c r="K337" s="71"/>
    </row>
    <row r="338">
      <c r="D338" s="69"/>
      <c r="E338" s="69"/>
      <c r="F338" s="70"/>
      <c r="G338" s="69"/>
      <c r="K338" s="71"/>
    </row>
    <row r="339">
      <c r="D339" s="69"/>
      <c r="E339" s="69"/>
      <c r="F339" s="70"/>
      <c r="G339" s="69"/>
      <c r="K339" s="71"/>
    </row>
    <row r="340">
      <c r="D340" s="69"/>
      <c r="E340" s="69"/>
      <c r="F340" s="70"/>
      <c r="G340" s="69"/>
      <c r="K340" s="71"/>
    </row>
    <row r="341">
      <c r="D341" s="69"/>
      <c r="E341" s="69"/>
      <c r="F341" s="70"/>
      <c r="G341" s="69"/>
      <c r="K341" s="71"/>
    </row>
    <row r="342">
      <c r="D342" s="69"/>
      <c r="E342" s="69"/>
      <c r="F342" s="70"/>
      <c r="G342" s="69"/>
      <c r="K342" s="71"/>
    </row>
    <row r="343">
      <c r="D343" s="69"/>
      <c r="E343" s="69"/>
      <c r="F343" s="70"/>
      <c r="G343" s="69"/>
      <c r="K343" s="71"/>
    </row>
    <row r="344">
      <c r="D344" s="69"/>
      <c r="E344" s="69"/>
      <c r="F344" s="70"/>
      <c r="G344" s="69"/>
      <c r="K344" s="71"/>
    </row>
    <row r="345">
      <c r="D345" s="69"/>
      <c r="E345" s="69"/>
      <c r="F345" s="70"/>
      <c r="G345" s="69"/>
      <c r="K345" s="71"/>
    </row>
    <row r="346">
      <c r="D346" s="69"/>
      <c r="E346" s="69"/>
      <c r="F346" s="70"/>
      <c r="G346" s="69"/>
      <c r="K346" s="71"/>
    </row>
    <row r="347">
      <c r="D347" s="69"/>
      <c r="E347" s="69"/>
      <c r="F347" s="70"/>
      <c r="G347" s="69"/>
      <c r="K347" s="71"/>
    </row>
    <row r="348">
      <c r="D348" s="69"/>
      <c r="E348" s="69"/>
      <c r="F348" s="70"/>
      <c r="G348" s="69"/>
      <c r="K348" s="71"/>
    </row>
    <row r="349">
      <c r="D349" s="69"/>
      <c r="E349" s="69"/>
      <c r="F349" s="70"/>
      <c r="G349" s="69"/>
      <c r="K349" s="71"/>
    </row>
    <row r="350">
      <c r="D350" s="69"/>
      <c r="E350" s="69"/>
      <c r="F350" s="70"/>
      <c r="G350" s="69"/>
      <c r="K350" s="71"/>
    </row>
    <row r="351">
      <c r="D351" s="69"/>
      <c r="E351" s="69"/>
      <c r="F351" s="70"/>
      <c r="G351" s="69"/>
      <c r="K351" s="71"/>
    </row>
    <row r="352">
      <c r="D352" s="69"/>
      <c r="E352" s="69"/>
      <c r="F352" s="70"/>
      <c r="G352" s="69"/>
      <c r="K352" s="71"/>
    </row>
    <row r="353">
      <c r="D353" s="69"/>
      <c r="E353" s="69"/>
      <c r="F353" s="70"/>
      <c r="G353" s="69"/>
      <c r="K353" s="71"/>
    </row>
    <row r="354">
      <c r="D354" s="69"/>
      <c r="E354" s="69"/>
      <c r="F354" s="70"/>
      <c r="G354" s="69"/>
      <c r="K354" s="71"/>
    </row>
    <row r="355">
      <c r="D355" s="69"/>
      <c r="E355" s="69"/>
      <c r="F355" s="70"/>
      <c r="G355" s="69"/>
      <c r="K355" s="71"/>
    </row>
    <row r="356">
      <c r="D356" s="69"/>
      <c r="E356" s="69"/>
      <c r="F356" s="70"/>
      <c r="G356" s="69"/>
      <c r="K356" s="71"/>
    </row>
    <row r="357">
      <c r="D357" s="69"/>
      <c r="E357" s="69"/>
      <c r="F357" s="70"/>
      <c r="G357" s="69"/>
      <c r="K357" s="71"/>
    </row>
    <row r="358">
      <c r="D358" s="69"/>
      <c r="E358" s="69"/>
      <c r="F358" s="70"/>
      <c r="G358" s="69"/>
      <c r="K358" s="71"/>
    </row>
    <row r="359">
      <c r="D359" s="69"/>
      <c r="E359" s="69"/>
      <c r="F359" s="70"/>
      <c r="G359" s="69"/>
      <c r="K359" s="71"/>
    </row>
    <row r="360">
      <c r="D360" s="69"/>
      <c r="E360" s="69"/>
      <c r="F360" s="70"/>
      <c r="G360" s="69"/>
      <c r="K360" s="71"/>
    </row>
    <row r="361">
      <c r="D361" s="69"/>
      <c r="E361" s="69"/>
      <c r="F361" s="70"/>
      <c r="G361" s="69"/>
      <c r="K361" s="71"/>
    </row>
    <row r="362">
      <c r="D362" s="69"/>
      <c r="E362" s="69"/>
      <c r="F362" s="70"/>
      <c r="G362" s="69"/>
      <c r="K362" s="71"/>
    </row>
    <row r="363">
      <c r="D363" s="69"/>
      <c r="E363" s="69"/>
      <c r="F363" s="70"/>
      <c r="G363" s="69"/>
      <c r="K363" s="71"/>
    </row>
    <row r="364">
      <c r="D364" s="69"/>
      <c r="E364" s="69"/>
      <c r="F364" s="70"/>
      <c r="G364" s="69"/>
      <c r="K364" s="71"/>
    </row>
    <row r="365">
      <c r="D365" s="69"/>
      <c r="E365" s="69"/>
      <c r="F365" s="70"/>
      <c r="G365" s="69"/>
      <c r="K365" s="71"/>
    </row>
    <row r="366">
      <c r="D366" s="69"/>
      <c r="E366" s="69"/>
      <c r="F366" s="70"/>
      <c r="G366" s="69"/>
      <c r="K366" s="71"/>
    </row>
    <row r="367">
      <c r="D367" s="69"/>
      <c r="E367" s="69"/>
      <c r="F367" s="70"/>
      <c r="G367" s="69"/>
      <c r="K367" s="71"/>
    </row>
    <row r="368">
      <c r="D368" s="69"/>
      <c r="E368" s="69"/>
      <c r="F368" s="70"/>
      <c r="G368" s="69"/>
      <c r="K368" s="71"/>
    </row>
    <row r="369">
      <c r="D369" s="69"/>
      <c r="E369" s="69"/>
      <c r="F369" s="70"/>
      <c r="G369" s="69"/>
      <c r="K369" s="71"/>
    </row>
    <row r="370">
      <c r="D370" s="69"/>
      <c r="E370" s="69"/>
      <c r="F370" s="70"/>
      <c r="G370" s="69"/>
      <c r="K370" s="71"/>
    </row>
    <row r="371">
      <c r="D371" s="69"/>
      <c r="E371" s="69"/>
      <c r="F371" s="70"/>
      <c r="G371" s="69"/>
      <c r="K371" s="71"/>
    </row>
    <row r="372">
      <c r="D372" s="69"/>
      <c r="E372" s="69"/>
      <c r="F372" s="70"/>
      <c r="G372" s="69"/>
      <c r="K372" s="71"/>
    </row>
    <row r="373">
      <c r="D373" s="69"/>
      <c r="E373" s="69"/>
      <c r="F373" s="70"/>
      <c r="G373" s="69"/>
      <c r="K373" s="71"/>
    </row>
    <row r="374">
      <c r="D374" s="69"/>
      <c r="E374" s="69"/>
      <c r="F374" s="70"/>
      <c r="G374" s="69"/>
      <c r="K374" s="71"/>
    </row>
    <row r="375">
      <c r="D375" s="69"/>
      <c r="E375" s="69"/>
      <c r="F375" s="70"/>
      <c r="G375" s="69"/>
      <c r="K375" s="71"/>
    </row>
    <row r="376">
      <c r="D376" s="69"/>
      <c r="E376" s="69"/>
      <c r="F376" s="70"/>
      <c r="G376" s="69"/>
      <c r="K376" s="71"/>
    </row>
    <row r="377">
      <c r="D377" s="69"/>
      <c r="E377" s="69"/>
      <c r="F377" s="70"/>
      <c r="G377" s="69"/>
      <c r="K377" s="71"/>
    </row>
    <row r="378">
      <c r="D378" s="69"/>
      <c r="E378" s="69"/>
      <c r="F378" s="70"/>
      <c r="G378" s="69"/>
      <c r="K378" s="71"/>
    </row>
    <row r="379">
      <c r="D379" s="69"/>
      <c r="E379" s="69"/>
      <c r="F379" s="70"/>
      <c r="G379" s="69"/>
      <c r="K379" s="71"/>
    </row>
    <row r="380">
      <c r="D380" s="69"/>
      <c r="E380" s="69"/>
      <c r="F380" s="70"/>
      <c r="G380" s="69"/>
      <c r="K380" s="71"/>
    </row>
    <row r="381">
      <c r="D381" s="69"/>
      <c r="E381" s="69"/>
      <c r="F381" s="70"/>
      <c r="G381" s="69"/>
      <c r="K381" s="71"/>
    </row>
    <row r="382">
      <c r="D382" s="69"/>
      <c r="E382" s="69"/>
      <c r="F382" s="70"/>
      <c r="G382" s="69"/>
      <c r="K382" s="71"/>
    </row>
    <row r="383">
      <c r="D383" s="69"/>
      <c r="E383" s="69"/>
      <c r="F383" s="70"/>
      <c r="G383" s="69"/>
      <c r="K383" s="71"/>
    </row>
    <row r="384">
      <c r="D384" s="69"/>
      <c r="E384" s="69"/>
      <c r="F384" s="70"/>
      <c r="G384" s="69"/>
      <c r="K384" s="71"/>
    </row>
    <row r="385">
      <c r="D385" s="69"/>
      <c r="E385" s="69"/>
      <c r="F385" s="70"/>
      <c r="G385" s="69"/>
      <c r="K385" s="71"/>
    </row>
    <row r="386">
      <c r="D386" s="69"/>
      <c r="E386" s="69"/>
      <c r="F386" s="70"/>
      <c r="G386" s="69"/>
      <c r="K386" s="71"/>
    </row>
    <row r="387">
      <c r="D387" s="69"/>
      <c r="E387" s="69"/>
      <c r="F387" s="70"/>
      <c r="G387" s="69"/>
      <c r="K387" s="71"/>
    </row>
    <row r="388">
      <c r="D388" s="69"/>
      <c r="E388" s="69"/>
      <c r="F388" s="70"/>
      <c r="G388" s="69"/>
      <c r="K388" s="71"/>
    </row>
    <row r="389">
      <c r="D389" s="69"/>
      <c r="E389" s="69"/>
      <c r="F389" s="70"/>
      <c r="G389" s="69"/>
      <c r="K389" s="71"/>
    </row>
    <row r="390">
      <c r="D390" s="69"/>
      <c r="E390" s="69"/>
      <c r="F390" s="70"/>
      <c r="G390" s="69"/>
      <c r="K390" s="71"/>
    </row>
    <row r="391">
      <c r="D391" s="69"/>
      <c r="E391" s="69"/>
      <c r="F391" s="70"/>
      <c r="G391" s="69"/>
      <c r="K391" s="71"/>
    </row>
    <row r="392">
      <c r="D392" s="69"/>
      <c r="E392" s="69"/>
      <c r="F392" s="70"/>
      <c r="G392" s="69"/>
      <c r="K392" s="71"/>
    </row>
    <row r="393">
      <c r="D393" s="69"/>
      <c r="E393" s="69"/>
      <c r="F393" s="70"/>
      <c r="G393" s="69"/>
      <c r="K393" s="71"/>
    </row>
    <row r="394">
      <c r="D394" s="69"/>
      <c r="E394" s="69"/>
      <c r="F394" s="70"/>
      <c r="G394" s="69"/>
      <c r="K394" s="71"/>
    </row>
    <row r="395">
      <c r="D395" s="69"/>
      <c r="E395" s="69"/>
      <c r="F395" s="70"/>
      <c r="G395" s="69"/>
      <c r="K395" s="71"/>
    </row>
    <row r="396">
      <c r="D396" s="69"/>
      <c r="E396" s="69"/>
      <c r="F396" s="70"/>
      <c r="G396" s="69"/>
      <c r="K396" s="71"/>
    </row>
    <row r="397">
      <c r="D397" s="69"/>
      <c r="E397" s="69"/>
      <c r="F397" s="70"/>
      <c r="G397" s="69"/>
      <c r="K397" s="71"/>
    </row>
    <row r="398">
      <c r="D398" s="69"/>
      <c r="E398" s="69"/>
      <c r="F398" s="70"/>
      <c r="G398" s="69"/>
      <c r="K398" s="71"/>
    </row>
    <row r="399">
      <c r="D399" s="69"/>
      <c r="E399" s="69"/>
      <c r="F399" s="70"/>
      <c r="G399" s="69"/>
      <c r="K399" s="71"/>
    </row>
    <row r="400">
      <c r="D400" s="69"/>
      <c r="E400" s="69"/>
      <c r="F400" s="70"/>
      <c r="G400" s="69"/>
      <c r="K400" s="71"/>
    </row>
    <row r="401">
      <c r="D401" s="69"/>
      <c r="E401" s="69"/>
      <c r="F401" s="70"/>
      <c r="G401" s="69"/>
      <c r="K401" s="71"/>
    </row>
    <row r="402">
      <c r="D402" s="69"/>
      <c r="E402" s="69"/>
      <c r="F402" s="70"/>
      <c r="G402" s="69"/>
      <c r="K402" s="71"/>
    </row>
    <row r="403">
      <c r="D403" s="69"/>
      <c r="E403" s="69"/>
      <c r="F403" s="70"/>
      <c r="G403" s="69"/>
      <c r="K403" s="71"/>
    </row>
    <row r="404">
      <c r="D404" s="69"/>
      <c r="E404" s="69"/>
      <c r="F404" s="70"/>
      <c r="G404" s="69"/>
      <c r="K404" s="71"/>
    </row>
    <row r="405">
      <c r="D405" s="69"/>
      <c r="E405" s="69"/>
      <c r="F405" s="70"/>
      <c r="G405" s="69"/>
      <c r="K405" s="71"/>
    </row>
    <row r="406">
      <c r="D406" s="69"/>
      <c r="E406" s="69"/>
      <c r="F406" s="70"/>
      <c r="G406" s="69"/>
      <c r="K406" s="71"/>
    </row>
    <row r="407">
      <c r="D407" s="69"/>
      <c r="E407" s="69"/>
      <c r="F407" s="70"/>
      <c r="G407" s="69"/>
      <c r="K407" s="71"/>
    </row>
    <row r="408">
      <c r="D408" s="69"/>
      <c r="E408" s="69"/>
      <c r="F408" s="70"/>
      <c r="G408" s="69"/>
      <c r="K408" s="71"/>
    </row>
    <row r="409">
      <c r="D409" s="69"/>
      <c r="E409" s="69"/>
      <c r="F409" s="70"/>
      <c r="G409" s="69"/>
      <c r="K409" s="71"/>
    </row>
    <row r="410">
      <c r="D410" s="69"/>
      <c r="E410" s="69"/>
      <c r="F410" s="70"/>
      <c r="G410" s="69"/>
      <c r="K410" s="71"/>
    </row>
    <row r="411">
      <c r="D411" s="69"/>
      <c r="E411" s="69"/>
      <c r="F411" s="70"/>
      <c r="G411" s="69"/>
      <c r="K411" s="71"/>
    </row>
    <row r="412">
      <c r="D412" s="69"/>
      <c r="E412" s="69"/>
      <c r="F412" s="70"/>
      <c r="G412" s="69"/>
      <c r="K412" s="71"/>
    </row>
    <row r="413">
      <c r="D413" s="69"/>
      <c r="E413" s="69"/>
      <c r="F413" s="70"/>
      <c r="G413" s="69"/>
      <c r="K413" s="71"/>
    </row>
    <row r="414">
      <c r="D414" s="69"/>
      <c r="E414" s="69"/>
      <c r="F414" s="70"/>
      <c r="G414" s="69"/>
      <c r="K414" s="71"/>
    </row>
    <row r="415">
      <c r="D415" s="69"/>
      <c r="E415" s="69"/>
      <c r="F415" s="70"/>
      <c r="G415" s="69"/>
      <c r="K415" s="71"/>
    </row>
    <row r="416">
      <c r="D416" s="69"/>
      <c r="E416" s="69"/>
      <c r="F416" s="70"/>
      <c r="G416" s="69"/>
      <c r="K416" s="71"/>
    </row>
    <row r="417">
      <c r="D417" s="69"/>
      <c r="E417" s="69"/>
      <c r="F417" s="70"/>
      <c r="G417" s="69"/>
      <c r="K417" s="71"/>
    </row>
    <row r="418">
      <c r="D418" s="69"/>
      <c r="E418" s="69"/>
      <c r="F418" s="70"/>
      <c r="G418" s="69"/>
      <c r="K418" s="71"/>
    </row>
    <row r="419">
      <c r="D419" s="69"/>
      <c r="E419" s="69"/>
      <c r="F419" s="70"/>
      <c r="G419" s="69"/>
      <c r="K419" s="71"/>
    </row>
    <row r="420">
      <c r="D420" s="69"/>
      <c r="E420" s="69"/>
      <c r="F420" s="70"/>
      <c r="G420" s="69"/>
      <c r="K420" s="71"/>
    </row>
    <row r="421">
      <c r="D421" s="69"/>
      <c r="E421" s="69"/>
      <c r="F421" s="70"/>
      <c r="G421" s="69"/>
      <c r="K421" s="71"/>
    </row>
    <row r="422">
      <c r="D422" s="69"/>
      <c r="E422" s="69"/>
      <c r="F422" s="70"/>
      <c r="G422" s="69"/>
      <c r="K422" s="71"/>
    </row>
    <row r="423">
      <c r="D423" s="69"/>
      <c r="E423" s="69"/>
      <c r="F423" s="70"/>
      <c r="G423" s="69"/>
      <c r="K423" s="71"/>
    </row>
    <row r="424">
      <c r="D424" s="69"/>
      <c r="E424" s="69"/>
      <c r="F424" s="70"/>
      <c r="G424" s="69"/>
      <c r="K424" s="71"/>
    </row>
    <row r="425">
      <c r="D425" s="69"/>
      <c r="E425" s="69"/>
      <c r="F425" s="70"/>
      <c r="G425" s="69"/>
      <c r="K425" s="71"/>
    </row>
    <row r="426">
      <c r="D426" s="69"/>
      <c r="E426" s="69"/>
      <c r="F426" s="70"/>
      <c r="G426" s="69"/>
      <c r="K426" s="71"/>
    </row>
    <row r="427">
      <c r="D427" s="69"/>
      <c r="E427" s="69"/>
      <c r="F427" s="70"/>
      <c r="G427" s="69"/>
      <c r="K427" s="71"/>
    </row>
    <row r="428">
      <c r="D428" s="69"/>
      <c r="E428" s="69"/>
      <c r="F428" s="70"/>
      <c r="G428" s="69"/>
      <c r="K428" s="71"/>
    </row>
    <row r="429">
      <c r="D429" s="69"/>
      <c r="E429" s="69"/>
      <c r="F429" s="70"/>
      <c r="G429" s="69"/>
      <c r="K429" s="71"/>
    </row>
    <row r="430">
      <c r="D430" s="69"/>
      <c r="E430" s="69"/>
      <c r="F430" s="70"/>
      <c r="G430" s="69"/>
      <c r="K430" s="71"/>
    </row>
    <row r="431">
      <c r="D431" s="69"/>
      <c r="E431" s="69"/>
      <c r="F431" s="70"/>
      <c r="G431" s="69"/>
      <c r="K431" s="71"/>
    </row>
    <row r="432">
      <c r="D432" s="69"/>
      <c r="E432" s="69"/>
      <c r="F432" s="70"/>
      <c r="G432" s="69"/>
      <c r="K432" s="71"/>
    </row>
    <row r="433">
      <c r="D433" s="69"/>
      <c r="E433" s="69"/>
      <c r="F433" s="70"/>
      <c r="G433" s="69"/>
      <c r="K433" s="71"/>
    </row>
    <row r="434">
      <c r="D434" s="69"/>
      <c r="E434" s="69"/>
      <c r="F434" s="70"/>
      <c r="G434" s="69"/>
      <c r="K434" s="71"/>
    </row>
    <row r="435">
      <c r="D435" s="69"/>
      <c r="E435" s="69"/>
      <c r="F435" s="70"/>
      <c r="G435" s="69"/>
      <c r="K435" s="71"/>
    </row>
    <row r="436">
      <c r="D436" s="69"/>
      <c r="E436" s="69"/>
      <c r="F436" s="70"/>
      <c r="G436" s="69"/>
      <c r="K436" s="71"/>
    </row>
    <row r="437">
      <c r="D437" s="69"/>
      <c r="E437" s="69"/>
      <c r="F437" s="70"/>
      <c r="G437" s="69"/>
      <c r="K437" s="71"/>
    </row>
    <row r="438">
      <c r="D438" s="69"/>
      <c r="E438" s="69"/>
      <c r="F438" s="70"/>
      <c r="G438" s="69"/>
      <c r="K438" s="71"/>
    </row>
    <row r="439">
      <c r="D439" s="69"/>
      <c r="E439" s="69"/>
      <c r="F439" s="70"/>
      <c r="G439" s="69"/>
      <c r="K439" s="71"/>
    </row>
    <row r="440">
      <c r="D440" s="69"/>
      <c r="E440" s="69"/>
      <c r="F440" s="70"/>
      <c r="G440" s="69"/>
      <c r="K440" s="71"/>
    </row>
    <row r="441">
      <c r="D441" s="69"/>
      <c r="E441" s="69"/>
      <c r="F441" s="70"/>
      <c r="G441" s="69"/>
      <c r="K441" s="71"/>
    </row>
    <row r="442">
      <c r="D442" s="69"/>
      <c r="E442" s="69"/>
      <c r="F442" s="70"/>
      <c r="G442" s="69"/>
      <c r="K442" s="71"/>
    </row>
    <row r="443">
      <c r="D443" s="69"/>
      <c r="E443" s="69"/>
      <c r="F443" s="70"/>
      <c r="G443" s="69"/>
      <c r="K443" s="71"/>
    </row>
    <row r="444">
      <c r="D444" s="69"/>
      <c r="E444" s="69"/>
      <c r="F444" s="70"/>
      <c r="G444" s="69"/>
      <c r="K444" s="71"/>
    </row>
    <row r="445">
      <c r="D445" s="69"/>
      <c r="E445" s="69"/>
      <c r="F445" s="70"/>
      <c r="G445" s="69"/>
      <c r="K445" s="71"/>
    </row>
    <row r="446">
      <c r="D446" s="69"/>
      <c r="E446" s="69"/>
      <c r="F446" s="70"/>
      <c r="G446" s="69"/>
      <c r="K446" s="71"/>
    </row>
    <row r="447">
      <c r="D447" s="69"/>
      <c r="E447" s="69"/>
      <c r="F447" s="70"/>
      <c r="G447" s="69"/>
      <c r="K447" s="71"/>
    </row>
    <row r="448">
      <c r="D448" s="69"/>
      <c r="E448" s="69"/>
      <c r="F448" s="70"/>
      <c r="G448" s="69"/>
      <c r="K448" s="71"/>
    </row>
    <row r="449">
      <c r="D449" s="69"/>
      <c r="E449" s="69"/>
      <c r="F449" s="70"/>
      <c r="G449" s="69"/>
      <c r="K449" s="71"/>
    </row>
    <row r="450">
      <c r="D450" s="69"/>
      <c r="E450" s="69"/>
      <c r="F450" s="70"/>
      <c r="G450" s="69"/>
      <c r="K450" s="71"/>
    </row>
    <row r="451">
      <c r="D451" s="69"/>
      <c r="E451" s="69"/>
      <c r="F451" s="70"/>
      <c r="G451" s="69"/>
      <c r="K451" s="71"/>
    </row>
    <row r="452">
      <c r="D452" s="69"/>
      <c r="E452" s="69"/>
      <c r="F452" s="70"/>
      <c r="G452" s="69"/>
      <c r="K452" s="71"/>
    </row>
    <row r="453">
      <c r="D453" s="69"/>
      <c r="E453" s="69"/>
      <c r="F453" s="70"/>
      <c r="G453" s="69"/>
      <c r="K453" s="71"/>
    </row>
    <row r="454">
      <c r="D454" s="69"/>
      <c r="E454" s="69"/>
      <c r="F454" s="70"/>
      <c r="G454" s="69"/>
      <c r="K454" s="71"/>
    </row>
    <row r="455">
      <c r="D455" s="69"/>
      <c r="E455" s="69"/>
      <c r="F455" s="70"/>
      <c r="G455" s="69"/>
      <c r="K455" s="71"/>
    </row>
    <row r="456">
      <c r="D456" s="69"/>
      <c r="E456" s="69"/>
      <c r="F456" s="70"/>
      <c r="G456" s="69"/>
      <c r="K456" s="71"/>
    </row>
    <row r="457">
      <c r="D457" s="69"/>
      <c r="E457" s="69"/>
      <c r="F457" s="70"/>
      <c r="G457" s="69"/>
      <c r="K457" s="71"/>
    </row>
    <row r="458">
      <c r="D458" s="69"/>
      <c r="E458" s="69"/>
      <c r="F458" s="70"/>
      <c r="G458" s="69"/>
      <c r="K458" s="71"/>
    </row>
    <row r="459">
      <c r="D459" s="69"/>
      <c r="E459" s="69"/>
      <c r="F459" s="70"/>
      <c r="G459" s="69"/>
      <c r="K459" s="71"/>
    </row>
    <row r="460">
      <c r="D460" s="69"/>
      <c r="E460" s="69"/>
      <c r="F460" s="70"/>
      <c r="G460" s="69"/>
      <c r="K460" s="71"/>
    </row>
    <row r="461">
      <c r="D461" s="69"/>
      <c r="E461" s="69"/>
      <c r="F461" s="70"/>
      <c r="G461" s="69"/>
      <c r="K461" s="71"/>
    </row>
    <row r="462">
      <c r="D462" s="69"/>
      <c r="E462" s="69"/>
      <c r="F462" s="70"/>
      <c r="G462" s="69"/>
      <c r="K462" s="71"/>
    </row>
    <row r="463">
      <c r="D463" s="69"/>
      <c r="E463" s="69"/>
      <c r="F463" s="70"/>
      <c r="G463" s="69"/>
      <c r="K463" s="71"/>
    </row>
    <row r="464">
      <c r="D464" s="69"/>
      <c r="E464" s="69"/>
      <c r="F464" s="70"/>
      <c r="G464" s="69"/>
      <c r="K464" s="71"/>
    </row>
    <row r="465">
      <c r="D465" s="69"/>
      <c r="E465" s="69"/>
      <c r="F465" s="70"/>
      <c r="G465" s="69"/>
      <c r="K465" s="71"/>
    </row>
    <row r="466">
      <c r="D466" s="69"/>
      <c r="E466" s="69"/>
      <c r="F466" s="70"/>
      <c r="G466" s="69"/>
      <c r="K466" s="71"/>
    </row>
    <row r="467">
      <c r="D467" s="69"/>
      <c r="E467" s="69"/>
      <c r="F467" s="70"/>
      <c r="G467" s="69"/>
      <c r="K467" s="71"/>
    </row>
    <row r="468">
      <c r="D468" s="69"/>
      <c r="E468" s="69"/>
      <c r="F468" s="70"/>
      <c r="G468" s="69"/>
      <c r="K468" s="71"/>
    </row>
    <row r="469">
      <c r="D469" s="69"/>
      <c r="E469" s="69"/>
      <c r="F469" s="70"/>
      <c r="G469" s="69"/>
      <c r="K469" s="71"/>
    </row>
    <row r="470">
      <c r="D470" s="69"/>
      <c r="E470" s="69"/>
      <c r="F470" s="70"/>
      <c r="G470" s="69"/>
      <c r="K470" s="71"/>
    </row>
    <row r="471">
      <c r="D471" s="69"/>
      <c r="E471" s="69"/>
      <c r="F471" s="70"/>
      <c r="G471" s="69"/>
      <c r="K471" s="71"/>
    </row>
    <row r="472">
      <c r="D472" s="69"/>
      <c r="E472" s="69"/>
      <c r="F472" s="70"/>
      <c r="G472" s="69"/>
      <c r="K472" s="71"/>
    </row>
    <row r="473">
      <c r="D473" s="69"/>
      <c r="E473" s="69"/>
      <c r="F473" s="70"/>
      <c r="G473" s="69"/>
      <c r="K473" s="71"/>
    </row>
    <row r="474">
      <c r="D474" s="69"/>
      <c r="E474" s="69"/>
      <c r="F474" s="70"/>
      <c r="G474" s="69"/>
      <c r="K474" s="71"/>
    </row>
    <row r="475">
      <c r="D475" s="69"/>
      <c r="E475" s="69"/>
      <c r="F475" s="70"/>
      <c r="G475" s="69"/>
      <c r="K475" s="71"/>
    </row>
    <row r="476">
      <c r="D476" s="69"/>
      <c r="E476" s="69"/>
      <c r="F476" s="70"/>
      <c r="G476" s="69"/>
      <c r="K476" s="71"/>
    </row>
    <row r="477">
      <c r="D477" s="69"/>
      <c r="E477" s="69"/>
      <c r="F477" s="70"/>
      <c r="G477" s="69"/>
      <c r="K477" s="71"/>
    </row>
    <row r="478">
      <c r="D478" s="69"/>
      <c r="E478" s="69"/>
      <c r="F478" s="70"/>
      <c r="G478" s="69"/>
      <c r="K478" s="71"/>
    </row>
    <row r="479">
      <c r="D479" s="69"/>
      <c r="E479" s="69"/>
      <c r="F479" s="70"/>
      <c r="G479" s="69"/>
      <c r="K479" s="71"/>
    </row>
    <row r="480">
      <c r="D480" s="69"/>
      <c r="E480" s="69"/>
      <c r="F480" s="70"/>
      <c r="G480" s="69"/>
      <c r="K480" s="71"/>
    </row>
    <row r="481">
      <c r="D481" s="69"/>
      <c r="E481" s="69"/>
      <c r="F481" s="70"/>
      <c r="G481" s="69"/>
      <c r="K481" s="71"/>
    </row>
    <row r="482">
      <c r="D482" s="69"/>
      <c r="E482" s="69"/>
      <c r="F482" s="70"/>
      <c r="G482" s="69"/>
      <c r="K482" s="71"/>
    </row>
    <row r="483">
      <c r="D483" s="69"/>
      <c r="E483" s="69"/>
      <c r="F483" s="70"/>
      <c r="G483" s="69"/>
      <c r="K483" s="71"/>
    </row>
    <row r="484">
      <c r="D484" s="69"/>
      <c r="E484" s="69"/>
      <c r="F484" s="70"/>
      <c r="G484" s="69"/>
      <c r="K484" s="71"/>
    </row>
    <row r="485">
      <c r="D485" s="69"/>
      <c r="E485" s="69"/>
      <c r="F485" s="70"/>
      <c r="G485" s="69"/>
      <c r="K485" s="71"/>
    </row>
    <row r="486">
      <c r="D486" s="69"/>
      <c r="E486" s="69"/>
      <c r="F486" s="70"/>
      <c r="G486" s="69"/>
      <c r="K486" s="71"/>
    </row>
    <row r="487">
      <c r="D487" s="69"/>
      <c r="E487" s="69"/>
      <c r="F487" s="70"/>
      <c r="G487" s="69"/>
      <c r="K487" s="71"/>
    </row>
    <row r="488">
      <c r="D488" s="69"/>
      <c r="E488" s="69"/>
      <c r="F488" s="70"/>
      <c r="G488" s="69"/>
      <c r="K488" s="71"/>
    </row>
    <row r="489">
      <c r="D489" s="69"/>
      <c r="E489" s="69"/>
      <c r="F489" s="70"/>
      <c r="G489" s="69"/>
      <c r="K489" s="71"/>
    </row>
    <row r="490">
      <c r="D490" s="69"/>
      <c r="E490" s="69"/>
      <c r="F490" s="70"/>
      <c r="G490" s="69"/>
      <c r="K490" s="71"/>
    </row>
    <row r="491">
      <c r="D491" s="69"/>
      <c r="E491" s="69"/>
      <c r="F491" s="70"/>
      <c r="G491" s="69"/>
      <c r="K491" s="71"/>
    </row>
    <row r="492">
      <c r="D492" s="69"/>
      <c r="E492" s="69"/>
      <c r="F492" s="70"/>
      <c r="G492" s="69"/>
      <c r="K492" s="71"/>
    </row>
    <row r="493">
      <c r="D493" s="69"/>
      <c r="E493" s="69"/>
      <c r="F493" s="70"/>
      <c r="G493" s="69"/>
      <c r="K493" s="71"/>
    </row>
    <row r="494">
      <c r="D494" s="69"/>
      <c r="E494" s="69"/>
      <c r="F494" s="70"/>
      <c r="G494" s="69"/>
      <c r="K494" s="71"/>
    </row>
    <row r="495">
      <c r="D495" s="69"/>
      <c r="E495" s="69"/>
      <c r="F495" s="70"/>
      <c r="G495" s="69"/>
      <c r="K495" s="71"/>
    </row>
    <row r="496">
      <c r="D496" s="69"/>
      <c r="E496" s="69"/>
      <c r="F496" s="70"/>
      <c r="G496" s="69"/>
      <c r="K496" s="71"/>
    </row>
    <row r="497">
      <c r="D497" s="69"/>
      <c r="E497" s="69"/>
      <c r="F497" s="70"/>
      <c r="G497" s="69"/>
      <c r="K497" s="71"/>
    </row>
    <row r="498">
      <c r="D498" s="69"/>
      <c r="E498" s="69"/>
      <c r="F498" s="70"/>
      <c r="G498" s="69"/>
      <c r="K498" s="71"/>
    </row>
    <row r="499">
      <c r="D499" s="69"/>
      <c r="E499" s="69"/>
      <c r="F499" s="70"/>
      <c r="G499" s="69"/>
      <c r="K499" s="71"/>
    </row>
    <row r="500">
      <c r="D500" s="69"/>
      <c r="E500" s="69"/>
      <c r="F500" s="70"/>
      <c r="G500" s="69"/>
      <c r="K500" s="71"/>
    </row>
    <row r="501">
      <c r="D501" s="69"/>
      <c r="E501" s="69"/>
      <c r="F501" s="70"/>
      <c r="G501" s="69"/>
      <c r="K501" s="71"/>
    </row>
    <row r="502">
      <c r="D502" s="69"/>
      <c r="E502" s="69"/>
      <c r="F502" s="70"/>
      <c r="G502" s="69"/>
      <c r="K502" s="71"/>
    </row>
    <row r="503">
      <c r="D503" s="69"/>
      <c r="E503" s="69"/>
      <c r="F503" s="70"/>
      <c r="G503" s="69"/>
      <c r="K503" s="71"/>
    </row>
    <row r="504">
      <c r="D504" s="69"/>
      <c r="E504" s="69"/>
      <c r="F504" s="70"/>
      <c r="G504" s="69"/>
      <c r="K504" s="71"/>
    </row>
    <row r="505">
      <c r="D505" s="69"/>
      <c r="E505" s="69"/>
      <c r="F505" s="70"/>
      <c r="G505" s="69"/>
      <c r="K505" s="71"/>
    </row>
    <row r="506">
      <c r="D506" s="69"/>
      <c r="E506" s="69"/>
      <c r="F506" s="70"/>
      <c r="G506" s="69"/>
      <c r="K506" s="71"/>
    </row>
    <row r="507">
      <c r="D507" s="69"/>
      <c r="E507" s="69"/>
      <c r="F507" s="70"/>
      <c r="G507" s="69"/>
      <c r="K507" s="71"/>
    </row>
    <row r="508">
      <c r="D508" s="69"/>
      <c r="E508" s="69"/>
      <c r="F508" s="70"/>
      <c r="G508" s="69"/>
      <c r="K508" s="71"/>
    </row>
    <row r="509">
      <c r="D509" s="69"/>
      <c r="E509" s="69"/>
      <c r="F509" s="70"/>
      <c r="G509" s="69"/>
      <c r="K509" s="71"/>
    </row>
    <row r="510">
      <c r="D510" s="69"/>
      <c r="E510" s="69"/>
      <c r="F510" s="70"/>
      <c r="G510" s="69"/>
      <c r="K510" s="71"/>
    </row>
    <row r="511">
      <c r="D511" s="69"/>
      <c r="E511" s="69"/>
      <c r="F511" s="70"/>
      <c r="G511" s="69"/>
      <c r="K511" s="71"/>
    </row>
    <row r="512">
      <c r="D512" s="69"/>
      <c r="E512" s="69"/>
      <c r="F512" s="70"/>
      <c r="G512" s="69"/>
      <c r="K512" s="71"/>
    </row>
    <row r="513">
      <c r="D513" s="69"/>
      <c r="E513" s="69"/>
      <c r="F513" s="70"/>
      <c r="G513" s="69"/>
      <c r="K513" s="71"/>
    </row>
    <row r="514">
      <c r="D514" s="69"/>
      <c r="E514" s="69"/>
      <c r="F514" s="70"/>
      <c r="G514" s="69"/>
      <c r="K514" s="71"/>
    </row>
    <row r="515">
      <c r="D515" s="69"/>
      <c r="E515" s="69"/>
      <c r="F515" s="70"/>
      <c r="G515" s="69"/>
      <c r="K515" s="71"/>
    </row>
    <row r="516">
      <c r="D516" s="69"/>
      <c r="E516" s="69"/>
      <c r="F516" s="70"/>
      <c r="G516" s="69"/>
      <c r="K516" s="71"/>
    </row>
    <row r="517">
      <c r="D517" s="69"/>
      <c r="E517" s="69"/>
      <c r="F517" s="70"/>
      <c r="G517" s="69"/>
      <c r="K517" s="71"/>
    </row>
    <row r="518">
      <c r="D518" s="69"/>
      <c r="E518" s="69"/>
      <c r="F518" s="70"/>
      <c r="G518" s="69"/>
      <c r="K518" s="71"/>
    </row>
    <row r="519">
      <c r="D519" s="69"/>
      <c r="E519" s="69"/>
      <c r="F519" s="70"/>
      <c r="G519" s="69"/>
      <c r="K519" s="71"/>
    </row>
    <row r="520">
      <c r="D520" s="69"/>
      <c r="E520" s="69"/>
      <c r="F520" s="70"/>
      <c r="G520" s="69"/>
      <c r="K520" s="71"/>
    </row>
    <row r="521">
      <c r="D521" s="69"/>
      <c r="E521" s="69"/>
      <c r="F521" s="70"/>
      <c r="G521" s="69"/>
      <c r="K521" s="71"/>
    </row>
    <row r="522">
      <c r="D522" s="69"/>
      <c r="E522" s="69"/>
      <c r="F522" s="70"/>
      <c r="G522" s="69"/>
      <c r="K522" s="71"/>
    </row>
    <row r="523">
      <c r="D523" s="69"/>
      <c r="E523" s="69"/>
      <c r="F523" s="70"/>
      <c r="G523" s="69"/>
      <c r="K523" s="71"/>
    </row>
    <row r="524">
      <c r="D524" s="69"/>
      <c r="E524" s="69"/>
      <c r="F524" s="70"/>
      <c r="G524" s="69"/>
      <c r="K524" s="71"/>
    </row>
    <row r="525">
      <c r="D525" s="69"/>
      <c r="E525" s="69"/>
      <c r="F525" s="70"/>
      <c r="G525" s="69"/>
      <c r="K525" s="71"/>
    </row>
    <row r="526">
      <c r="D526" s="69"/>
      <c r="E526" s="69"/>
      <c r="F526" s="70"/>
      <c r="G526" s="69"/>
      <c r="K526" s="71"/>
    </row>
    <row r="527">
      <c r="D527" s="69"/>
      <c r="E527" s="69"/>
      <c r="F527" s="70"/>
      <c r="G527" s="69"/>
      <c r="K527" s="71"/>
    </row>
    <row r="528">
      <c r="D528" s="69"/>
      <c r="E528" s="69"/>
      <c r="F528" s="70"/>
      <c r="G528" s="69"/>
      <c r="K528" s="71"/>
    </row>
    <row r="529">
      <c r="D529" s="69"/>
      <c r="E529" s="69"/>
      <c r="F529" s="70"/>
      <c r="G529" s="69"/>
      <c r="K529" s="71"/>
    </row>
    <row r="530">
      <c r="D530" s="69"/>
      <c r="E530" s="69"/>
      <c r="F530" s="70"/>
      <c r="G530" s="69"/>
      <c r="K530" s="71"/>
    </row>
    <row r="531">
      <c r="D531" s="69"/>
      <c r="E531" s="69"/>
      <c r="F531" s="70"/>
      <c r="G531" s="69"/>
      <c r="K531" s="71"/>
    </row>
    <row r="532">
      <c r="D532" s="69"/>
      <c r="E532" s="69"/>
      <c r="F532" s="70"/>
      <c r="G532" s="69"/>
      <c r="K532" s="71"/>
    </row>
    <row r="533">
      <c r="D533" s="69"/>
      <c r="E533" s="69"/>
      <c r="F533" s="70"/>
      <c r="G533" s="69"/>
      <c r="K533" s="71"/>
    </row>
    <row r="534">
      <c r="D534" s="69"/>
      <c r="E534" s="69"/>
      <c r="F534" s="70"/>
      <c r="G534" s="69"/>
      <c r="K534" s="71"/>
    </row>
    <row r="535">
      <c r="D535" s="69"/>
      <c r="E535" s="69"/>
      <c r="F535" s="70"/>
      <c r="G535" s="69"/>
      <c r="K535" s="71"/>
    </row>
    <row r="536">
      <c r="D536" s="69"/>
      <c r="E536" s="69"/>
      <c r="F536" s="70"/>
      <c r="G536" s="69"/>
      <c r="K536" s="71"/>
    </row>
    <row r="537">
      <c r="D537" s="69"/>
      <c r="E537" s="69"/>
      <c r="F537" s="70"/>
      <c r="G537" s="69"/>
      <c r="K537" s="71"/>
    </row>
    <row r="538">
      <c r="D538" s="69"/>
      <c r="E538" s="69"/>
      <c r="F538" s="70"/>
      <c r="G538" s="69"/>
      <c r="K538" s="71"/>
    </row>
    <row r="539">
      <c r="D539" s="69"/>
      <c r="E539" s="69"/>
      <c r="F539" s="70"/>
      <c r="G539" s="69"/>
      <c r="K539" s="71"/>
    </row>
    <row r="540">
      <c r="D540" s="69"/>
      <c r="E540" s="69"/>
      <c r="F540" s="70"/>
      <c r="G540" s="69"/>
      <c r="K540" s="71"/>
    </row>
    <row r="541">
      <c r="D541" s="69"/>
      <c r="E541" s="69"/>
      <c r="F541" s="70"/>
      <c r="G541" s="69"/>
      <c r="K541" s="71"/>
    </row>
    <row r="542">
      <c r="D542" s="69"/>
      <c r="E542" s="69"/>
      <c r="F542" s="70"/>
      <c r="G542" s="69"/>
      <c r="K542" s="71"/>
    </row>
    <row r="543">
      <c r="D543" s="69"/>
      <c r="E543" s="69"/>
      <c r="F543" s="70"/>
      <c r="G543" s="69"/>
      <c r="K543" s="71"/>
    </row>
    <row r="544">
      <c r="D544" s="69"/>
      <c r="E544" s="69"/>
      <c r="F544" s="70"/>
      <c r="G544" s="69"/>
      <c r="K544" s="71"/>
    </row>
    <row r="545">
      <c r="D545" s="69"/>
      <c r="E545" s="69"/>
      <c r="F545" s="70"/>
      <c r="G545" s="69"/>
      <c r="K545" s="71"/>
    </row>
    <row r="546">
      <c r="D546" s="69"/>
      <c r="E546" s="69"/>
      <c r="F546" s="70"/>
      <c r="G546" s="69"/>
      <c r="K546" s="71"/>
    </row>
    <row r="547">
      <c r="D547" s="69"/>
      <c r="E547" s="69"/>
      <c r="F547" s="70"/>
      <c r="G547" s="69"/>
      <c r="K547" s="71"/>
    </row>
    <row r="548">
      <c r="D548" s="69"/>
      <c r="E548" s="69"/>
      <c r="F548" s="70"/>
      <c r="G548" s="69"/>
      <c r="K548" s="71"/>
    </row>
    <row r="549">
      <c r="D549" s="69"/>
      <c r="E549" s="69"/>
      <c r="F549" s="70"/>
      <c r="G549" s="69"/>
      <c r="K549" s="71"/>
    </row>
    <row r="550">
      <c r="D550" s="69"/>
      <c r="E550" s="69"/>
      <c r="F550" s="70"/>
      <c r="G550" s="69"/>
      <c r="K550" s="71"/>
    </row>
    <row r="551">
      <c r="D551" s="69"/>
      <c r="E551" s="69"/>
      <c r="F551" s="70"/>
      <c r="G551" s="69"/>
      <c r="K551" s="71"/>
    </row>
    <row r="552">
      <c r="D552" s="69"/>
      <c r="E552" s="69"/>
      <c r="F552" s="70"/>
      <c r="G552" s="69"/>
      <c r="K552" s="71"/>
    </row>
    <row r="553">
      <c r="D553" s="69"/>
      <c r="E553" s="69"/>
      <c r="F553" s="70"/>
      <c r="G553" s="69"/>
      <c r="K553" s="71"/>
    </row>
    <row r="554">
      <c r="D554" s="69"/>
      <c r="E554" s="69"/>
      <c r="F554" s="70"/>
      <c r="G554" s="69"/>
      <c r="K554" s="71"/>
    </row>
    <row r="555">
      <c r="D555" s="69"/>
      <c r="E555" s="69"/>
      <c r="F555" s="70"/>
      <c r="G555" s="69"/>
      <c r="K555" s="71"/>
    </row>
    <row r="556">
      <c r="D556" s="69"/>
      <c r="E556" s="69"/>
      <c r="F556" s="70"/>
      <c r="G556" s="69"/>
      <c r="K556" s="71"/>
    </row>
    <row r="557">
      <c r="D557" s="69"/>
      <c r="E557" s="69"/>
      <c r="F557" s="70"/>
      <c r="G557" s="69"/>
      <c r="K557" s="71"/>
    </row>
    <row r="558">
      <c r="D558" s="69"/>
      <c r="E558" s="69"/>
      <c r="F558" s="70"/>
      <c r="G558" s="69"/>
      <c r="K558" s="71"/>
    </row>
    <row r="559">
      <c r="D559" s="69"/>
      <c r="E559" s="69"/>
      <c r="F559" s="70"/>
      <c r="G559" s="69"/>
      <c r="K559" s="71"/>
    </row>
    <row r="560">
      <c r="D560" s="69"/>
      <c r="E560" s="69"/>
      <c r="F560" s="70"/>
      <c r="G560" s="69"/>
      <c r="K560" s="71"/>
    </row>
    <row r="561">
      <c r="D561" s="69"/>
      <c r="E561" s="69"/>
      <c r="F561" s="70"/>
      <c r="G561" s="69"/>
      <c r="K561" s="71"/>
    </row>
    <row r="562">
      <c r="D562" s="69"/>
      <c r="E562" s="69"/>
      <c r="F562" s="70"/>
      <c r="G562" s="69"/>
      <c r="K562" s="71"/>
    </row>
    <row r="563">
      <c r="D563" s="69"/>
      <c r="E563" s="69"/>
      <c r="F563" s="70"/>
      <c r="G563" s="69"/>
      <c r="K563" s="71"/>
    </row>
    <row r="564">
      <c r="D564" s="69"/>
      <c r="E564" s="69"/>
      <c r="F564" s="70"/>
      <c r="G564" s="69"/>
      <c r="K564" s="71"/>
    </row>
    <row r="565">
      <c r="D565" s="69"/>
      <c r="E565" s="69"/>
      <c r="F565" s="70"/>
      <c r="G565" s="69"/>
      <c r="K565" s="71"/>
    </row>
    <row r="566">
      <c r="D566" s="69"/>
      <c r="E566" s="69"/>
      <c r="F566" s="70"/>
      <c r="G566" s="69"/>
      <c r="K566" s="71"/>
    </row>
    <row r="567">
      <c r="D567" s="69"/>
      <c r="E567" s="69"/>
      <c r="F567" s="70"/>
      <c r="G567" s="69"/>
      <c r="K567" s="71"/>
    </row>
    <row r="568">
      <c r="D568" s="69"/>
      <c r="E568" s="69"/>
      <c r="F568" s="70"/>
      <c r="G568" s="69"/>
      <c r="K568" s="71"/>
    </row>
    <row r="569">
      <c r="D569" s="69"/>
      <c r="E569" s="69"/>
      <c r="F569" s="70"/>
      <c r="G569" s="69"/>
      <c r="K569" s="71"/>
    </row>
    <row r="570">
      <c r="D570" s="69"/>
      <c r="E570" s="69"/>
      <c r="F570" s="70"/>
      <c r="G570" s="69"/>
      <c r="K570" s="71"/>
    </row>
    <row r="571">
      <c r="D571" s="69"/>
      <c r="E571" s="69"/>
      <c r="F571" s="70"/>
      <c r="G571" s="69"/>
      <c r="K571" s="71"/>
    </row>
    <row r="572">
      <c r="D572" s="69"/>
      <c r="E572" s="69"/>
      <c r="F572" s="70"/>
      <c r="G572" s="69"/>
      <c r="K572" s="71"/>
    </row>
    <row r="573">
      <c r="D573" s="69"/>
      <c r="E573" s="69"/>
      <c r="F573" s="70"/>
      <c r="G573" s="69"/>
      <c r="K573" s="71"/>
    </row>
    <row r="574">
      <c r="D574" s="69"/>
      <c r="E574" s="69"/>
      <c r="F574" s="70"/>
      <c r="G574" s="69"/>
      <c r="K574" s="71"/>
    </row>
    <row r="575">
      <c r="D575" s="69"/>
      <c r="E575" s="69"/>
      <c r="F575" s="70"/>
      <c r="G575" s="69"/>
      <c r="K575" s="71"/>
    </row>
    <row r="576">
      <c r="D576" s="69"/>
      <c r="E576" s="69"/>
      <c r="F576" s="70"/>
      <c r="G576" s="69"/>
      <c r="K576" s="71"/>
    </row>
    <row r="577">
      <c r="D577" s="69"/>
      <c r="E577" s="69"/>
      <c r="F577" s="70"/>
      <c r="G577" s="69"/>
      <c r="K577" s="71"/>
    </row>
    <row r="578">
      <c r="D578" s="69"/>
      <c r="E578" s="69"/>
      <c r="F578" s="70"/>
      <c r="G578" s="69"/>
      <c r="K578" s="71"/>
    </row>
    <row r="579">
      <c r="D579" s="69"/>
      <c r="E579" s="69"/>
      <c r="F579" s="70"/>
      <c r="G579" s="69"/>
      <c r="K579" s="71"/>
    </row>
    <row r="580">
      <c r="D580" s="69"/>
      <c r="E580" s="69"/>
      <c r="F580" s="70"/>
      <c r="G580" s="69"/>
      <c r="K580" s="71"/>
    </row>
    <row r="581">
      <c r="D581" s="69"/>
      <c r="E581" s="69"/>
      <c r="F581" s="70"/>
      <c r="G581" s="69"/>
      <c r="K581" s="71"/>
    </row>
    <row r="582">
      <c r="D582" s="69"/>
      <c r="E582" s="69"/>
      <c r="F582" s="70"/>
      <c r="G582" s="69"/>
      <c r="K582" s="71"/>
    </row>
    <row r="583">
      <c r="D583" s="69"/>
      <c r="E583" s="69"/>
      <c r="F583" s="70"/>
      <c r="G583" s="69"/>
      <c r="K583" s="71"/>
    </row>
    <row r="584">
      <c r="D584" s="69"/>
      <c r="E584" s="69"/>
      <c r="F584" s="70"/>
      <c r="G584" s="69"/>
      <c r="K584" s="71"/>
    </row>
    <row r="585">
      <c r="D585" s="69"/>
      <c r="E585" s="69"/>
      <c r="F585" s="70"/>
      <c r="G585" s="69"/>
      <c r="K585" s="71"/>
    </row>
    <row r="586">
      <c r="D586" s="69"/>
      <c r="E586" s="69"/>
      <c r="F586" s="70"/>
      <c r="G586" s="69"/>
      <c r="K586" s="71"/>
    </row>
    <row r="587">
      <c r="D587" s="69"/>
      <c r="E587" s="69"/>
      <c r="F587" s="70"/>
      <c r="G587" s="69"/>
      <c r="K587" s="71"/>
    </row>
    <row r="588">
      <c r="D588" s="69"/>
      <c r="E588" s="69"/>
      <c r="F588" s="70"/>
      <c r="G588" s="69"/>
      <c r="K588" s="71"/>
    </row>
    <row r="589">
      <c r="D589" s="69"/>
      <c r="E589" s="69"/>
      <c r="F589" s="70"/>
      <c r="G589" s="69"/>
      <c r="K589" s="71"/>
    </row>
    <row r="590">
      <c r="D590" s="69"/>
      <c r="E590" s="69"/>
      <c r="F590" s="70"/>
      <c r="G590" s="69"/>
      <c r="K590" s="71"/>
    </row>
    <row r="591">
      <c r="D591" s="69"/>
      <c r="E591" s="69"/>
      <c r="F591" s="70"/>
      <c r="G591" s="69"/>
      <c r="K591" s="71"/>
    </row>
    <row r="592">
      <c r="D592" s="69"/>
      <c r="E592" s="69"/>
      <c r="F592" s="70"/>
      <c r="G592" s="69"/>
      <c r="K592" s="71"/>
    </row>
    <row r="593">
      <c r="D593" s="69"/>
      <c r="E593" s="69"/>
      <c r="F593" s="70"/>
      <c r="G593" s="69"/>
      <c r="K593" s="71"/>
    </row>
    <row r="594">
      <c r="D594" s="69"/>
      <c r="E594" s="69"/>
      <c r="F594" s="70"/>
      <c r="G594" s="69"/>
      <c r="K594" s="71"/>
    </row>
    <row r="595">
      <c r="D595" s="69"/>
      <c r="E595" s="69"/>
      <c r="F595" s="70"/>
      <c r="G595" s="69"/>
      <c r="K595" s="71"/>
    </row>
    <row r="596">
      <c r="D596" s="69"/>
      <c r="E596" s="69"/>
      <c r="F596" s="70"/>
      <c r="G596" s="69"/>
      <c r="K596" s="71"/>
    </row>
    <row r="597">
      <c r="D597" s="69"/>
      <c r="E597" s="69"/>
      <c r="F597" s="70"/>
      <c r="G597" s="69"/>
      <c r="K597" s="71"/>
    </row>
    <row r="598">
      <c r="D598" s="69"/>
      <c r="E598" s="69"/>
      <c r="F598" s="70"/>
      <c r="G598" s="69"/>
      <c r="K598" s="71"/>
    </row>
    <row r="599">
      <c r="D599" s="69"/>
      <c r="E599" s="69"/>
      <c r="F599" s="70"/>
      <c r="G599" s="69"/>
      <c r="K599" s="71"/>
    </row>
    <row r="600">
      <c r="D600" s="69"/>
      <c r="E600" s="69"/>
      <c r="F600" s="70"/>
      <c r="G600" s="69"/>
      <c r="K600" s="71"/>
    </row>
    <row r="601">
      <c r="D601" s="69"/>
      <c r="E601" s="69"/>
      <c r="F601" s="70"/>
      <c r="G601" s="69"/>
      <c r="K601" s="71"/>
    </row>
    <row r="602">
      <c r="D602" s="69"/>
      <c r="E602" s="69"/>
      <c r="F602" s="70"/>
      <c r="G602" s="69"/>
      <c r="K602" s="71"/>
    </row>
    <row r="603">
      <c r="D603" s="69"/>
      <c r="E603" s="69"/>
      <c r="F603" s="70"/>
      <c r="G603" s="69"/>
      <c r="K603" s="71"/>
    </row>
    <row r="604">
      <c r="D604" s="69"/>
      <c r="E604" s="69"/>
      <c r="F604" s="70"/>
      <c r="G604" s="69"/>
      <c r="K604" s="71"/>
    </row>
    <row r="605">
      <c r="D605" s="69"/>
      <c r="E605" s="69"/>
      <c r="F605" s="70"/>
      <c r="G605" s="69"/>
      <c r="K605" s="71"/>
    </row>
    <row r="606">
      <c r="D606" s="69"/>
      <c r="E606" s="69"/>
      <c r="F606" s="70"/>
      <c r="G606" s="69"/>
      <c r="K606" s="71"/>
    </row>
    <row r="607">
      <c r="D607" s="69"/>
      <c r="E607" s="69"/>
      <c r="F607" s="70"/>
      <c r="G607" s="69"/>
      <c r="K607" s="71"/>
    </row>
    <row r="608">
      <c r="D608" s="69"/>
      <c r="E608" s="69"/>
      <c r="F608" s="70"/>
      <c r="G608" s="69"/>
      <c r="K608" s="71"/>
    </row>
    <row r="609">
      <c r="D609" s="69"/>
      <c r="E609" s="69"/>
      <c r="F609" s="70"/>
      <c r="G609" s="69"/>
      <c r="K609" s="71"/>
    </row>
    <row r="610">
      <c r="D610" s="69"/>
      <c r="E610" s="69"/>
      <c r="F610" s="70"/>
      <c r="G610" s="69"/>
      <c r="K610" s="71"/>
    </row>
    <row r="611">
      <c r="D611" s="69"/>
      <c r="E611" s="69"/>
      <c r="F611" s="70"/>
      <c r="G611" s="69"/>
      <c r="K611" s="71"/>
    </row>
    <row r="612">
      <c r="D612" s="69"/>
      <c r="E612" s="69"/>
      <c r="F612" s="70"/>
      <c r="G612" s="69"/>
      <c r="K612" s="71"/>
    </row>
    <row r="613">
      <c r="D613" s="69"/>
      <c r="E613" s="69"/>
      <c r="F613" s="70"/>
      <c r="G613" s="69"/>
      <c r="K613" s="71"/>
    </row>
    <row r="614">
      <c r="D614" s="69"/>
      <c r="E614" s="69"/>
      <c r="F614" s="70"/>
      <c r="G614" s="69"/>
      <c r="K614" s="71"/>
    </row>
    <row r="615">
      <c r="D615" s="69"/>
      <c r="E615" s="69"/>
      <c r="F615" s="70"/>
      <c r="G615" s="69"/>
      <c r="K615" s="71"/>
    </row>
    <row r="616">
      <c r="D616" s="69"/>
      <c r="E616" s="69"/>
      <c r="F616" s="70"/>
      <c r="G616" s="69"/>
      <c r="K616" s="71"/>
    </row>
    <row r="617">
      <c r="D617" s="69"/>
      <c r="E617" s="69"/>
      <c r="F617" s="70"/>
      <c r="G617" s="69"/>
      <c r="K617" s="71"/>
    </row>
    <row r="618">
      <c r="D618" s="69"/>
      <c r="E618" s="69"/>
      <c r="F618" s="70"/>
      <c r="G618" s="69"/>
      <c r="K618" s="71"/>
    </row>
    <row r="619">
      <c r="D619" s="69"/>
      <c r="E619" s="69"/>
      <c r="F619" s="70"/>
      <c r="G619" s="69"/>
      <c r="K619" s="71"/>
    </row>
    <row r="620">
      <c r="D620" s="69"/>
      <c r="E620" s="69"/>
      <c r="F620" s="70"/>
      <c r="G620" s="69"/>
      <c r="K620" s="71"/>
    </row>
    <row r="621">
      <c r="D621" s="69"/>
      <c r="E621" s="69"/>
      <c r="F621" s="70"/>
      <c r="G621" s="69"/>
      <c r="K621" s="71"/>
    </row>
    <row r="622">
      <c r="D622" s="69"/>
      <c r="E622" s="69"/>
      <c r="F622" s="70"/>
      <c r="G622" s="69"/>
      <c r="K622" s="71"/>
    </row>
    <row r="623">
      <c r="D623" s="69"/>
      <c r="E623" s="69"/>
      <c r="F623" s="70"/>
      <c r="G623" s="69"/>
      <c r="K623" s="71"/>
    </row>
    <row r="624">
      <c r="D624" s="69"/>
      <c r="E624" s="69"/>
      <c r="F624" s="70"/>
      <c r="G624" s="69"/>
      <c r="K624" s="71"/>
    </row>
    <row r="625">
      <c r="D625" s="69"/>
      <c r="E625" s="69"/>
      <c r="F625" s="70"/>
      <c r="G625" s="69"/>
      <c r="K625" s="71"/>
    </row>
    <row r="626">
      <c r="D626" s="69"/>
      <c r="E626" s="69"/>
      <c r="F626" s="70"/>
      <c r="G626" s="69"/>
      <c r="K626" s="71"/>
    </row>
    <row r="627">
      <c r="D627" s="69"/>
      <c r="E627" s="69"/>
      <c r="F627" s="70"/>
      <c r="G627" s="69"/>
      <c r="K627" s="71"/>
    </row>
    <row r="628">
      <c r="D628" s="69"/>
      <c r="E628" s="69"/>
      <c r="F628" s="70"/>
      <c r="G628" s="69"/>
      <c r="K628" s="71"/>
    </row>
    <row r="629">
      <c r="D629" s="69"/>
      <c r="E629" s="69"/>
      <c r="F629" s="70"/>
      <c r="G629" s="69"/>
      <c r="K629" s="71"/>
    </row>
    <row r="630">
      <c r="D630" s="69"/>
      <c r="E630" s="69"/>
      <c r="F630" s="70"/>
      <c r="G630" s="69"/>
      <c r="K630" s="71"/>
    </row>
    <row r="631">
      <c r="D631" s="69"/>
      <c r="E631" s="69"/>
      <c r="F631" s="70"/>
      <c r="G631" s="69"/>
      <c r="K631" s="71"/>
    </row>
    <row r="632">
      <c r="D632" s="69"/>
      <c r="E632" s="69"/>
      <c r="F632" s="70"/>
      <c r="G632" s="69"/>
      <c r="K632" s="71"/>
    </row>
    <row r="633">
      <c r="D633" s="69"/>
      <c r="E633" s="69"/>
      <c r="F633" s="70"/>
      <c r="G633" s="69"/>
      <c r="K633" s="71"/>
    </row>
    <row r="634">
      <c r="D634" s="69"/>
      <c r="E634" s="69"/>
      <c r="F634" s="70"/>
      <c r="G634" s="69"/>
      <c r="K634" s="71"/>
    </row>
    <row r="635">
      <c r="D635" s="69"/>
      <c r="E635" s="69"/>
      <c r="F635" s="70"/>
      <c r="G635" s="69"/>
      <c r="K635" s="71"/>
    </row>
    <row r="636">
      <c r="D636" s="69"/>
      <c r="E636" s="69"/>
      <c r="F636" s="70"/>
      <c r="G636" s="69"/>
      <c r="K636" s="71"/>
    </row>
    <row r="637">
      <c r="D637" s="69"/>
      <c r="E637" s="69"/>
      <c r="F637" s="70"/>
      <c r="G637" s="69"/>
      <c r="K637" s="71"/>
    </row>
    <row r="638">
      <c r="D638" s="69"/>
      <c r="E638" s="69"/>
      <c r="F638" s="70"/>
      <c r="G638" s="69"/>
      <c r="K638" s="71"/>
    </row>
    <row r="639">
      <c r="D639" s="69"/>
      <c r="E639" s="69"/>
      <c r="F639" s="70"/>
      <c r="G639" s="69"/>
      <c r="K639" s="71"/>
    </row>
    <row r="640">
      <c r="D640" s="69"/>
      <c r="E640" s="69"/>
      <c r="F640" s="70"/>
      <c r="G640" s="69"/>
      <c r="K640" s="71"/>
    </row>
    <row r="641">
      <c r="D641" s="69"/>
      <c r="E641" s="69"/>
      <c r="F641" s="70"/>
      <c r="G641" s="69"/>
      <c r="K641" s="71"/>
    </row>
    <row r="642">
      <c r="D642" s="69"/>
      <c r="E642" s="69"/>
      <c r="F642" s="70"/>
      <c r="G642" s="69"/>
      <c r="K642" s="71"/>
    </row>
    <row r="643">
      <c r="D643" s="69"/>
      <c r="E643" s="69"/>
      <c r="F643" s="70"/>
      <c r="G643" s="69"/>
      <c r="K643" s="71"/>
    </row>
    <row r="644">
      <c r="D644" s="69"/>
      <c r="E644" s="69"/>
      <c r="F644" s="70"/>
      <c r="G644" s="69"/>
      <c r="K644" s="71"/>
    </row>
    <row r="645">
      <c r="D645" s="69"/>
      <c r="E645" s="69"/>
      <c r="F645" s="70"/>
      <c r="G645" s="69"/>
      <c r="K645" s="71"/>
    </row>
    <row r="646">
      <c r="D646" s="69"/>
      <c r="E646" s="69"/>
      <c r="F646" s="70"/>
      <c r="G646" s="69"/>
      <c r="K646" s="71"/>
    </row>
    <row r="647">
      <c r="D647" s="69"/>
      <c r="E647" s="69"/>
      <c r="F647" s="70"/>
      <c r="G647" s="69"/>
      <c r="K647" s="71"/>
    </row>
    <row r="648">
      <c r="D648" s="69"/>
      <c r="E648" s="69"/>
      <c r="F648" s="70"/>
      <c r="G648" s="69"/>
      <c r="K648" s="71"/>
    </row>
    <row r="649">
      <c r="D649" s="69"/>
      <c r="E649" s="69"/>
      <c r="F649" s="70"/>
      <c r="G649" s="69"/>
      <c r="K649" s="71"/>
    </row>
    <row r="650">
      <c r="D650" s="69"/>
      <c r="E650" s="69"/>
      <c r="F650" s="70"/>
      <c r="G650" s="69"/>
      <c r="K650" s="71"/>
    </row>
    <row r="651">
      <c r="D651" s="69"/>
      <c r="E651" s="69"/>
      <c r="F651" s="70"/>
      <c r="G651" s="69"/>
      <c r="K651" s="71"/>
    </row>
    <row r="652">
      <c r="D652" s="69"/>
      <c r="E652" s="69"/>
      <c r="F652" s="70"/>
      <c r="G652" s="69"/>
      <c r="K652" s="71"/>
    </row>
    <row r="653">
      <c r="D653" s="69"/>
      <c r="E653" s="69"/>
      <c r="F653" s="70"/>
      <c r="G653" s="69"/>
      <c r="K653" s="71"/>
    </row>
    <row r="654">
      <c r="D654" s="69"/>
      <c r="E654" s="69"/>
      <c r="F654" s="70"/>
      <c r="G654" s="69"/>
      <c r="K654" s="71"/>
    </row>
    <row r="655">
      <c r="D655" s="69"/>
      <c r="E655" s="69"/>
      <c r="F655" s="70"/>
      <c r="G655" s="69"/>
      <c r="K655" s="71"/>
    </row>
    <row r="656">
      <c r="D656" s="69"/>
      <c r="E656" s="69"/>
      <c r="F656" s="70"/>
      <c r="G656" s="69"/>
      <c r="K656" s="71"/>
    </row>
    <row r="657">
      <c r="D657" s="69"/>
      <c r="E657" s="69"/>
      <c r="F657" s="70"/>
      <c r="G657" s="69"/>
      <c r="K657" s="71"/>
    </row>
    <row r="658">
      <c r="D658" s="69"/>
      <c r="E658" s="69"/>
      <c r="F658" s="70"/>
      <c r="G658" s="69"/>
      <c r="K658" s="71"/>
    </row>
    <row r="659">
      <c r="D659" s="69"/>
      <c r="E659" s="69"/>
      <c r="F659" s="70"/>
      <c r="G659" s="69"/>
      <c r="K659" s="71"/>
    </row>
    <row r="660">
      <c r="D660" s="69"/>
      <c r="E660" s="69"/>
      <c r="F660" s="70"/>
      <c r="G660" s="69"/>
      <c r="K660" s="71"/>
    </row>
    <row r="661">
      <c r="D661" s="69"/>
      <c r="E661" s="69"/>
      <c r="F661" s="70"/>
      <c r="G661" s="69"/>
      <c r="K661" s="71"/>
    </row>
    <row r="662">
      <c r="D662" s="69"/>
      <c r="E662" s="69"/>
      <c r="F662" s="70"/>
      <c r="G662" s="69"/>
      <c r="K662" s="71"/>
    </row>
    <row r="663">
      <c r="D663" s="69"/>
      <c r="E663" s="69"/>
      <c r="F663" s="70"/>
      <c r="G663" s="69"/>
      <c r="K663" s="71"/>
    </row>
    <row r="664">
      <c r="D664" s="69"/>
      <c r="E664" s="69"/>
      <c r="F664" s="70"/>
      <c r="G664" s="69"/>
      <c r="K664" s="71"/>
    </row>
    <row r="665">
      <c r="D665" s="69"/>
      <c r="E665" s="69"/>
      <c r="F665" s="70"/>
      <c r="G665" s="69"/>
      <c r="K665" s="71"/>
    </row>
    <row r="666">
      <c r="D666" s="69"/>
      <c r="E666" s="69"/>
      <c r="F666" s="70"/>
      <c r="G666" s="69"/>
      <c r="K666" s="71"/>
    </row>
    <row r="667">
      <c r="D667" s="69"/>
      <c r="E667" s="69"/>
      <c r="F667" s="70"/>
      <c r="G667" s="69"/>
      <c r="K667" s="71"/>
    </row>
    <row r="668">
      <c r="D668" s="69"/>
      <c r="E668" s="69"/>
      <c r="F668" s="70"/>
      <c r="G668" s="69"/>
      <c r="K668" s="71"/>
    </row>
    <row r="669">
      <c r="D669" s="69"/>
      <c r="E669" s="69"/>
      <c r="F669" s="70"/>
      <c r="G669" s="69"/>
      <c r="K669" s="71"/>
    </row>
    <row r="670">
      <c r="D670" s="69"/>
      <c r="E670" s="69"/>
      <c r="F670" s="70"/>
      <c r="G670" s="69"/>
      <c r="K670" s="71"/>
    </row>
    <row r="671">
      <c r="D671" s="69"/>
      <c r="E671" s="69"/>
      <c r="F671" s="70"/>
      <c r="G671" s="69"/>
      <c r="K671" s="71"/>
    </row>
    <row r="672">
      <c r="D672" s="69"/>
      <c r="E672" s="69"/>
      <c r="F672" s="70"/>
      <c r="G672" s="69"/>
      <c r="K672" s="71"/>
    </row>
    <row r="673">
      <c r="D673" s="69"/>
      <c r="E673" s="69"/>
      <c r="F673" s="70"/>
      <c r="G673" s="69"/>
      <c r="K673" s="71"/>
    </row>
    <row r="674">
      <c r="D674" s="69"/>
      <c r="E674" s="69"/>
      <c r="F674" s="70"/>
      <c r="G674" s="69"/>
      <c r="K674" s="71"/>
    </row>
    <row r="675">
      <c r="D675" s="69"/>
      <c r="E675" s="69"/>
      <c r="F675" s="70"/>
      <c r="G675" s="69"/>
      <c r="K675" s="71"/>
    </row>
    <row r="676">
      <c r="D676" s="69"/>
      <c r="E676" s="69"/>
      <c r="F676" s="70"/>
      <c r="G676" s="69"/>
      <c r="K676" s="71"/>
    </row>
    <row r="677">
      <c r="D677" s="69"/>
      <c r="E677" s="69"/>
      <c r="F677" s="70"/>
      <c r="G677" s="69"/>
      <c r="K677" s="71"/>
    </row>
    <row r="678">
      <c r="D678" s="69"/>
      <c r="E678" s="69"/>
      <c r="F678" s="70"/>
      <c r="G678" s="69"/>
      <c r="K678" s="71"/>
    </row>
    <row r="679">
      <c r="D679" s="69"/>
      <c r="E679" s="69"/>
      <c r="F679" s="70"/>
      <c r="G679" s="69"/>
      <c r="K679" s="71"/>
    </row>
    <row r="680">
      <c r="D680" s="69"/>
      <c r="E680" s="69"/>
      <c r="F680" s="70"/>
      <c r="G680" s="69"/>
      <c r="K680" s="71"/>
    </row>
    <row r="681">
      <c r="D681" s="69"/>
      <c r="E681" s="69"/>
      <c r="F681" s="70"/>
      <c r="G681" s="69"/>
      <c r="K681" s="71"/>
    </row>
    <row r="682">
      <c r="D682" s="69"/>
      <c r="E682" s="69"/>
      <c r="F682" s="70"/>
      <c r="G682" s="69"/>
      <c r="K682" s="71"/>
    </row>
    <row r="683">
      <c r="D683" s="69"/>
      <c r="E683" s="69"/>
      <c r="F683" s="70"/>
      <c r="G683" s="69"/>
      <c r="K683" s="71"/>
    </row>
    <row r="684">
      <c r="D684" s="69"/>
      <c r="E684" s="69"/>
      <c r="F684" s="70"/>
      <c r="G684" s="69"/>
      <c r="K684" s="71"/>
    </row>
    <row r="685">
      <c r="D685" s="69"/>
      <c r="E685" s="69"/>
      <c r="F685" s="70"/>
      <c r="G685" s="69"/>
      <c r="K685" s="71"/>
    </row>
    <row r="686">
      <c r="D686" s="69"/>
      <c r="E686" s="69"/>
      <c r="F686" s="70"/>
      <c r="G686" s="69"/>
      <c r="K686" s="71"/>
    </row>
    <row r="687">
      <c r="D687" s="69"/>
      <c r="E687" s="69"/>
      <c r="F687" s="70"/>
      <c r="G687" s="69"/>
      <c r="K687" s="71"/>
    </row>
    <row r="688">
      <c r="D688" s="69"/>
      <c r="E688" s="69"/>
      <c r="F688" s="70"/>
      <c r="G688" s="69"/>
      <c r="K688" s="71"/>
    </row>
    <row r="689">
      <c r="D689" s="69"/>
      <c r="E689" s="69"/>
      <c r="F689" s="70"/>
      <c r="G689" s="69"/>
      <c r="K689" s="71"/>
    </row>
    <row r="690">
      <c r="D690" s="69"/>
      <c r="E690" s="69"/>
      <c r="F690" s="70"/>
      <c r="G690" s="69"/>
      <c r="K690" s="71"/>
    </row>
    <row r="691">
      <c r="D691" s="69"/>
      <c r="E691" s="69"/>
      <c r="F691" s="70"/>
      <c r="G691" s="69"/>
      <c r="K691" s="71"/>
    </row>
    <row r="692">
      <c r="D692" s="69"/>
      <c r="E692" s="69"/>
      <c r="F692" s="70"/>
      <c r="G692" s="69"/>
      <c r="K692" s="71"/>
    </row>
    <row r="693">
      <c r="D693" s="69"/>
      <c r="E693" s="69"/>
      <c r="F693" s="70"/>
      <c r="G693" s="69"/>
      <c r="K693" s="71"/>
    </row>
    <row r="694">
      <c r="D694" s="69"/>
      <c r="E694" s="69"/>
      <c r="F694" s="70"/>
      <c r="G694" s="69"/>
      <c r="K694" s="71"/>
    </row>
    <row r="695">
      <c r="D695" s="69"/>
      <c r="E695" s="69"/>
      <c r="F695" s="70"/>
      <c r="G695" s="69"/>
      <c r="K695" s="71"/>
    </row>
    <row r="696">
      <c r="D696" s="69"/>
      <c r="E696" s="69"/>
      <c r="F696" s="70"/>
      <c r="G696" s="69"/>
      <c r="K696" s="71"/>
    </row>
    <row r="697">
      <c r="D697" s="69"/>
      <c r="E697" s="69"/>
      <c r="F697" s="70"/>
      <c r="G697" s="69"/>
      <c r="K697" s="71"/>
    </row>
    <row r="698">
      <c r="D698" s="69"/>
      <c r="E698" s="69"/>
      <c r="F698" s="70"/>
      <c r="G698" s="69"/>
      <c r="K698" s="71"/>
    </row>
    <row r="699">
      <c r="D699" s="69"/>
      <c r="E699" s="69"/>
      <c r="F699" s="70"/>
      <c r="G699" s="69"/>
      <c r="K699" s="71"/>
    </row>
    <row r="700">
      <c r="D700" s="69"/>
      <c r="E700" s="69"/>
      <c r="F700" s="70"/>
      <c r="G700" s="69"/>
      <c r="K700" s="71"/>
    </row>
    <row r="701">
      <c r="D701" s="69"/>
      <c r="E701" s="69"/>
      <c r="F701" s="70"/>
      <c r="G701" s="69"/>
      <c r="K701" s="71"/>
    </row>
    <row r="702">
      <c r="D702" s="69"/>
      <c r="E702" s="69"/>
      <c r="F702" s="70"/>
      <c r="G702" s="69"/>
      <c r="K702" s="71"/>
    </row>
    <row r="703">
      <c r="D703" s="69"/>
      <c r="E703" s="69"/>
      <c r="F703" s="70"/>
      <c r="G703" s="69"/>
      <c r="K703" s="71"/>
    </row>
    <row r="704">
      <c r="D704" s="69"/>
      <c r="E704" s="69"/>
      <c r="F704" s="70"/>
      <c r="G704" s="69"/>
      <c r="K704" s="71"/>
    </row>
    <row r="705">
      <c r="D705" s="69"/>
      <c r="E705" s="69"/>
      <c r="F705" s="70"/>
      <c r="G705" s="69"/>
      <c r="K705" s="71"/>
    </row>
    <row r="706">
      <c r="D706" s="69"/>
      <c r="E706" s="69"/>
      <c r="F706" s="70"/>
      <c r="G706" s="69"/>
      <c r="K706" s="71"/>
    </row>
    <row r="707">
      <c r="D707" s="69"/>
      <c r="E707" s="69"/>
      <c r="F707" s="70"/>
      <c r="G707" s="69"/>
      <c r="K707" s="71"/>
    </row>
    <row r="708">
      <c r="D708" s="69"/>
      <c r="E708" s="69"/>
      <c r="F708" s="70"/>
      <c r="G708" s="69"/>
      <c r="K708" s="71"/>
    </row>
    <row r="709">
      <c r="D709" s="69"/>
      <c r="E709" s="69"/>
      <c r="F709" s="70"/>
      <c r="G709" s="69"/>
      <c r="K709" s="71"/>
    </row>
    <row r="710">
      <c r="D710" s="69"/>
      <c r="E710" s="69"/>
      <c r="F710" s="70"/>
      <c r="G710" s="69"/>
      <c r="K710" s="71"/>
    </row>
    <row r="711">
      <c r="D711" s="69"/>
      <c r="E711" s="69"/>
      <c r="F711" s="70"/>
      <c r="G711" s="69"/>
      <c r="K711" s="71"/>
    </row>
    <row r="712">
      <c r="D712" s="69"/>
      <c r="E712" s="69"/>
      <c r="F712" s="70"/>
      <c r="G712" s="69"/>
      <c r="K712" s="71"/>
    </row>
    <row r="713">
      <c r="D713" s="69"/>
      <c r="E713" s="69"/>
      <c r="F713" s="70"/>
      <c r="G713" s="69"/>
      <c r="K713" s="71"/>
    </row>
    <row r="714">
      <c r="D714" s="69"/>
      <c r="E714" s="69"/>
      <c r="F714" s="70"/>
      <c r="G714" s="69"/>
      <c r="K714" s="71"/>
    </row>
    <row r="715">
      <c r="D715" s="69"/>
      <c r="E715" s="69"/>
      <c r="F715" s="70"/>
      <c r="G715" s="69"/>
      <c r="K715" s="71"/>
    </row>
    <row r="716">
      <c r="D716" s="69"/>
      <c r="E716" s="69"/>
      <c r="F716" s="70"/>
      <c r="G716" s="69"/>
      <c r="K716" s="71"/>
    </row>
    <row r="717">
      <c r="D717" s="69"/>
      <c r="E717" s="69"/>
      <c r="F717" s="70"/>
      <c r="G717" s="69"/>
      <c r="K717" s="71"/>
    </row>
    <row r="718">
      <c r="D718" s="69"/>
      <c r="E718" s="69"/>
      <c r="F718" s="70"/>
      <c r="G718" s="69"/>
      <c r="K718" s="71"/>
    </row>
    <row r="719">
      <c r="D719" s="69"/>
      <c r="E719" s="69"/>
      <c r="F719" s="70"/>
      <c r="G719" s="69"/>
      <c r="K719" s="71"/>
    </row>
    <row r="720">
      <c r="D720" s="69"/>
      <c r="E720" s="69"/>
      <c r="F720" s="70"/>
      <c r="G720" s="69"/>
      <c r="K720" s="71"/>
    </row>
    <row r="721">
      <c r="D721" s="69"/>
      <c r="E721" s="69"/>
      <c r="F721" s="70"/>
      <c r="G721" s="69"/>
      <c r="K721" s="71"/>
    </row>
    <row r="722">
      <c r="D722" s="69"/>
      <c r="E722" s="69"/>
      <c r="F722" s="70"/>
      <c r="G722" s="69"/>
      <c r="K722" s="71"/>
    </row>
    <row r="723">
      <c r="D723" s="69"/>
      <c r="E723" s="69"/>
      <c r="F723" s="70"/>
      <c r="G723" s="69"/>
      <c r="K723" s="71"/>
    </row>
    <row r="724">
      <c r="D724" s="69"/>
      <c r="E724" s="69"/>
      <c r="F724" s="70"/>
      <c r="G724" s="69"/>
      <c r="K724" s="71"/>
    </row>
    <row r="725">
      <c r="D725" s="69"/>
      <c r="E725" s="69"/>
      <c r="F725" s="70"/>
      <c r="G725" s="69"/>
      <c r="K725" s="71"/>
    </row>
    <row r="726">
      <c r="D726" s="69"/>
      <c r="E726" s="69"/>
      <c r="F726" s="70"/>
      <c r="G726" s="69"/>
      <c r="K726" s="71"/>
    </row>
    <row r="727">
      <c r="D727" s="69"/>
      <c r="E727" s="69"/>
      <c r="F727" s="70"/>
      <c r="G727" s="69"/>
      <c r="K727" s="71"/>
    </row>
    <row r="728">
      <c r="D728" s="69"/>
      <c r="E728" s="69"/>
      <c r="F728" s="70"/>
      <c r="G728" s="69"/>
      <c r="K728" s="71"/>
    </row>
    <row r="729">
      <c r="D729" s="69"/>
      <c r="E729" s="69"/>
      <c r="F729" s="70"/>
      <c r="G729" s="69"/>
      <c r="K729" s="71"/>
    </row>
    <row r="730">
      <c r="D730" s="69"/>
      <c r="E730" s="69"/>
      <c r="F730" s="70"/>
      <c r="G730" s="69"/>
      <c r="K730" s="71"/>
    </row>
    <row r="731">
      <c r="D731" s="69"/>
      <c r="E731" s="69"/>
      <c r="F731" s="70"/>
      <c r="G731" s="69"/>
      <c r="K731" s="71"/>
    </row>
    <row r="732">
      <c r="D732" s="69"/>
      <c r="E732" s="69"/>
      <c r="F732" s="70"/>
      <c r="G732" s="69"/>
      <c r="K732" s="71"/>
    </row>
    <row r="733">
      <c r="D733" s="69"/>
      <c r="E733" s="69"/>
      <c r="F733" s="70"/>
      <c r="G733" s="69"/>
      <c r="K733" s="71"/>
    </row>
    <row r="734">
      <c r="D734" s="69"/>
      <c r="E734" s="69"/>
      <c r="F734" s="70"/>
      <c r="G734" s="69"/>
      <c r="K734" s="71"/>
    </row>
    <row r="735">
      <c r="D735" s="69"/>
      <c r="E735" s="69"/>
      <c r="F735" s="70"/>
      <c r="G735" s="69"/>
      <c r="K735" s="71"/>
    </row>
    <row r="736">
      <c r="D736" s="69"/>
      <c r="E736" s="69"/>
      <c r="F736" s="70"/>
      <c r="G736" s="69"/>
      <c r="K736" s="71"/>
    </row>
    <row r="737">
      <c r="D737" s="69"/>
      <c r="E737" s="69"/>
      <c r="F737" s="70"/>
      <c r="G737" s="69"/>
      <c r="K737" s="71"/>
    </row>
    <row r="738">
      <c r="D738" s="69"/>
      <c r="E738" s="69"/>
      <c r="F738" s="70"/>
      <c r="G738" s="69"/>
      <c r="K738" s="71"/>
    </row>
    <row r="739">
      <c r="D739" s="69"/>
      <c r="E739" s="69"/>
      <c r="F739" s="70"/>
      <c r="G739" s="69"/>
      <c r="K739" s="71"/>
    </row>
    <row r="740">
      <c r="D740" s="69"/>
      <c r="E740" s="69"/>
      <c r="F740" s="70"/>
      <c r="G740" s="69"/>
      <c r="K740" s="71"/>
    </row>
    <row r="741">
      <c r="D741" s="69"/>
      <c r="E741" s="69"/>
      <c r="F741" s="70"/>
      <c r="G741" s="69"/>
      <c r="K741" s="71"/>
    </row>
    <row r="742">
      <c r="D742" s="69"/>
      <c r="E742" s="69"/>
      <c r="F742" s="70"/>
      <c r="G742" s="69"/>
      <c r="K742" s="71"/>
    </row>
    <row r="743">
      <c r="D743" s="69"/>
      <c r="E743" s="69"/>
      <c r="F743" s="70"/>
      <c r="G743" s="69"/>
      <c r="K743" s="71"/>
    </row>
    <row r="744">
      <c r="D744" s="69"/>
      <c r="E744" s="69"/>
      <c r="F744" s="70"/>
      <c r="G744" s="69"/>
      <c r="K744" s="71"/>
    </row>
    <row r="745">
      <c r="D745" s="69"/>
      <c r="E745" s="69"/>
      <c r="F745" s="70"/>
      <c r="G745" s="69"/>
      <c r="K745" s="71"/>
    </row>
    <row r="746">
      <c r="D746" s="69"/>
      <c r="E746" s="69"/>
      <c r="F746" s="70"/>
      <c r="G746" s="69"/>
      <c r="K746" s="71"/>
    </row>
    <row r="747">
      <c r="D747" s="69"/>
      <c r="E747" s="69"/>
      <c r="F747" s="70"/>
      <c r="G747" s="69"/>
      <c r="K747" s="71"/>
    </row>
    <row r="748">
      <c r="D748" s="69"/>
      <c r="E748" s="69"/>
      <c r="F748" s="70"/>
      <c r="G748" s="69"/>
      <c r="K748" s="71"/>
    </row>
    <row r="749">
      <c r="D749" s="69"/>
      <c r="E749" s="69"/>
      <c r="F749" s="70"/>
      <c r="G749" s="69"/>
      <c r="K749" s="71"/>
    </row>
    <row r="750">
      <c r="D750" s="69"/>
      <c r="E750" s="69"/>
      <c r="F750" s="70"/>
      <c r="G750" s="69"/>
      <c r="K750" s="71"/>
    </row>
    <row r="751">
      <c r="D751" s="69"/>
      <c r="E751" s="69"/>
      <c r="F751" s="70"/>
      <c r="G751" s="69"/>
      <c r="K751" s="71"/>
    </row>
    <row r="752">
      <c r="D752" s="69"/>
      <c r="E752" s="69"/>
      <c r="F752" s="70"/>
      <c r="G752" s="69"/>
      <c r="K752" s="71"/>
    </row>
    <row r="753">
      <c r="D753" s="69"/>
      <c r="E753" s="69"/>
      <c r="F753" s="70"/>
      <c r="G753" s="69"/>
      <c r="K753" s="71"/>
    </row>
    <row r="754">
      <c r="D754" s="69"/>
      <c r="E754" s="69"/>
      <c r="F754" s="70"/>
      <c r="G754" s="69"/>
      <c r="K754" s="71"/>
    </row>
    <row r="755">
      <c r="D755" s="69"/>
      <c r="E755" s="69"/>
      <c r="F755" s="70"/>
      <c r="G755" s="69"/>
      <c r="K755" s="71"/>
    </row>
    <row r="756">
      <c r="D756" s="69"/>
      <c r="E756" s="69"/>
      <c r="F756" s="70"/>
      <c r="G756" s="69"/>
      <c r="K756" s="71"/>
    </row>
    <row r="757">
      <c r="D757" s="69"/>
      <c r="E757" s="69"/>
      <c r="F757" s="70"/>
      <c r="G757" s="69"/>
      <c r="K757" s="71"/>
    </row>
    <row r="758">
      <c r="D758" s="69"/>
      <c r="E758" s="69"/>
      <c r="F758" s="70"/>
      <c r="G758" s="69"/>
      <c r="K758" s="71"/>
    </row>
    <row r="759">
      <c r="D759" s="69"/>
      <c r="E759" s="69"/>
      <c r="F759" s="70"/>
      <c r="G759" s="69"/>
      <c r="K759" s="71"/>
    </row>
    <row r="760">
      <c r="D760" s="69"/>
      <c r="E760" s="69"/>
      <c r="F760" s="70"/>
      <c r="G760" s="69"/>
      <c r="K760" s="71"/>
    </row>
    <row r="761">
      <c r="D761" s="69"/>
      <c r="E761" s="69"/>
      <c r="F761" s="70"/>
      <c r="G761" s="69"/>
      <c r="K761" s="71"/>
    </row>
    <row r="762">
      <c r="D762" s="69"/>
      <c r="E762" s="69"/>
      <c r="F762" s="70"/>
      <c r="G762" s="69"/>
      <c r="K762" s="71"/>
    </row>
    <row r="763">
      <c r="D763" s="69"/>
      <c r="E763" s="69"/>
      <c r="F763" s="70"/>
      <c r="G763" s="69"/>
      <c r="K763" s="71"/>
    </row>
    <row r="764">
      <c r="D764" s="69"/>
      <c r="E764" s="69"/>
      <c r="F764" s="70"/>
      <c r="G764" s="69"/>
      <c r="K764" s="71"/>
    </row>
    <row r="765">
      <c r="D765" s="69"/>
      <c r="E765" s="69"/>
      <c r="F765" s="70"/>
      <c r="G765" s="69"/>
      <c r="K765" s="71"/>
    </row>
    <row r="766">
      <c r="D766" s="69"/>
      <c r="E766" s="69"/>
      <c r="F766" s="70"/>
      <c r="G766" s="69"/>
      <c r="K766" s="71"/>
    </row>
    <row r="767">
      <c r="D767" s="69"/>
      <c r="E767" s="69"/>
      <c r="F767" s="70"/>
      <c r="G767" s="69"/>
      <c r="K767" s="71"/>
    </row>
    <row r="768">
      <c r="D768" s="69"/>
      <c r="E768" s="69"/>
      <c r="F768" s="70"/>
      <c r="G768" s="69"/>
      <c r="K768" s="71"/>
    </row>
    <row r="769">
      <c r="D769" s="69"/>
      <c r="E769" s="69"/>
      <c r="F769" s="70"/>
      <c r="G769" s="69"/>
      <c r="K769" s="71"/>
    </row>
    <row r="770">
      <c r="D770" s="69"/>
      <c r="E770" s="69"/>
      <c r="F770" s="70"/>
      <c r="G770" s="69"/>
      <c r="K770" s="71"/>
    </row>
    <row r="771">
      <c r="D771" s="69"/>
      <c r="E771" s="69"/>
      <c r="F771" s="70"/>
      <c r="G771" s="69"/>
      <c r="K771" s="71"/>
    </row>
    <row r="772">
      <c r="D772" s="69"/>
      <c r="E772" s="69"/>
      <c r="F772" s="70"/>
      <c r="G772" s="69"/>
      <c r="K772" s="71"/>
    </row>
    <row r="773">
      <c r="D773" s="69"/>
      <c r="E773" s="69"/>
      <c r="F773" s="70"/>
      <c r="G773" s="69"/>
      <c r="K773" s="71"/>
    </row>
    <row r="774">
      <c r="D774" s="69"/>
      <c r="E774" s="69"/>
      <c r="F774" s="70"/>
      <c r="G774" s="69"/>
      <c r="K774" s="71"/>
    </row>
    <row r="775">
      <c r="D775" s="69"/>
      <c r="E775" s="69"/>
      <c r="F775" s="70"/>
      <c r="G775" s="69"/>
      <c r="K775" s="71"/>
    </row>
    <row r="776">
      <c r="D776" s="69"/>
      <c r="E776" s="69"/>
      <c r="F776" s="70"/>
      <c r="G776" s="69"/>
      <c r="K776" s="71"/>
    </row>
    <row r="777">
      <c r="D777" s="69"/>
      <c r="E777" s="69"/>
      <c r="F777" s="70"/>
      <c r="G777" s="69"/>
      <c r="K777" s="71"/>
    </row>
    <row r="778">
      <c r="D778" s="69"/>
      <c r="E778" s="69"/>
      <c r="F778" s="70"/>
      <c r="G778" s="69"/>
      <c r="K778" s="71"/>
    </row>
    <row r="779">
      <c r="D779" s="69"/>
      <c r="E779" s="69"/>
      <c r="F779" s="70"/>
      <c r="G779" s="69"/>
      <c r="K779" s="71"/>
    </row>
    <row r="780">
      <c r="D780" s="69"/>
      <c r="E780" s="69"/>
      <c r="F780" s="70"/>
      <c r="G780" s="69"/>
      <c r="K780" s="71"/>
    </row>
    <row r="781">
      <c r="D781" s="69"/>
      <c r="E781" s="69"/>
      <c r="F781" s="70"/>
      <c r="G781" s="69"/>
      <c r="K781" s="71"/>
    </row>
    <row r="782">
      <c r="D782" s="69"/>
      <c r="E782" s="69"/>
      <c r="F782" s="70"/>
      <c r="G782" s="69"/>
      <c r="K782" s="71"/>
    </row>
    <row r="783">
      <c r="D783" s="69"/>
      <c r="E783" s="69"/>
      <c r="F783" s="70"/>
      <c r="G783" s="69"/>
      <c r="K783" s="71"/>
    </row>
    <row r="784">
      <c r="D784" s="69"/>
      <c r="E784" s="69"/>
      <c r="F784" s="70"/>
      <c r="G784" s="69"/>
      <c r="K784" s="71"/>
    </row>
    <row r="785">
      <c r="D785" s="69"/>
      <c r="E785" s="69"/>
      <c r="F785" s="70"/>
      <c r="G785" s="69"/>
      <c r="K785" s="71"/>
    </row>
    <row r="786">
      <c r="D786" s="69"/>
      <c r="E786" s="69"/>
      <c r="F786" s="70"/>
      <c r="G786" s="69"/>
      <c r="K786" s="71"/>
    </row>
    <row r="787">
      <c r="D787" s="69"/>
      <c r="E787" s="69"/>
      <c r="F787" s="70"/>
      <c r="G787" s="69"/>
      <c r="K787" s="71"/>
    </row>
    <row r="788">
      <c r="D788" s="69"/>
      <c r="E788" s="69"/>
      <c r="F788" s="70"/>
      <c r="G788" s="69"/>
      <c r="K788" s="71"/>
    </row>
    <row r="789">
      <c r="D789" s="69"/>
      <c r="E789" s="69"/>
      <c r="F789" s="70"/>
      <c r="G789" s="69"/>
      <c r="K789" s="71"/>
    </row>
    <row r="790">
      <c r="D790" s="69"/>
      <c r="E790" s="69"/>
      <c r="F790" s="70"/>
      <c r="G790" s="69"/>
      <c r="K790" s="71"/>
    </row>
    <row r="791">
      <c r="D791" s="69"/>
      <c r="E791" s="69"/>
      <c r="F791" s="70"/>
      <c r="G791" s="69"/>
      <c r="K791" s="71"/>
    </row>
    <row r="792">
      <c r="D792" s="69"/>
      <c r="E792" s="69"/>
      <c r="F792" s="70"/>
      <c r="G792" s="69"/>
      <c r="K792" s="71"/>
    </row>
    <row r="793">
      <c r="D793" s="69"/>
      <c r="E793" s="69"/>
      <c r="F793" s="70"/>
      <c r="G793" s="69"/>
      <c r="K793" s="71"/>
    </row>
    <row r="794">
      <c r="D794" s="69"/>
      <c r="E794" s="69"/>
      <c r="F794" s="70"/>
      <c r="G794" s="69"/>
      <c r="K794" s="71"/>
    </row>
    <row r="795">
      <c r="D795" s="69"/>
      <c r="E795" s="69"/>
      <c r="F795" s="70"/>
      <c r="G795" s="69"/>
      <c r="K795" s="71"/>
    </row>
    <row r="796">
      <c r="D796" s="69"/>
      <c r="E796" s="69"/>
      <c r="F796" s="70"/>
      <c r="G796" s="69"/>
      <c r="K796" s="71"/>
    </row>
    <row r="797">
      <c r="D797" s="69"/>
      <c r="E797" s="69"/>
      <c r="F797" s="70"/>
      <c r="G797" s="69"/>
      <c r="K797" s="71"/>
    </row>
    <row r="798">
      <c r="D798" s="69"/>
      <c r="E798" s="69"/>
      <c r="F798" s="70"/>
      <c r="G798" s="69"/>
      <c r="K798" s="71"/>
    </row>
    <row r="799">
      <c r="D799" s="69"/>
      <c r="E799" s="69"/>
      <c r="F799" s="70"/>
      <c r="G799" s="69"/>
      <c r="K799" s="71"/>
    </row>
    <row r="800">
      <c r="D800" s="69"/>
      <c r="E800" s="69"/>
      <c r="F800" s="70"/>
      <c r="G800" s="69"/>
      <c r="K800" s="71"/>
    </row>
    <row r="801">
      <c r="D801" s="69"/>
      <c r="E801" s="69"/>
      <c r="F801" s="70"/>
      <c r="G801" s="69"/>
      <c r="K801" s="71"/>
    </row>
    <row r="802">
      <c r="D802" s="69"/>
      <c r="E802" s="69"/>
      <c r="F802" s="70"/>
      <c r="G802" s="69"/>
      <c r="K802" s="71"/>
    </row>
    <row r="803">
      <c r="D803" s="69"/>
      <c r="E803" s="69"/>
      <c r="F803" s="70"/>
      <c r="G803" s="69"/>
      <c r="K803" s="71"/>
    </row>
    <row r="804">
      <c r="D804" s="69"/>
      <c r="E804" s="69"/>
      <c r="F804" s="70"/>
      <c r="G804" s="69"/>
      <c r="K804" s="71"/>
    </row>
    <row r="805">
      <c r="D805" s="69"/>
      <c r="E805" s="69"/>
      <c r="F805" s="70"/>
      <c r="G805" s="69"/>
      <c r="K805" s="71"/>
    </row>
    <row r="806">
      <c r="D806" s="69"/>
      <c r="E806" s="69"/>
      <c r="F806" s="70"/>
      <c r="G806" s="69"/>
      <c r="K806" s="71"/>
    </row>
    <row r="807">
      <c r="D807" s="69"/>
      <c r="E807" s="69"/>
      <c r="F807" s="70"/>
      <c r="G807" s="69"/>
      <c r="K807" s="71"/>
    </row>
    <row r="808">
      <c r="D808" s="69"/>
      <c r="E808" s="69"/>
      <c r="F808" s="70"/>
      <c r="G808" s="69"/>
      <c r="K808" s="71"/>
    </row>
    <row r="809">
      <c r="D809" s="69"/>
      <c r="E809" s="69"/>
      <c r="F809" s="70"/>
      <c r="G809" s="69"/>
      <c r="K809" s="71"/>
    </row>
    <row r="810">
      <c r="D810" s="69"/>
      <c r="E810" s="69"/>
      <c r="F810" s="70"/>
      <c r="G810" s="69"/>
      <c r="K810" s="71"/>
    </row>
    <row r="811">
      <c r="D811" s="69"/>
      <c r="E811" s="69"/>
      <c r="F811" s="70"/>
      <c r="G811" s="69"/>
      <c r="K811" s="71"/>
    </row>
    <row r="812">
      <c r="D812" s="69"/>
      <c r="E812" s="69"/>
      <c r="F812" s="70"/>
      <c r="G812" s="69"/>
      <c r="K812" s="71"/>
    </row>
    <row r="813">
      <c r="D813" s="69"/>
      <c r="E813" s="69"/>
      <c r="F813" s="70"/>
      <c r="G813" s="69"/>
      <c r="K813" s="71"/>
    </row>
    <row r="814">
      <c r="D814" s="69"/>
      <c r="E814" s="69"/>
      <c r="F814" s="70"/>
      <c r="G814" s="69"/>
      <c r="K814" s="71"/>
    </row>
    <row r="815">
      <c r="D815" s="69"/>
      <c r="E815" s="69"/>
      <c r="F815" s="70"/>
      <c r="G815" s="69"/>
      <c r="K815" s="71"/>
    </row>
    <row r="816">
      <c r="D816" s="69"/>
      <c r="E816" s="69"/>
      <c r="F816" s="70"/>
      <c r="G816" s="69"/>
      <c r="K816" s="71"/>
    </row>
    <row r="817">
      <c r="D817" s="69"/>
      <c r="E817" s="69"/>
      <c r="F817" s="70"/>
      <c r="G817" s="69"/>
      <c r="K817" s="71"/>
    </row>
    <row r="818">
      <c r="D818" s="69"/>
      <c r="E818" s="69"/>
      <c r="F818" s="70"/>
      <c r="G818" s="69"/>
      <c r="K818" s="71"/>
    </row>
    <row r="819">
      <c r="D819" s="69"/>
      <c r="E819" s="69"/>
      <c r="F819" s="70"/>
      <c r="G819" s="69"/>
      <c r="K819" s="71"/>
    </row>
    <row r="820">
      <c r="D820" s="69"/>
      <c r="E820" s="69"/>
      <c r="F820" s="70"/>
      <c r="G820" s="69"/>
      <c r="K820" s="71"/>
    </row>
    <row r="821">
      <c r="D821" s="69"/>
      <c r="E821" s="69"/>
      <c r="F821" s="70"/>
      <c r="G821" s="69"/>
      <c r="K821" s="71"/>
    </row>
    <row r="822">
      <c r="D822" s="69"/>
      <c r="E822" s="69"/>
      <c r="F822" s="70"/>
      <c r="G822" s="69"/>
      <c r="K822" s="71"/>
    </row>
    <row r="823">
      <c r="D823" s="69"/>
      <c r="E823" s="69"/>
      <c r="F823" s="70"/>
      <c r="G823" s="69"/>
      <c r="K823" s="71"/>
    </row>
    <row r="824">
      <c r="D824" s="69"/>
      <c r="E824" s="69"/>
      <c r="F824" s="70"/>
      <c r="G824" s="69"/>
      <c r="K824" s="71"/>
    </row>
    <row r="825">
      <c r="D825" s="69"/>
      <c r="E825" s="69"/>
      <c r="F825" s="70"/>
      <c r="G825" s="69"/>
      <c r="K825" s="71"/>
    </row>
    <row r="826">
      <c r="D826" s="69"/>
      <c r="E826" s="69"/>
      <c r="F826" s="70"/>
      <c r="G826" s="69"/>
      <c r="K826" s="71"/>
    </row>
    <row r="827">
      <c r="D827" s="69"/>
      <c r="E827" s="69"/>
      <c r="F827" s="70"/>
      <c r="G827" s="69"/>
      <c r="K827" s="71"/>
    </row>
    <row r="828">
      <c r="D828" s="69"/>
      <c r="E828" s="69"/>
      <c r="F828" s="70"/>
      <c r="G828" s="69"/>
      <c r="K828" s="71"/>
    </row>
    <row r="829">
      <c r="D829" s="69"/>
      <c r="E829" s="69"/>
      <c r="F829" s="70"/>
      <c r="G829" s="69"/>
      <c r="K829" s="71"/>
    </row>
    <row r="830">
      <c r="D830" s="69"/>
      <c r="E830" s="69"/>
      <c r="F830" s="70"/>
      <c r="G830" s="69"/>
      <c r="K830" s="71"/>
    </row>
    <row r="831">
      <c r="D831" s="69"/>
      <c r="E831" s="69"/>
      <c r="F831" s="70"/>
      <c r="G831" s="69"/>
      <c r="K831" s="71"/>
    </row>
    <row r="832">
      <c r="D832" s="69"/>
      <c r="E832" s="69"/>
      <c r="F832" s="70"/>
      <c r="G832" s="69"/>
      <c r="K832" s="71"/>
    </row>
    <row r="833">
      <c r="D833" s="69"/>
      <c r="E833" s="69"/>
      <c r="F833" s="70"/>
      <c r="G833" s="69"/>
      <c r="K833" s="71"/>
    </row>
    <row r="834">
      <c r="D834" s="69"/>
      <c r="E834" s="69"/>
      <c r="F834" s="70"/>
      <c r="G834" s="69"/>
      <c r="K834" s="71"/>
    </row>
    <row r="835">
      <c r="D835" s="69"/>
      <c r="E835" s="69"/>
      <c r="F835" s="70"/>
      <c r="G835" s="69"/>
      <c r="K835" s="71"/>
    </row>
    <row r="836">
      <c r="D836" s="69"/>
      <c r="E836" s="69"/>
      <c r="F836" s="70"/>
      <c r="G836" s="69"/>
      <c r="K836" s="71"/>
    </row>
    <row r="837">
      <c r="D837" s="69"/>
      <c r="E837" s="69"/>
      <c r="F837" s="70"/>
      <c r="G837" s="69"/>
      <c r="K837" s="71"/>
    </row>
    <row r="838">
      <c r="D838" s="69"/>
      <c r="E838" s="69"/>
      <c r="F838" s="70"/>
      <c r="G838" s="69"/>
      <c r="K838" s="71"/>
    </row>
    <row r="839">
      <c r="D839" s="69"/>
      <c r="E839" s="69"/>
      <c r="F839" s="70"/>
      <c r="G839" s="69"/>
      <c r="K839" s="71"/>
    </row>
    <row r="840">
      <c r="D840" s="69"/>
      <c r="E840" s="69"/>
      <c r="F840" s="70"/>
      <c r="G840" s="69"/>
      <c r="K840" s="71"/>
    </row>
    <row r="841">
      <c r="D841" s="69"/>
      <c r="E841" s="69"/>
      <c r="F841" s="70"/>
      <c r="G841" s="69"/>
      <c r="K841" s="71"/>
    </row>
    <row r="842">
      <c r="D842" s="69"/>
      <c r="E842" s="69"/>
      <c r="F842" s="70"/>
      <c r="G842" s="69"/>
      <c r="K842" s="71"/>
    </row>
    <row r="843">
      <c r="D843" s="69"/>
      <c r="E843" s="69"/>
      <c r="F843" s="70"/>
      <c r="G843" s="69"/>
      <c r="K843" s="71"/>
    </row>
    <row r="844">
      <c r="D844" s="69"/>
      <c r="E844" s="69"/>
      <c r="F844" s="70"/>
      <c r="G844" s="69"/>
      <c r="K844" s="71"/>
    </row>
    <row r="845">
      <c r="D845" s="69"/>
      <c r="E845" s="69"/>
      <c r="F845" s="70"/>
      <c r="G845" s="69"/>
      <c r="K845" s="71"/>
    </row>
    <row r="846">
      <c r="D846" s="69"/>
      <c r="E846" s="69"/>
      <c r="F846" s="70"/>
      <c r="G846" s="69"/>
      <c r="K846" s="71"/>
    </row>
    <row r="847">
      <c r="D847" s="69"/>
      <c r="E847" s="69"/>
      <c r="F847" s="70"/>
      <c r="G847" s="69"/>
      <c r="K847" s="71"/>
    </row>
    <row r="848">
      <c r="D848" s="69"/>
      <c r="E848" s="69"/>
      <c r="F848" s="70"/>
      <c r="G848" s="69"/>
      <c r="K848" s="71"/>
    </row>
    <row r="849">
      <c r="D849" s="69"/>
      <c r="E849" s="69"/>
      <c r="F849" s="70"/>
      <c r="G849" s="69"/>
      <c r="K849" s="71"/>
    </row>
    <row r="850">
      <c r="D850" s="69"/>
      <c r="E850" s="69"/>
      <c r="F850" s="70"/>
      <c r="G850" s="69"/>
      <c r="K850" s="71"/>
    </row>
    <row r="851">
      <c r="D851" s="69"/>
      <c r="E851" s="69"/>
      <c r="F851" s="70"/>
      <c r="G851" s="69"/>
      <c r="K851" s="71"/>
    </row>
    <row r="852">
      <c r="D852" s="69"/>
      <c r="E852" s="69"/>
      <c r="F852" s="70"/>
      <c r="G852" s="69"/>
      <c r="K852" s="71"/>
    </row>
    <row r="853">
      <c r="D853" s="69"/>
      <c r="E853" s="69"/>
      <c r="F853" s="70"/>
      <c r="G853" s="69"/>
      <c r="K853" s="71"/>
    </row>
    <row r="854">
      <c r="D854" s="69"/>
      <c r="E854" s="69"/>
      <c r="F854" s="70"/>
      <c r="G854" s="69"/>
      <c r="K854" s="71"/>
    </row>
    <row r="855">
      <c r="D855" s="69"/>
      <c r="E855" s="69"/>
      <c r="F855" s="70"/>
      <c r="G855" s="69"/>
      <c r="K855" s="71"/>
    </row>
    <row r="856">
      <c r="D856" s="69"/>
      <c r="E856" s="69"/>
      <c r="F856" s="70"/>
      <c r="G856" s="69"/>
      <c r="K856" s="71"/>
    </row>
    <row r="857">
      <c r="D857" s="69"/>
      <c r="E857" s="69"/>
      <c r="F857" s="70"/>
      <c r="G857" s="69"/>
      <c r="K857" s="71"/>
    </row>
    <row r="858">
      <c r="D858" s="69"/>
      <c r="E858" s="69"/>
      <c r="F858" s="70"/>
      <c r="G858" s="69"/>
      <c r="K858" s="71"/>
    </row>
    <row r="859">
      <c r="D859" s="69"/>
      <c r="E859" s="69"/>
      <c r="F859" s="70"/>
      <c r="G859" s="69"/>
      <c r="K859" s="71"/>
    </row>
    <row r="860">
      <c r="D860" s="69"/>
      <c r="E860" s="69"/>
      <c r="F860" s="70"/>
      <c r="G860" s="69"/>
      <c r="K860" s="71"/>
    </row>
    <row r="861">
      <c r="D861" s="69"/>
      <c r="E861" s="69"/>
      <c r="F861" s="70"/>
      <c r="G861" s="69"/>
      <c r="K861" s="71"/>
    </row>
    <row r="862">
      <c r="D862" s="69"/>
      <c r="E862" s="69"/>
      <c r="F862" s="70"/>
      <c r="G862" s="69"/>
      <c r="K862" s="71"/>
    </row>
    <row r="863">
      <c r="D863" s="69"/>
      <c r="E863" s="69"/>
      <c r="F863" s="70"/>
      <c r="G863" s="69"/>
      <c r="K863" s="71"/>
    </row>
    <row r="864">
      <c r="D864" s="69"/>
      <c r="E864" s="69"/>
      <c r="F864" s="70"/>
      <c r="G864" s="69"/>
      <c r="K864" s="71"/>
    </row>
    <row r="865">
      <c r="D865" s="69"/>
      <c r="E865" s="69"/>
      <c r="F865" s="70"/>
      <c r="G865" s="69"/>
      <c r="K865" s="71"/>
    </row>
    <row r="866">
      <c r="D866" s="69"/>
      <c r="E866" s="69"/>
      <c r="F866" s="70"/>
      <c r="G866" s="69"/>
      <c r="K866" s="71"/>
    </row>
    <row r="867">
      <c r="D867" s="69"/>
      <c r="E867" s="69"/>
      <c r="F867" s="70"/>
      <c r="G867" s="69"/>
      <c r="K867" s="71"/>
    </row>
    <row r="868">
      <c r="D868" s="69"/>
      <c r="E868" s="69"/>
      <c r="F868" s="70"/>
      <c r="G868" s="69"/>
      <c r="K868" s="71"/>
    </row>
    <row r="869">
      <c r="D869" s="69"/>
      <c r="E869" s="69"/>
      <c r="F869" s="70"/>
      <c r="G869" s="69"/>
      <c r="K869" s="71"/>
    </row>
    <row r="870">
      <c r="D870" s="69"/>
      <c r="E870" s="69"/>
      <c r="F870" s="70"/>
      <c r="G870" s="69"/>
      <c r="K870" s="71"/>
    </row>
    <row r="871">
      <c r="D871" s="69"/>
      <c r="E871" s="69"/>
      <c r="F871" s="70"/>
      <c r="G871" s="69"/>
      <c r="K871" s="71"/>
    </row>
    <row r="872">
      <c r="D872" s="69"/>
      <c r="E872" s="69"/>
      <c r="F872" s="70"/>
      <c r="G872" s="69"/>
      <c r="K872" s="71"/>
    </row>
    <row r="873">
      <c r="D873" s="69"/>
      <c r="E873" s="69"/>
      <c r="F873" s="70"/>
      <c r="G873" s="69"/>
      <c r="K873" s="71"/>
    </row>
    <row r="874">
      <c r="D874" s="69"/>
      <c r="E874" s="69"/>
      <c r="F874" s="70"/>
      <c r="G874" s="69"/>
      <c r="K874" s="71"/>
    </row>
    <row r="875">
      <c r="D875" s="69"/>
      <c r="E875" s="69"/>
      <c r="F875" s="70"/>
      <c r="G875" s="69"/>
      <c r="K875" s="71"/>
    </row>
    <row r="876">
      <c r="D876" s="69"/>
      <c r="E876" s="69"/>
      <c r="F876" s="70"/>
      <c r="G876" s="69"/>
      <c r="K876" s="71"/>
    </row>
    <row r="877">
      <c r="D877" s="69"/>
      <c r="E877" s="69"/>
      <c r="F877" s="70"/>
      <c r="G877" s="69"/>
      <c r="K877" s="71"/>
    </row>
    <row r="878">
      <c r="D878" s="69"/>
      <c r="E878" s="69"/>
      <c r="F878" s="70"/>
      <c r="G878" s="69"/>
      <c r="K878" s="71"/>
    </row>
    <row r="879">
      <c r="D879" s="69"/>
      <c r="E879" s="69"/>
      <c r="F879" s="70"/>
      <c r="G879" s="69"/>
      <c r="K879" s="71"/>
    </row>
    <row r="880">
      <c r="D880" s="69"/>
      <c r="E880" s="69"/>
      <c r="F880" s="70"/>
      <c r="G880" s="69"/>
      <c r="K880" s="71"/>
    </row>
    <row r="881">
      <c r="D881" s="69"/>
      <c r="E881" s="69"/>
      <c r="F881" s="70"/>
      <c r="G881" s="69"/>
      <c r="K881" s="71"/>
    </row>
    <row r="882">
      <c r="D882" s="69"/>
      <c r="E882" s="69"/>
      <c r="F882" s="70"/>
      <c r="G882" s="69"/>
      <c r="K882" s="71"/>
    </row>
    <row r="883">
      <c r="D883" s="69"/>
      <c r="E883" s="69"/>
      <c r="F883" s="70"/>
      <c r="G883" s="69"/>
      <c r="K883" s="71"/>
    </row>
    <row r="884">
      <c r="D884" s="69"/>
      <c r="E884" s="69"/>
      <c r="F884" s="70"/>
      <c r="G884" s="69"/>
      <c r="K884" s="71"/>
    </row>
    <row r="885">
      <c r="D885" s="69"/>
      <c r="E885" s="69"/>
      <c r="F885" s="70"/>
      <c r="G885" s="69"/>
      <c r="K885" s="71"/>
    </row>
    <row r="886">
      <c r="D886" s="69"/>
      <c r="E886" s="69"/>
      <c r="F886" s="70"/>
      <c r="G886" s="69"/>
      <c r="K886" s="71"/>
    </row>
    <row r="887">
      <c r="D887" s="69"/>
      <c r="E887" s="69"/>
      <c r="F887" s="70"/>
      <c r="G887" s="69"/>
      <c r="K887" s="71"/>
    </row>
    <row r="888">
      <c r="D888" s="69"/>
      <c r="E888" s="69"/>
      <c r="F888" s="70"/>
      <c r="G888" s="69"/>
      <c r="K888" s="71"/>
    </row>
    <row r="889">
      <c r="D889" s="69"/>
      <c r="E889" s="69"/>
      <c r="F889" s="70"/>
      <c r="G889" s="69"/>
      <c r="K889" s="71"/>
    </row>
    <row r="890">
      <c r="D890" s="69"/>
      <c r="E890" s="69"/>
      <c r="F890" s="70"/>
      <c r="G890" s="69"/>
      <c r="K890" s="71"/>
    </row>
    <row r="891">
      <c r="D891" s="69"/>
      <c r="E891" s="69"/>
      <c r="F891" s="70"/>
      <c r="G891" s="69"/>
      <c r="K891" s="71"/>
    </row>
    <row r="892">
      <c r="D892" s="69"/>
      <c r="E892" s="69"/>
      <c r="F892" s="70"/>
      <c r="G892" s="69"/>
      <c r="K892" s="71"/>
    </row>
    <row r="893">
      <c r="D893" s="69"/>
      <c r="E893" s="69"/>
      <c r="F893" s="70"/>
      <c r="G893" s="69"/>
      <c r="K893" s="71"/>
    </row>
    <row r="894">
      <c r="D894" s="69"/>
      <c r="E894" s="69"/>
      <c r="F894" s="70"/>
      <c r="G894" s="69"/>
      <c r="K894" s="71"/>
    </row>
    <row r="895">
      <c r="D895" s="69"/>
      <c r="E895" s="69"/>
      <c r="F895" s="70"/>
      <c r="G895" s="69"/>
      <c r="K895" s="71"/>
    </row>
    <row r="896">
      <c r="D896" s="69"/>
      <c r="E896" s="69"/>
      <c r="F896" s="70"/>
      <c r="G896" s="69"/>
      <c r="K896" s="71"/>
    </row>
    <row r="897">
      <c r="D897" s="69"/>
      <c r="E897" s="69"/>
      <c r="F897" s="70"/>
      <c r="G897" s="69"/>
      <c r="K897" s="71"/>
    </row>
    <row r="898">
      <c r="D898" s="69"/>
      <c r="E898" s="69"/>
      <c r="F898" s="70"/>
      <c r="G898" s="69"/>
      <c r="K898" s="71"/>
    </row>
    <row r="899">
      <c r="D899" s="69"/>
      <c r="E899" s="69"/>
      <c r="F899" s="70"/>
      <c r="G899" s="69"/>
      <c r="K899" s="71"/>
    </row>
    <row r="900">
      <c r="D900" s="69"/>
      <c r="E900" s="69"/>
      <c r="F900" s="70"/>
      <c r="G900" s="69"/>
      <c r="K900" s="71"/>
    </row>
    <row r="901">
      <c r="D901" s="69"/>
      <c r="E901" s="69"/>
      <c r="F901" s="70"/>
      <c r="G901" s="69"/>
      <c r="K901" s="71"/>
    </row>
    <row r="902">
      <c r="D902" s="69"/>
      <c r="E902" s="69"/>
      <c r="F902" s="70"/>
      <c r="G902" s="69"/>
      <c r="K902" s="71"/>
    </row>
    <row r="903">
      <c r="D903" s="69"/>
      <c r="E903" s="69"/>
      <c r="F903" s="70"/>
      <c r="G903" s="69"/>
      <c r="K903" s="71"/>
    </row>
    <row r="904">
      <c r="D904" s="69"/>
      <c r="E904" s="69"/>
      <c r="F904" s="70"/>
      <c r="G904" s="69"/>
      <c r="K904" s="71"/>
    </row>
    <row r="905">
      <c r="D905" s="69"/>
      <c r="E905" s="69"/>
      <c r="F905" s="70"/>
      <c r="G905" s="69"/>
      <c r="K905" s="71"/>
    </row>
    <row r="906">
      <c r="D906" s="69"/>
      <c r="E906" s="69"/>
      <c r="F906" s="70"/>
      <c r="G906" s="69"/>
      <c r="K906" s="71"/>
    </row>
    <row r="907">
      <c r="D907" s="69"/>
      <c r="E907" s="69"/>
      <c r="F907" s="70"/>
      <c r="G907" s="69"/>
      <c r="K907" s="71"/>
    </row>
    <row r="908">
      <c r="D908" s="69"/>
      <c r="E908" s="69"/>
      <c r="F908" s="70"/>
      <c r="G908" s="69"/>
      <c r="K908" s="71"/>
    </row>
    <row r="909">
      <c r="D909" s="69"/>
      <c r="E909" s="69"/>
      <c r="F909" s="70"/>
      <c r="G909" s="69"/>
      <c r="K909" s="71"/>
    </row>
    <row r="910">
      <c r="D910" s="69"/>
      <c r="E910" s="69"/>
      <c r="F910" s="70"/>
      <c r="G910" s="69"/>
      <c r="K910" s="71"/>
    </row>
    <row r="911">
      <c r="D911" s="69"/>
      <c r="E911" s="69"/>
      <c r="F911" s="70"/>
      <c r="G911" s="69"/>
      <c r="K911" s="71"/>
    </row>
    <row r="912">
      <c r="D912" s="69"/>
      <c r="E912" s="69"/>
      <c r="F912" s="70"/>
      <c r="G912" s="69"/>
      <c r="K912" s="71"/>
    </row>
    <row r="913">
      <c r="D913" s="69"/>
      <c r="E913" s="69"/>
      <c r="F913" s="70"/>
      <c r="G913" s="69"/>
      <c r="K913" s="71"/>
    </row>
    <row r="914">
      <c r="D914" s="69"/>
      <c r="E914" s="69"/>
      <c r="F914" s="70"/>
      <c r="G914" s="69"/>
      <c r="K914" s="71"/>
    </row>
    <row r="915">
      <c r="D915" s="69"/>
      <c r="E915" s="69"/>
      <c r="F915" s="70"/>
      <c r="G915" s="69"/>
      <c r="K915" s="71"/>
    </row>
    <row r="916">
      <c r="D916" s="69"/>
      <c r="E916" s="69"/>
      <c r="F916" s="70"/>
      <c r="G916" s="69"/>
      <c r="K916" s="71"/>
    </row>
    <row r="917">
      <c r="D917" s="69"/>
      <c r="E917" s="69"/>
      <c r="F917" s="70"/>
      <c r="G917" s="69"/>
      <c r="K917" s="71"/>
    </row>
    <row r="918">
      <c r="D918" s="69"/>
      <c r="E918" s="69"/>
      <c r="F918" s="70"/>
      <c r="G918" s="69"/>
      <c r="K918" s="71"/>
    </row>
    <row r="919">
      <c r="D919" s="69"/>
      <c r="E919" s="69"/>
      <c r="F919" s="70"/>
      <c r="G919" s="69"/>
      <c r="K919" s="71"/>
    </row>
    <row r="920">
      <c r="D920" s="69"/>
      <c r="E920" s="69"/>
      <c r="F920" s="70"/>
      <c r="G920" s="69"/>
      <c r="K920" s="71"/>
    </row>
    <row r="921">
      <c r="D921" s="69"/>
      <c r="E921" s="69"/>
      <c r="F921" s="70"/>
      <c r="G921" s="69"/>
      <c r="K921" s="71"/>
    </row>
    <row r="922">
      <c r="D922" s="69"/>
      <c r="E922" s="69"/>
      <c r="F922" s="70"/>
      <c r="G922" s="69"/>
      <c r="K922" s="71"/>
    </row>
    <row r="923">
      <c r="D923" s="69"/>
      <c r="E923" s="69"/>
      <c r="F923" s="70"/>
      <c r="G923" s="69"/>
      <c r="K923" s="71"/>
    </row>
    <row r="924">
      <c r="D924" s="69"/>
      <c r="E924" s="69"/>
      <c r="F924" s="70"/>
      <c r="G924" s="69"/>
      <c r="K924" s="71"/>
    </row>
    <row r="925">
      <c r="D925" s="69"/>
      <c r="E925" s="69"/>
      <c r="F925" s="70"/>
      <c r="G925" s="69"/>
      <c r="K925" s="71"/>
    </row>
    <row r="926">
      <c r="D926" s="69"/>
      <c r="E926" s="69"/>
      <c r="F926" s="70"/>
      <c r="G926" s="69"/>
      <c r="K926" s="71"/>
    </row>
    <row r="927">
      <c r="D927" s="69"/>
      <c r="E927" s="69"/>
      <c r="F927" s="70"/>
      <c r="G927" s="69"/>
      <c r="K927" s="71"/>
    </row>
    <row r="928">
      <c r="D928" s="69"/>
      <c r="E928" s="69"/>
      <c r="F928" s="70"/>
      <c r="G928" s="69"/>
      <c r="K928" s="71"/>
    </row>
    <row r="929">
      <c r="D929" s="69"/>
      <c r="E929" s="69"/>
      <c r="F929" s="70"/>
      <c r="G929" s="69"/>
      <c r="K929" s="71"/>
    </row>
    <row r="930">
      <c r="D930" s="69"/>
      <c r="E930" s="69"/>
      <c r="F930" s="70"/>
      <c r="G930" s="69"/>
      <c r="K930" s="71"/>
    </row>
    <row r="931">
      <c r="D931" s="69"/>
      <c r="E931" s="69"/>
      <c r="F931" s="70"/>
      <c r="G931" s="69"/>
      <c r="K931" s="71"/>
    </row>
    <row r="932">
      <c r="D932" s="69"/>
      <c r="E932" s="69"/>
      <c r="F932" s="70"/>
      <c r="G932" s="69"/>
      <c r="K932" s="71"/>
    </row>
    <row r="933">
      <c r="D933" s="69"/>
      <c r="E933" s="69"/>
      <c r="F933" s="70"/>
      <c r="G933" s="69"/>
      <c r="K933" s="71"/>
    </row>
    <row r="934">
      <c r="D934" s="69"/>
      <c r="E934" s="69"/>
      <c r="F934" s="70"/>
      <c r="G934" s="69"/>
      <c r="K934" s="71"/>
    </row>
    <row r="935">
      <c r="D935" s="69"/>
      <c r="E935" s="69"/>
      <c r="F935" s="70"/>
      <c r="G935" s="69"/>
      <c r="K935" s="71"/>
    </row>
    <row r="936">
      <c r="D936" s="69"/>
      <c r="E936" s="69"/>
      <c r="F936" s="70"/>
      <c r="G936" s="69"/>
      <c r="K936" s="71"/>
    </row>
    <row r="937">
      <c r="D937" s="69"/>
      <c r="E937" s="69"/>
      <c r="F937" s="70"/>
      <c r="G937" s="69"/>
      <c r="K937" s="71"/>
    </row>
    <row r="938">
      <c r="D938" s="69"/>
      <c r="E938" s="69"/>
      <c r="F938" s="70"/>
      <c r="G938" s="69"/>
      <c r="K938" s="71"/>
    </row>
    <row r="939">
      <c r="D939" s="69"/>
      <c r="E939" s="69"/>
      <c r="F939" s="70"/>
      <c r="G939" s="69"/>
      <c r="K939" s="71"/>
    </row>
    <row r="940">
      <c r="D940" s="69"/>
      <c r="E940" s="69"/>
      <c r="F940" s="70"/>
      <c r="G940" s="69"/>
      <c r="K940" s="71"/>
    </row>
    <row r="941">
      <c r="D941" s="69"/>
      <c r="E941" s="69"/>
      <c r="F941" s="70"/>
      <c r="G941" s="69"/>
      <c r="K941" s="71"/>
    </row>
    <row r="942">
      <c r="D942" s="69"/>
      <c r="E942" s="69"/>
      <c r="F942" s="70"/>
      <c r="G942" s="69"/>
      <c r="K942" s="71"/>
    </row>
    <row r="943">
      <c r="D943" s="69"/>
      <c r="E943" s="69"/>
      <c r="F943" s="70"/>
      <c r="G943" s="69"/>
      <c r="K943" s="71"/>
    </row>
    <row r="944">
      <c r="D944" s="69"/>
      <c r="E944" s="69"/>
      <c r="F944" s="70"/>
      <c r="G944" s="69"/>
      <c r="K944" s="71"/>
    </row>
    <row r="945">
      <c r="D945" s="69"/>
      <c r="E945" s="69"/>
      <c r="F945" s="70"/>
      <c r="G945" s="69"/>
      <c r="K945" s="71"/>
    </row>
    <row r="946">
      <c r="D946" s="69"/>
      <c r="E946" s="69"/>
      <c r="F946" s="70"/>
      <c r="G946" s="69"/>
      <c r="K946" s="71"/>
    </row>
    <row r="947">
      <c r="D947" s="69"/>
      <c r="E947" s="69"/>
      <c r="F947" s="70"/>
      <c r="G947" s="69"/>
      <c r="K947" s="71"/>
    </row>
    <row r="948">
      <c r="D948" s="69"/>
      <c r="E948" s="69"/>
      <c r="F948" s="70"/>
      <c r="G948" s="69"/>
      <c r="K948" s="71"/>
    </row>
    <row r="949">
      <c r="D949" s="69"/>
      <c r="E949" s="69"/>
      <c r="F949" s="70"/>
      <c r="G949" s="69"/>
      <c r="K949" s="71"/>
    </row>
    <row r="950">
      <c r="D950" s="69"/>
      <c r="E950" s="69"/>
      <c r="F950" s="70"/>
      <c r="G950" s="69"/>
      <c r="K950" s="71"/>
    </row>
    <row r="951">
      <c r="D951" s="69"/>
      <c r="E951" s="69"/>
      <c r="F951" s="70"/>
      <c r="G951" s="69"/>
      <c r="K951" s="71"/>
    </row>
    <row r="952">
      <c r="D952" s="69"/>
      <c r="E952" s="69"/>
      <c r="F952" s="70"/>
      <c r="G952" s="69"/>
      <c r="K952" s="71"/>
    </row>
    <row r="953">
      <c r="D953" s="69"/>
      <c r="E953" s="69"/>
      <c r="F953" s="70"/>
      <c r="G953" s="69"/>
      <c r="K953" s="71"/>
    </row>
    <row r="954">
      <c r="D954" s="69"/>
      <c r="E954" s="69"/>
      <c r="F954" s="70"/>
      <c r="G954" s="69"/>
      <c r="K954" s="71"/>
    </row>
    <row r="955">
      <c r="D955" s="69"/>
      <c r="E955" s="69"/>
      <c r="F955" s="70"/>
      <c r="G955" s="69"/>
      <c r="K955" s="71"/>
    </row>
    <row r="956">
      <c r="D956" s="69"/>
      <c r="E956" s="69"/>
      <c r="F956" s="70"/>
      <c r="G956" s="69"/>
      <c r="K956" s="71"/>
    </row>
    <row r="957">
      <c r="D957" s="69"/>
      <c r="E957" s="69"/>
      <c r="F957" s="70"/>
      <c r="G957" s="69"/>
      <c r="K957" s="71"/>
    </row>
    <row r="958">
      <c r="D958" s="69"/>
      <c r="E958" s="69"/>
      <c r="F958" s="70"/>
      <c r="G958" s="69"/>
      <c r="K958" s="71"/>
    </row>
    <row r="959">
      <c r="D959" s="69"/>
      <c r="E959" s="69"/>
      <c r="F959" s="70"/>
      <c r="G959" s="69"/>
      <c r="K959" s="71"/>
    </row>
    <row r="960">
      <c r="D960" s="69"/>
      <c r="E960" s="69"/>
      <c r="F960" s="70"/>
      <c r="G960" s="69"/>
      <c r="K960" s="71"/>
    </row>
    <row r="961">
      <c r="D961" s="69"/>
      <c r="E961" s="69"/>
      <c r="F961" s="70"/>
      <c r="G961" s="69"/>
      <c r="K961" s="71"/>
    </row>
    <row r="962">
      <c r="D962" s="69"/>
      <c r="E962" s="69"/>
      <c r="F962" s="70"/>
      <c r="G962" s="69"/>
      <c r="K962" s="71"/>
    </row>
    <row r="963">
      <c r="D963" s="69"/>
      <c r="E963" s="69"/>
      <c r="F963" s="70"/>
      <c r="G963" s="69"/>
      <c r="K963" s="71"/>
    </row>
    <row r="964">
      <c r="D964" s="69"/>
      <c r="E964" s="69"/>
      <c r="F964" s="70"/>
      <c r="G964" s="69"/>
      <c r="K964" s="71"/>
    </row>
    <row r="965">
      <c r="D965" s="69"/>
      <c r="E965" s="69"/>
      <c r="F965" s="70"/>
      <c r="G965" s="69"/>
      <c r="K965" s="71"/>
    </row>
    <row r="966">
      <c r="D966" s="69"/>
      <c r="E966" s="69"/>
      <c r="F966" s="70"/>
      <c r="G966" s="69"/>
      <c r="K966" s="71"/>
    </row>
    <row r="967">
      <c r="D967" s="69"/>
      <c r="E967" s="69"/>
      <c r="F967" s="70"/>
      <c r="G967" s="69"/>
      <c r="K967" s="71"/>
    </row>
    <row r="968">
      <c r="D968" s="69"/>
      <c r="E968" s="69"/>
      <c r="F968" s="70"/>
      <c r="G968" s="69"/>
      <c r="K968" s="71"/>
    </row>
    <row r="969">
      <c r="D969" s="69"/>
      <c r="E969" s="69"/>
      <c r="F969" s="70"/>
      <c r="G969" s="69"/>
      <c r="K969" s="71"/>
    </row>
    <row r="970">
      <c r="D970" s="69"/>
      <c r="E970" s="69"/>
      <c r="F970" s="70"/>
      <c r="G970" s="69"/>
      <c r="K970" s="71"/>
    </row>
    <row r="971">
      <c r="D971" s="69"/>
      <c r="E971" s="69"/>
      <c r="F971" s="70"/>
      <c r="G971" s="69"/>
      <c r="K971" s="71"/>
    </row>
    <row r="972">
      <c r="D972" s="69"/>
      <c r="E972" s="69"/>
      <c r="F972" s="70"/>
      <c r="G972" s="69"/>
      <c r="K972" s="71"/>
    </row>
    <row r="973">
      <c r="D973" s="69"/>
      <c r="E973" s="69"/>
      <c r="F973" s="70"/>
      <c r="G973" s="69"/>
      <c r="K973" s="71"/>
    </row>
    <row r="974">
      <c r="D974" s="69"/>
      <c r="E974" s="69"/>
      <c r="F974" s="70"/>
      <c r="G974" s="69"/>
      <c r="K974" s="71"/>
    </row>
    <row r="975">
      <c r="D975" s="69"/>
      <c r="E975" s="69"/>
      <c r="F975" s="70"/>
      <c r="G975" s="69"/>
      <c r="K975" s="71"/>
    </row>
    <row r="976">
      <c r="D976" s="69"/>
      <c r="E976" s="69"/>
      <c r="F976" s="70"/>
      <c r="G976" s="69"/>
      <c r="K976" s="71"/>
    </row>
    <row r="977">
      <c r="D977" s="69"/>
      <c r="E977" s="69"/>
      <c r="F977" s="70"/>
      <c r="G977" s="69"/>
      <c r="K977" s="71"/>
    </row>
    <row r="978">
      <c r="D978" s="69"/>
      <c r="E978" s="69"/>
      <c r="F978" s="70"/>
      <c r="G978" s="69"/>
      <c r="K978" s="71"/>
    </row>
    <row r="979">
      <c r="D979" s="69"/>
      <c r="E979" s="69"/>
      <c r="F979" s="70"/>
      <c r="G979" s="69"/>
      <c r="K979" s="71"/>
    </row>
    <row r="980">
      <c r="D980" s="69"/>
      <c r="E980" s="69"/>
      <c r="F980" s="70"/>
      <c r="G980" s="69"/>
      <c r="K980" s="71"/>
    </row>
    <row r="981">
      <c r="D981" s="69"/>
      <c r="E981" s="69"/>
      <c r="F981" s="70"/>
      <c r="G981" s="69"/>
      <c r="K981" s="71"/>
    </row>
    <row r="982">
      <c r="D982" s="69"/>
      <c r="E982" s="69"/>
      <c r="F982" s="70"/>
      <c r="G982" s="69"/>
      <c r="K982" s="71"/>
    </row>
    <row r="983">
      <c r="D983" s="69"/>
      <c r="E983" s="69"/>
      <c r="F983" s="70"/>
      <c r="G983" s="69"/>
      <c r="K983" s="71"/>
    </row>
    <row r="984">
      <c r="D984" s="69"/>
      <c r="E984" s="69"/>
      <c r="F984" s="70"/>
      <c r="G984" s="69"/>
      <c r="K984" s="71"/>
    </row>
    <row r="985">
      <c r="D985" s="69"/>
      <c r="E985" s="69"/>
      <c r="F985" s="70"/>
      <c r="G985" s="69"/>
      <c r="K985" s="71"/>
    </row>
    <row r="986">
      <c r="D986" s="69"/>
      <c r="E986" s="69"/>
      <c r="F986" s="70"/>
      <c r="G986" s="69"/>
      <c r="K986" s="71"/>
    </row>
    <row r="987">
      <c r="D987" s="69"/>
      <c r="E987" s="69"/>
      <c r="F987" s="70"/>
      <c r="G987" s="69"/>
      <c r="K987" s="71"/>
    </row>
    <row r="988">
      <c r="D988" s="69"/>
      <c r="E988" s="69"/>
      <c r="F988" s="70"/>
      <c r="G988" s="69"/>
      <c r="K988" s="71"/>
    </row>
    <row r="989">
      <c r="D989" s="69"/>
      <c r="E989" s="69"/>
      <c r="F989" s="70"/>
      <c r="G989" s="69"/>
      <c r="K989" s="71"/>
    </row>
    <row r="990">
      <c r="D990" s="69"/>
      <c r="E990" s="69"/>
      <c r="F990" s="70"/>
      <c r="G990" s="69"/>
      <c r="K990" s="71"/>
    </row>
    <row r="991">
      <c r="D991" s="69"/>
      <c r="E991" s="69"/>
      <c r="F991" s="70"/>
      <c r="G991" s="69"/>
      <c r="K991" s="71"/>
    </row>
    <row r="992">
      <c r="D992" s="69"/>
      <c r="E992" s="69"/>
      <c r="F992" s="70"/>
      <c r="G992" s="69"/>
      <c r="K992" s="71"/>
    </row>
    <row r="993">
      <c r="D993" s="69"/>
      <c r="E993" s="69"/>
      <c r="F993" s="70"/>
      <c r="G993" s="69"/>
      <c r="K993" s="71"/>
    </row>
    <row r="994">
      <c r="D994" s="69"/>
      <c r="E994" s="69"/>
      <c r="F994" s="70"/>
      <c r="G994" s="69"/>
      <c r="K994" s="71"/>
    </row>
    <row r="995">
      <c r="D995" s="69"/>
      <c r="E995" s="69"/>
      <c r="F995" s="70"/>
      <c r="G995" s="69"/>
      <c r="K995" s="71"/>
    </row>
    <row r="996">
      <c r="D996" s="69"/>
      <c r="E996" s="69"/>
      <c r="F996" s="70"/>
      <c r="G996" s="69"/>
      <c r="K996" s="71"/>
    </row>
    <row r="997">
      <c r="D997" s="69"/>
      <c r="E997" s="69"/>
      <c r="F997" s="70"/>
      <c r="G997" s="69"/>
      <c r="K997" s="71"/>
    </row>
    <row r="998">
      <c r="D998" s="69"/>
      <c r="E998" s="69"/>
      <c r="F998" s="70"/>
      <c r="G998" s="69"/>
      <c r="K998" s="71"/>
    </row>
    <row r="999">
      <c r="D999" s="69"/>
      <c r="E999" s="69"/>
      <c r="F999" s="70"/>
      <c r="G999" s="69"/>
      <c r="K999" s="71"/>
    </row>
    <row r="1000">
      <c r="D1000" s="69"/>
      <c r="E1000" s="69"/>
      <c r="F1000" s="70"/>
      <c r="G1000" s="69"/>
      <c r="K1000" s="71"/>
    </row>
    <row r="1001">
      <c r="D1001" s="69"/>
      <c r="E1001" s="69"/>
      <c r="F1001" s="70"/>
      <c r="G1001" s="69"/>
      <c r="K1001" s="71"/>
    </row>
    <row r="1002">
      <c r="D1002" s="69"/>
      <c r="E1002" s="69"/>
      <c r="F1002" s="70"/>
      <c r="G1002" s="69"/>
      <c r="K1002" s="71"/>
    </row>
    <row r="1003">
      <c r="D1003" s="69"/>
      <c r="E1003" s="69"/>
      <c r="F1003" s="70"/>
      <c r="G1003" s="69"/>
      <c r="K1003" s="71"/>
    </row>
    <row r="1004">
      <c r="D1004" s="69"/>
      <c r="E1004" s="69"/>
      <c r="F1004" s="70"/>
      <c r="G1004" s="69"/>
      <c r="K1004" s="71"/>
    </row>
    <row r="1005">
      <c r="D1005" s="69"/>
      <c r="E1005" s="69"/>
      <c r="F1005" s="70"/>
      <c r="G1005" s="69"/>
      <c r="K1005" s="71"/>
    </row>
    <row r="1006">
      <c r="D1006" s="69"/>
      <c r="E1006" s="69"/>
      <c r="F1006" s="70"/>
      <c r="G1006" s="69"/>
      <c r="K1006" s="71"/>
    </row>
    <row r="1007">
      <c r="D1007" s="69"/>
      <c r="E1007" s="69"/>
      <c r="F1007" s="70"/>
      <c r="G1007" s="69"/>
      <c r="K1007" s="71"/>
    </row>
    <row r="1008">
      <c r="D1008" s="69"/>
      <c r="E1008" s="69"/>
      <c r="F1008" s="70"/>
      <c r="G1008" s="69"/>
      <c r="K1008" s="71"/>
    </row>
    <row r="1009">
      <c r="D1009" s="69"/>
      <c r="E1009" s="69"/>
      <c r="F1009" s="70"/>
      <c r="G1009" s="69"/>
      <c r="K1009" s="71"/>
    </row>
    <row r="1010">
      <c r="D1010" s="69"/>
      <c r="E1010" s="69"/>
      <c r="F1010" s="70"/>
      <c r="G1010" s="69"/>
      <c r="K1010" s="71"/>
    </row>
    <row r="1011">
      <c r="D1011" s="69"/>
      <c r="E1011" s="69"/>
      <c r="F1011" s="70"/>
      <c r="G1011" s="69"/>
      <c r="K1011" s="71"/>
    </row>
    <row r="1012">
      <c r="D1012" s="69"/>
      <c r="E1012" s="69"/>
      <c r="F1012" s="70"/>
      <c r="G1012" s="69"/>
      <c r="K1012" s="71"/>
    </row>
    <row r="1013">
      <c r="D1013" s="69"/>
      <c r="E1013" s="69"/>
      <c r="F1013" s="70"/>
      <c r="G1013" s="69"/>
      <c r="K1013" s="71"/>
    </row>
    <row r="1014">
      <c r="D1014" s="69"/>
      <c r="E1014" s="69"/>
      <c r="F1014" s="70"/>
      <c r="G1014" s="69"/>
      <c r="K1014" s="71"/>
    </row>
    <row r="1015">
      <c r="D1015" s="69"/>
      <c r="E1015" s="69"/>
      <c r="F1015" s="70"/>
      <c r="G1015" s="69"/>
      <c r="K1015" s="71"/>
    </row>
    <row r="1016">
      <c r="D1016" s="69"/>
      <c r="E1016" s="69"/>
      <c r="F1016" s="70"/>
      <c r="G1016" s="69"/>
      <c r="K1016" s="71"/>
    </row>
    <row r="1017">
      <c r="D1017" s="69"/>
      <c r="E1017" s="69"/>
      <c r="F1017" s="70"/>
      <c r="G1017" s="69"/>
      <c r="K1017" s="71"/>
    </row>
    <row r="1018">
      <c r="D1018" s="69"/>
      <c r="E1018" s="69"/>
      <c r="F1018" s="70"/>
      <c r="G1018" s="69"/>
      <c r="K1018" s="71"/>
    </row>
    <row r="1019">
      <c r="D1019" s="69"/>
      <c r="E1019" s="69"/>
      <c r="F1019" s="70"/>
      <c r="G1019" s="69"/>
      <c r="K1019" s="71"/>
    </row>
    <row r="1020">
      <c r="D1020" s="69"/>
      <c r="E1020" s="69"/>
      <c r="F1020" s="70"/>
      <c r="G1020" s="69"/>
      <c r="K1020" s="71"/>
    </row>
    <row r="1021">
      <c r="D1021" s="69"/>
      <c r="E1021" s="69"/>
      <c r="F1021" s="70"/>
      <c r="G1021" s="69"/>
      <c r="K1021" s="71"/>
    </row>
    <row r="1022">
      <c r="D1022" s="69"/>
      <c r="E1022" s="69"/>
      <c r="F1022" s="70"/>
      <c r="G1022" s="69"/>
      <c r="K1022" s="71"/>
    </row>
    <row r="1023">
      <c r="D1023" s="69"/>
      <c r="E1023" s="69"/>
      <c r="F1023" s="70"/>
      <c r="G1023" s="69"/>
      <c r="K1023" s="71"/>
    </row>
    <row r="1024">
      <c r="D1024" s="69"/>
      <c r="E1024" s="69"/>
      <c r="F1024" s="70"/>
      <c r="G1024" s="69"/>
      <c r="K1024" s="71"/>
    </row>
    <row r="1025">
      <c r="D1025" s="69"/>
      <c r="E1025" s="69"/>
      <c r="F1025" s="70"/>
      <c r="G1025" s="69"/>
      <c r="K1025" s="71"/>
    </row>
    <row r="1026">
      <c r="D1026" s="69"/>
      <c r="E1026" s="69"/>
      <c r="F1026" s="70"/>
      <c r="G1026" s="69"/>
      <c r="K1026" s="71"/>
    </row>
    <row r="1027">
      <c r="D1027" s="69"/>
      <c r="E1027" s="69"/>
      <c r="F1027" s="70"/>
      <c r="G1027" s="69"/>
      <c r="K1027" s="71"/>
    </row>
    <row r="1028">
      <c r="D1028" s="69"/>
      <c r="E1028" s="69"/>
      <c r="F1028" s="70"/>
      <c r="G1028" s="69"/>
      <c r="K1028" s="71"/>
    </row>
    <row r="1029">
      <c r="D1029" s="69"/>
      <c r="E1029" s="69"/>
      <c r="F1029" s="70"/>
      <c r="G1029" s="69"/>
      <c r="K1029" s="71"/>
    </row>
    <row r="1030">
      <c r="D1030" s="69"/>
      <c r="E1030" s="69"/>
      <c r="F1030" s="70"/>
      <c r="G1030" s="69"/>
      <c r="K1030" s="71"/>
    </row>
    <row r="1031">
      <c r="D1031" s="69"/>
      <c r="E1031" s="69"/>
      <c r="F1031" s="70"/>
      <c r="G1031" s="69"/>
      <c r="K1031" s="71"/>
    </row>
    <row r="1032">
      <c r="D1032" s="69"/>
      <c r="E1032" s="69"/>
      <c r="F1032" s="70"/>
      <c r="G1032" s="69"/>
      <c r="K1032" s="71"/>
    </row>
    <row r="1033">
      <c r="D1033" s="69"/>
      <c r="E1033" s="69"/>
      <c r="F1033" s="70"/>
      <c r="G1033" s="69"/>
      <c r="K1033" s="71"/>
    </row>
    <row r="1034">
      <c r="D1034" s="69"/>
      <c r="E1034" s="69"/>
      <c r="F1034" s="70"/>
      <c r="G1034" s="69"/>
      <c r="K1034" s="71"/>
    </row>
    <row r="1035">
      <c r="D1035" s="69"/>
      <c r="E1035" s="69"/>
      <c r="F1035" s="70"/>
      <c r="G1035" s="69"/>
      <c r="K1035" s="71"/>
    </row>
    <row r="1036">
      <c r="D1036" s="69"/>
      <c r="E1036" s="69"/>
      <c r="F1036" s="70"/>
      <c r="G1036" s="69"/>
      <c r="K1036" s="71"/>
    </row>
    <row r="1037">
      <c r="D1037" s="69"/>
      <c r="E1037" s="69"/>
      <c r="F1037" s="70"/>
      <c r="G1037" s="69"/>
      <c r="K1037" s="71"/>
    </row>
    <row r="1038">
      <c r="D1038" s="69"/>
      <c r="E1038" s="69"/>
      <c r="F1038" s="70"/>
      <c r="G1038" s="69"/>
      <c r="K1038" s="71"/>
    </row>
    <row r="1039">
      <c r="D1039" s="69"/>
      <c r="E1039" s="69"/>
      <c r="F1039" s="70"/>
      <c r="G1039" s="69"/>
      <c r="K1039" s="71"/>
    </row>
    <row r="1040">
      <c r="D1040" s="69"/>
      <c r="E1040" s="69"/>
      <c r="F1040" s="70"/>
      <c r="G1040" s="69"/>
      <c r="K1040" s="71"/>
    </row>
    <row r="1041">
      <c r="D1041" s="69"/>
      <c r="E1041" s="69"/>
      <c r="F1041" s="70"/>
      <c r="G1041" s="69"/>
      <c r="K1041" s="71"/>
    </row>
    <row r="1042">
      <c r="D1042" s="69"/>
      <c r="E1042" s="69"/>
      <c r="F1042" s="70"/>
      <c r="G1042" s="69"/>
      <c r="K1042" s="71"/>
    </row>
    <row r="1043">
      <c r="D1043" s="69"/>
      <c r="E1043" s="69"/>
      <c r="F1043" s="70"/>
      <c r="G1043" s="69"/>
      <c r="K1043" s="71"/>
    </row>
    <row r="1044">
      <c r="D1044" s="69"/>
      <c r="E1044" s="69"/>
      <c r="F1044" s="70"/>
      <c r="G1044" s="69"/>
      <c r="K1044" s="71"/>
    </row>
    <row r="1045">
      <c r="D1045" s="69"/>
      <c r="E1045" s="69"/>
      <c r="F1045" s="70"/>
      <c r="G1045" s="69"/>
      <c r="K1045" s="71"/>
    </row>
    <row r="1046">
      <c r="D1046" s="69"/>
      <c r="E1046" s="69"/>
      <c r="F1046" s="70"/>
      <c r="G1046" s="69"/>
      <c r="K1046" s="71"/>
    </row>
    <row r="1047">
      <c r="D1047" s="69"/>
      <c r="E1047" s="69"/>
      <c r="F1047" s="70"/>
      <c r="G1047" s="69"/>
      <c r="K1047" s="71"/>
    </row>
    <row r="1048">
      <c r="D1048" s="69"/>
      <c r="E1048" s="69"/>
      <c r="F1048" s="70"/>
      <c r="G1048" s="69"/>
      <c r="K1048" s="71"/>
    </row>
    <row r="1049">
      <c r="D1049" s="69"/>
      <c r="E1049" s="69"/>
      <c r="F1049" s="70"/>
      <c r="G1049" s="69"/>
      <c r="K1049" s="71"/>
    </row>
    <row r="1050">
      <c r="D1050" s="69"/>
      <c r="E1050" s="69"/>
      <c r="F1050" s="70"/>
      <c r="G1050" s="69"/>
      <c r="K1050" s="71"/>
    </row>
    <row r="1051">
      <c r="D1051" s="69"/>
      <c r="E1051" s="69"/>
      <c r="F1051" s="70"/>
      <c r="G1051" s="69"/>
      <c r="K1051" s="71"/>
    </row>
    <row r="1052">
      <c r="D1052" s="69"/>
      <c r="E1052" s="69"/>
      <c r="F1052" s="70"/>
      <c r="G1052" s="69"/>
      <c r="K1052" s="71"/>
    </row>
    <row r="1053">
      <c r="D1053" s="69"/>
      <c r="E1053" s="69"/>
      <c r="F1053" s="70"/>
      <c r="G1053" s="69"/>
      <c r="K1053" s="71"/>
    </row>
    <row r="1054">
      <c r="D1054" s="69"/>
      <c r="E1054" s="69"/>
      <c r="F1054" s="70"/>
      <c r="G1054" s="69"/>
      <c r="K1054" s="71"/>
    </row>
    <row r="1055">
      <c r="D1055" s="69"/>
      <c r="E1055" s="69"/>
      <c r="F1055" s="70"/>
      <c r="G1055" s="69"/>
      <c r="K1055" s="71"/>
    </row>
    <row r="1056">
      <c r="D1056" s="69"/>
      <c r="E1056" s="69"/>
      <c r="F1056" s="70"/>
      <c r="G1056" s="69"/>
      <c r="K1056" s="71"/>
    </row>
    <row r="1057">
      <c r="D1057" s="69"/>
      <c r="E1057" s="69"/>
      <c r="F1057" s="70"/>
      <c r="G1057" s="69"/>
      <c r="K1057" s="71"/>
    </row>
    <row r="1058">
      <c r="D1058" s="69"/>
      <c r="E1058" s="69"/>
      <c r="F1058" s="70"/>
      <c r="G1058" s="69"/>
      <c r="K1058" s="71"/>
    </row>
    <row r="1059">
      <c r="D1059" s="69"/>
      <c r="E1059" s="69"/>
      <c r="F1059" s="70"/>
      <c r="G1059" s="69"/>
      <c r="K1059" s="71"/>
    </row>
  </sheetData>
  <conditionalFormatting sqref="U4">
    <cfRule type="expression" dxfId="6" priority="1">
      <formula>NOT(ISERROR(FORMULATEXT(U4)))</formula>
    </cfRule>
  </conditionalFormatting>
  <conditionalFormatting sqref="U4:AJ5">
    <cfRule type="expression" dxfId="6" priority="2">
      <formula>NOT(ISERROR(FORMULATEXT(U4)))</formula>
    </cfRule>
  </conditionalFormatting>
  <conditionalFormatting sqref="B4:S78 X11:Z11 X18:Z18">
    <cfRule type="expression" dxfId="7" priority="3">
      <formula>NOT(ISERROR(FORMULATEXT(B4)))</formula>
    </cfRule>
  </conditionalFormatting>
  <dataValidations>
    <dataValidation type="custom" allowBlank="1" showDropDown="1" sqref="V4:V5 X4:X5 G4:G78">
      <formula1>OR(NOT(ISERROR(DATEVALUE(G4))), AND(ISNUMBER(G4), LEFT(CELL("format", G4))="D"))</formula1>
    </dataValidation>
    <dataValidation type="list" allowBlank="1" sqref="W4:W5">
      <formula1>"Open,Closed"</formula1>
    </dataValidation>
    <dataValidation type="custom" allowBlank="1" showDropDown="1" sqref="Y11:Z22 P4:P78 S4:S78">
      <formula1>AND(ISNUMBER(P4),(NOT(OR(NOT(ISERROR(DATEVALUE(P4))), AND(ISNUMBER(P4), LEFT(CELL("format", P4))="D")))))</formula1>
    </dataValidation>
  </dataValidations>
  <hyperlinks>
    <hyperlink r:id="rId1" ref="J4"/>
    <hyperlink r:id="rId2" ref="Y4"/>
    <hyperlink r:id="rId3" ref="Y5"/>
    <hyperlink r:id="rId4" ref="J11"/>
    <hyperlink r:id="rId5" ref="J17"/>
    <hyperlink r:id="rId6" ref="J23"/>
    <hyperlink r:id="rId7" ref="J29"/>
    <hyperlink r:id="rId8" ref="J35"/>
    <hyperlink r:id="rId9" ref="J41"/>
    <hyperlink r:id="rId10" ref="J59"/>
    <hyperlink r:id="rId11" ref="J65"/>
  </hyperlinks>
  <drawing r:id="rId12"/>
  <tableParts count="3">
    <tablePart r:id="rId16"/>
    <tablePart r:id="rId17"/>
    <tablePart r:id="rId1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63"/>
    <col customWidth="1" min="2" max="2" width="12.63"/>
    <col customWidth="1" min="3" max="3" width="57.0"/>
    <col customWidth="1" min="4" max="28" width="7.63"/>
  </cols>
  <sheetData>
    <row r="1" ht="22.5" customHeight="1">
      <c r="A1" s="170" t="s">
        <v>81</v>
      </c>
      <c r="B1" s="171" t="s">
        <v>82</v>
      </c>
      <c r="C1" s="172" t="s">
        <v>83</v>
      </c>
      <c r="D1" s="173"/>
      <c r="E1" s="174"/>
    </row>
    <row r="2" ht="22.5" customHeight="1">
      <c r="A2" s="175" t="s">
        <v>6</v>
      </c>
      <c r="B2" s="175">
        <v>100000.0</v>
      </c>
      <c r="C2" s="176" t="s">
        <v>84</v>
      </c>
      <c r="D2" s="174"/>
      <c r="E2" s="174"/>
    </row>
    <row r="3" ht="22.5" customHeight="1">
      <c r="A3" s="177" t="s">
        <v>85</v>
      </c>
      <c r="B3" s="175">
        <f>IFERROR(__xludf.DUMMYFUNCTION("GOOGLEFINANCE(""TSLA"",""price"")"),432.95)</f>
        <v>432.95</v>
      </c>
      <c r="C3" s="176" t="s">
        <v>86</v>
      </c>
      <c r="D3" s="174"/>
      <c r="E3" s="174"/>
    </row>
    <row r="4" ht="22.5" customHeight="1">
      <c r="A4" s="175" t="s">
        <v>87</v>
      </c>
      <c r="B4" s="88">
        <f>rounddown(Investment/TSLA_market_price,0)</f>
        <v>230</v>
      </c>
      <c r="C4" s="178"/>
      <c r="D4" s="174"/>
      <c r="E4" s="174"/>
    </row>
    <row r="5" ht="22.5" customHeight="1">
      <c r="A5" s="175" t="s">
        <v>88</v>
      </c>
      <c r="B5" s="175">
        <v>3.0</v>
      </c>
      <c r="C5" s="176"/>
      <c r="D5" s="174"/>
      <c r="E5" s="174"/>
    </row>
    <row r="6" ht="22.5" customHeight="1">
      <c r="A6" s="175" t="s">
        <v>89</v>
      </c>
      <c r="B6" s="84" t="s">
        <v>90</v>
      </c>
      <c r="C6" s="179"/>
      <c r="D6" s="174"/>
      <c r="E6" s="174"/>
    </row>
    <row r="7" ht="22.5" customHeight="1">
      <c r="A7" s="175"/>
      <c r="B7" s="175"/>
      <c r="C7" s="176"/>
      <c r="D7" s="174"/>
      <c r="E7" s="174"/>
    </row>
    <row r="8">
      <c r="B8" s="180"/>
      <c r="C8" s="180"/>
      <c r="D8" s="173"/>
      <c r="E8" s="174"/>
      <c r="F8" s="174"/>
    </row>
    <row r="9">
      <c r="A9" s="181"/>
      <c r="B9" s="180"/>
      <c r="C9" s="180"/>
      <c r="D9" s="173"/>
      <c r="E9" s="174"/>
      <c r="F9" s="174"/>
    </row>
    <row r="10">
      <c r="A10" s="180" t="s">
        <v>91</v>
      </c>
      <c r="B10" s="182" t="s">
        <v>92</v>
      </c>
      <c r="C10" s="173"/>
      <c r="D10" s="173"/>
      <c r="E10" s="174"/>
      <c r="F10" s="174"/>
    </row>
    <row r="11">
      <c r="A11" s="173"/>
      <c r="B11" s="182" t="s">
        <v>93</v>
      </c>
      <c r="C11" s="173"/>
      <c r="D11" s="173"/>
      <c r="E11" s="174"/>
      <c r="F11" s="174"/>
    </row>
    <row r="12">
      <c r="A12" s="173"/>
      <c r="B12" s="180"/>
      <c r="C12" s="180"/>
      <c r="D12" s="180"/>
      <c r="E12" s="174"/>
      <c r="F12" s="174"/>
    </row>
    <row r="13">
      <c r="A13" s="173"/>
      <c r="B13" s="180"/>
      <c r="C13" s="180"/>
      <c r="D13" s="180"/>
      <c r="E13" s="174"/>
      <c r="F13" s="174"/>
    </row>
    <row r="14">
      <c r="A14" s="173"/>
      <c r="B14" s="180"/>
      <c r="C14" s="180"/>
      <c r="D14" s="180"/>
      <c r="E14" s="174"/>
      <c r="F14" s="174"/>
    </row>
    <row r="15">
      <c r="A15" s="174"/>
      <c r="B15" s="174"/>
      <c r="C15" s="174"/>
      <c r="D15" s="174"/>
      <c r="E15" s="174"/>
      <c r="F15" s="174"/>
    </row>
    <row r="16">
      <c r="A16" s="174"/>
      <c r="B16" s="174"/>
      <c r="C16" s="174"/>
      <c r="D16" s="174"/>
      <c r="E16" s="174"/>
      <c r="F16" s="174"/>
    </row>
    <row r="17">
      <c r="A17" s="173"/>
      <c r="B17" s="180"/>
      <c r="C17" s="183"/>
      <c r="D17" s="184"/>
      <c r="E17" s="185"/>
      <c r="F17" s="185"/>
    </row>
    <row r="18">
      <c r="A18" s="173"/>
      <c r="B18" s="180"/>
      <c r="C18" s="183"/>
      <c r="D18" s="184"/>
      <c r="E18" s="185"/>
      <c r="F18" s="185"/>
    </row>
    <row r="19">
      <c r="A19" s="173"/>
      <c r="B19" s="180"/>
      <c r="C19" s="183"/>
      <c r="D19" s="184"/>
      <c r="E19" s="185"/>
      <c r="F19" s="185"/>
    </row>
    <row r="20">
      <c r="A20" s="174"/>
      <c r="B20" s="174"/>
      <c r="C20" s="174"/>
      <c r="D20" s="174"/>
      <c r="E20" s="174"/>
      <c r="F20" s="174"/>
    </row>
    <row r="21">
      <c r="A21" s="174"/>
      <c r="B21" s="174"/>
      <c r="C21" s="174"/>
      <c r="D21" s="174"/>
      <c r="E21" s="174"/>
      <c r="F21" s="17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hyperlinks>
    <hyperlink r:id="rId4" ref="B10"/>
    <hyperlink r:id="rId5" ref="B11"/>
  </hyperlinks>
  <printOptions/>
  <pageMargins bottom="1.0" footer="0.0" header="0.0" left="0.75" right="0.75" top="1.0"/>
  <pageSetup orientation="landscape"/>
  <drawing r:id="rId6"/>
  <legacyDrawing r:id="rId7"/>
  <tableParts count="1">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75"/>
    <col customWidth="1" min="2" max="2" width="15.13"/>
    <col customWidth="1" min="3" max="3" width="9.0"/>
    <col customWidth="1" min="4" max="5" width="8.13"/>
    <col customWidth="1" min="6" max="6" width="10.0"/>
    <col customWidth="1" min="7" max="7" width="9.0"/>
  </cols>
  <sheetData>
    <row r="1" ht="22.5" customHeight="1">
      <c r="A1" s="186" t="s">
        <v>94</v>
      </c>
      <c r="B1" s="186" t="s">
        <v>95</v>
      </c>
      <c r="C1" s="186" t="s">
        <v>96</v>
      </c>
      <c r="D1" s="186" t="s">
        <v>97</v>
      </c>
      <c r="E1" s="186" t="s">
        <v>98</v>
      </c>
      <c r="F1" s="186" t="s">
        <v>99</v>
      </c>
      <c r="G1" s="186" t="s">
        <v>100</v>
      </c>
      <c r="H1" s="186" t="s">
        <v>101</v>
      </c>
      <c r="I1" s="186" t="s">
        <v>102</v>
      </c>
      <c r="J1" s="186" t="s">
        <v>103</v>
      </c>
      <c r="K1" s="186" t="s">
        <v>104</v>
      </c>
      <c r="L1" s="186" t="s">
        <v>105</v>
      </c>
    </row>
    <row r="2" ht="22.5" customHeight="1">
      <c r="A2" s="187" t="s">
        <v>64</v>
      </c>
      <c r="B2" s="188">
        <v>46059.0</v>
      </c>
      <c r="C2" s="187">
        <v>125.0</v>
      </c>
      <c r="D2" s="187" t="s">
        <v>106</v>
      </c>
      <c r="E2" s="98">
        <v>108.5</v>
      </c>
      <c r="F2" s="98">
        <v>110.35</v>
      </c>
      <c r="G2" s="98">
        <v>112.2</v>
      </c>
      <c r="H2" s="189">
        <v>1.4461000000000002</v>
      </c>
      <c r="I2" s="98">
        <v>0.9894</v>
      </c>
      <c r="J2" s="98">
        <v>0.0</v>
      </c>
      <c r="K2" s="98">
        <v>12.0</v>
      </c>
      <c r="L2" s="189">
        <v>0.46649999999999997</v>
      </c>
    </row>
    <row r="3" ht="22.5" customHeight="1">
      <c r="A3" s="187" t="s">
        <v>64</v>
      </c>
      <c r="B3" s="188">
        <v>46059.0</v>
      </c>
      <c r="C3" s="187">
        <v>130.0</v>
      </c>
      <c r="D3" s="187" t="s">
        <v>106</v>
      </c>
      <c r="E3" s="98">
        <v>103.5</v>
      </c>
      <c r="F3" s="98">
        <v>105.1</v>
      </c>
      <c r="G3" s="98">
        <v>106.7</v>
      </c>
      <c r="H3" s="189">
        <v>1.0006</v>
      </c>
      <c r="I3" s="98">
        <v>0.9988</v>
      </c>
      <c r="J3" s="98">
        <v>0.0</v>
      </c>
      <c r="K3" s="98">
        <v>1.0</v>
      </c>
      <c r="L3" s="189">
        <v>0.4451</v>
      </c>
    </row>
    <row r="4" ht="22.5" customHeight="1">
      <c r="A4" s="187" t="s">
        <v>64</v>
      </c>
      <c r="B4" s="188">
        <v>46059.0</v>
      </c>
      <c r="C4" s="187">
        <v>135.0</v>
      </c>
      <c r="D4" s="187" t="s">
        <v>106</v>
      </c>
      <c r="E4" s="98">
        <v>98.55</v>
      </c>
      <c r="F4" s="98">
        <v>100.35</v>
      </c>
      <c r="G4" s="98">
        <v>102.15</v>
      </c>
      <c r="H4" s="189">
        <v>1.2761</v>
      </c>
      <c r="I4" s="98">
        <v>0.9886</v>
      </c>
      <c r="J4" s="98">
        <v>0.0</v>
      </c>
      <c r="K4" s="98">
        <v>2.0</v>
      </c>
      <c r="L4" s="189">
        <v>0.4238</v>
      </c>
    </row>
    <row r="5" ht="22.5" customHeight="1">
      <c r="A5" s="187" t="s">
        <v>64</v>
      </c>
      <c r="B5" s="188">
        <v>46059.0</v>
      </c>
      <c r="C5" s="187">
        <v>140.0</v>
      </c>
      <c r="D5" s="187" t="s">
        <v>106</v>
      </c>
      <c r="E5" s="98">
        <v>93.65</v>
      </c>
      <c r="F5" s="98">
        <v>94.75</v>
      </c>
      <c r="G5" s="98">
        <v>95.85</v>
      </c>
      <c r="H5" s="189">
        <v>0.7595999999999999</v>
      </c>
      <c r="I5" s="98">
        <v>0.9997</v>
      </c>
      <c r="J5" s="98">
        <v>1.0</v>
      </c>
      <c r="K5" s="98">
        <v>4.0</v>
      </c>
      <c r="L5" s="189">
        <v>0.40240000000000004</v>
      </c>
    </row>
    <row r="6" ht="22.5" customHeight="1">
      <c r="A6" s="187" t="s">
        <v>64</v>
      </c>
      <c r="B6" s="188">
        <v>46059.0</v>
      </c>
      <c r="C6" s="187">
        <v>145.0</v>
      </c>
      <c r="D6" s="187" t="s">
        <v>106</v>
      </c>
      <c r="E6" s="98">
        <v>88.55</v>
      </c>
      <c r="F6" s="98">
        <v>90.35</v>
      </c>
      <c r="G6" s="98">
        <v>92.15</v>
      </c>
      <c r="H6" s="189">
        <v>1.1185</v>
      </c>
      <c r="I6" s="98">
        <v>0.9877</v>
      </c>
      <c r="J6" s="98">
        <v>0.0</v>
      </c>
      <c r="K6" s="98">
        <v>9.0</v>
      </c>
      <c r="L6" s="189">
        <v>0.3811</v>
      </c>
    </row>
    <row r="7" ht="22.5" customHeight="1">
      <c r="A7" s="187" t="s">
        <v>64</v>
      </c>
      <c r="B7" s="188">
        <v>46059.0</v>
      </c>
      <c r="C7" s="187">
        <v>150.0</v>
      </c>
      <c r="D7" s="187" t="s">
        <v>106</v>
      </c>
      <c r="E7" s="98">
        <v>83.6</v>
      </c>
      <c r="F7" s="98">
        <v>85.25</v>
      </c>
      <c r="G7" s="98">
        <v>86.9</v>
      </c>
      <c r="H7" s="189">
        <v>0.9684</v>
      </c>
      <c r="I7" s="98">
        <v>0.9916</v>
      </c>
      <c r="J7" s="98">
        <v>0.0</v>
      </c>
      <c r="K7" s="98">
        <v>42.0</v>
      </c>
      <c r="L7" s="189">
        <v>0.35969999999999996</v>
      </c>
    </row>
    <row r="8" ht="22.5" customHeight="1">
      <c r="A8" s="187" t="s">
        <v>64</v>
      </c>
      <c r="B8" s="188">
        <v>46059.0</v>
      </c>
      <c r="C8" s="187">
        <v>155.0</v>
      </c>
      <c r="D8" s="187" t="s">
        <v>106</v>
      </c>
      <c r="E8" s="98">
        <v>78.9</v>
      </c>
      <c r="F8" s="98">
        <v>80.5</v>
      </c>
      <c r="G8" s="98">
        <v>82.1</v>
      </c>
      <c r="H8" s="189">
        <v>1.0492</v>
      </c>
      <c r="I8" s="98">
        <v>0.9807</v>
      </c>
      <c r="J8" s="98">
        <v>1.0</v>
      </c>
      <c r="K8" s="98">
        <v>44.0</v>
      </c>
      <c r="L8" s="189">
        <v>0.33840000000000003</v>
      </c>
    </row>
    <row r="9" ht="22.5" customHeight="1">
      <c r="A9" s="187" t="s">
        <v>64</v>
      </c>
      <c r="B9" s="188">
        <v>46059.0</v>
      </c>
      <c r="C9" s="187">
        <v>160.0</v>
      </c>
      <c r="D9" s="187" t="s">
        <v>106</v>
      </c>
      <c r="E9" s="98">
        <v>73.65</v>
      </c>
      <c r="F9" s="98">
        <v>75.38</v>
      </c>
      <c r="G9" s="98">
        <v>77.1</v>
      </c>
      <c r="H9" s="189">
        <v>0.9157</v>
      </c>
      <c r="I9" s="98">
        <v>0.985</v>
      </c>
      <c r="J9" s="98">
        <v>0.0</v>
      </c>
      <c r="K9" s="98">
        <v>2.0</v>
      </c>
      <c r="L9" s="189">
        <v>0.3171</v>
      </c>
    </row>
    <row r="10" ht="22.5" customHeight="1">
      <c r="A10" s="187" t="s">
        <v>64</v>
      </c>
      <c r="B10" s="188">
        <v>46059.0</v>
      </c>
      <c r="C10" s="187">
        <v>165.0</v>
      </c>
      <c r="D10" s="187" t="s">
        <v>106</v>
      </c>
      <c r="E10" s="98">
        <v>68.65</v>
      </c>
      <c r="F10" s="98">
        <v>70.25</v>
      </c>
      <c r="G10" s="98">
        <v>71.85</v>
      </c>
      <c r="H10" s="189">
        <v>0.7644</v>
      </c>
      <c r="I10" s="98">
        <v>0.991</v>
      </c>
      <c r="J10" s="98">
        <v>0.0</v>
      </c>
      <c r="K10" s="98">
        <v>2.0</v>
      </c>
      <c r="L10" s="189">
        <v>0.2957</v>
      </c>
    </row>
    <row r="11" ht="22.5" customHeight="1">
      <c r="A11" s="187" t="s">
        <v>64</v>
      </c>
      <c r="B11" s="188">
        <v>46059.0</v>
      </c>
      <c r="C11" s="187">
        <v>170.0</v>
      </c>
      <c r="D11" s="187" t="s">
        <v>106</v>
      </c>
      <c r="E11" s="98">
        <v>63.7</v>
      </c>
      <c r="F11" s="98">
        <v>65.25</v>
      </c>
      <c r="G11" s="98">
        <v>66.8</v>
      </c>
      <c r="H11" s="189">
        <v>0.7006</v>
      </c>
      <c r="I11" s="98">
        <v>0.9908</v>
      </c>
      <c r="J11" s="98">
        <v>0.0</v>
      </c>
      <c r="K11" s="98">
        <v>2.0</v>
      </c>
      <c r="L11" s="189">
        <v>0.27440000000000003</v>
      </c>
    </row>
    <row r="12" ht="22.5" customHeight="1">
      <c r="A12" s="187" t="s">
        <v>64</v>
      </c>
      <c r="B12" s="188">
        <v>46059.0</v>
      </c>
      <c r="C12" s="187">
        <v>175.0</v>
      </c>
      <c r="D12" s="187" t="s">
        <v>106</v>
      </c>
      <c r="E12" s="98">
        <v>58.75</v>
      </c>
      <c r="F12" s="98">
        <v>60.08</v>
      </c>
      <c r="G12" s="98">
        <v>61.4</v>
      </c>
      <c r="H12" s="189">
        <v>0.0</v>
      </c>
      <c r="I12" s="98">
        <v>0.0</v>
      </c>
      <c r="J12" s="98">
        <v>0.0</v>
      </c>
      <c r="K12" s="98">
        <v>2.0</v>
      </c>
      <c r="L12" s="189">
        <v>0.253</v>
      </c>
    </row>
    <row r="13" ht="22.5" customHeight="1">
      <c r="A13" s="187" t="s">
        <v>64</v>
      </c>
      <c r="B13" s="188">
        <v>46059.0</v>
      </c>
      <c r="C13" s="187">
        <v>180.0</v>
      </c>
      <c r="D13" s="187" t="s">
        <v>106</v>
      </c>
      <c r="E13" s="98">
        <v>53.8</v>
      </c>
      <c r="F13" s="98">
        <v>55.22</v>
      </c>
      <c r="G13" s="98">
        <v>56.65</v>
      </c>
      <c r="H13" s="189">
        <v>0.5559000000000001</v>
      </c>
      <c r="I13" s="98">
        <v>0.9925</v>
      </c>
      <c r="J13" s="98">
        <v>0.0</v>
      </c>
      <c r="K13" s="98">
        <v>14.0</v>
      </c>
      <c r="L13" s="189">
        <v>0.23170000000000002</v>
      </c>
    </row>
    <row r="14" ht="22.5" customHeight="1">
      <c r="A14" s="187" t="s">
        <v>64</v>
      </c>
      <c r="B14" s="188">
        <v>46059.0</v>
      </c>
      <c r="C14" s="187">
        <v>185.0</v>
      </c>
      <c r="D14" s="187" t="s">
        <v>106</v>
      </c>
      <c r="E14" s="98">
        <v>48.85</v>
      </c>
      <c r="F14" s="98">
        <v>49.85</v>
      </c>
      <c r="G14" s="98">
        <v>50.85</v>
      </c>
      <c r="H14" s="189">
        <v>0.0</v>
      </c>
      <c r="I14" s="98">
        <v>0.0</v>
      </c>
      <c r="J14" s="98">
        <v>0.0</v>
      </c>
      <c r="K14" s="98">
        <v>4.0</v>
      </c>
      <c r="L14" s="189">
        <v>0.21030000000000001</v>
      </c>
    </row>
    <row r="15" ht="22.5" customHeight="1">
      <c r="A15" s="187" t="s">
        <v>64</v>
      </c>
      <c r="B15" s="188">
        <v>46059.0</v>
      </c>
      <c r="C15" s="187">
        <v>187.5</v>
      </c>
      <c r="D15" s="187" t="s">
        <v>106</v>
      </c>
      <c r="E15" s="98">
        <v>46.4</v>
      </c>
      <c r="F15" s="98">
        <v>47.65</v>
      </c>
      <c r="G15" s="98">
        <v>48.9</v>
      </c>
      <c r="H15" s="189">
        <v>0.0</v>
      </c>
      <c r="I15" s="98">
        <v>0.0</v>
      </c>
      <c r="J15" s="98">
        <v>0.0</v>
      </c>
      <c r="K15" s="98">
        <v>0.0</v>
      </c>
      <c r="L15" s="189">
        <v>0.1997</v>
      </c>
    </row>
    <row r="16" ht="22.5" customHeight="1">
      <c r="A16" s="187" t="s">
        <v>64</v>
      </c>
      <c r="B16" s="188">
        <v>46059.0</v>
      </c>
      <c r="C16" s="187">
        <v>190.0</v>
      </c>
      <c r="D16" s="187" t="s">
        <v>106</v>
      </c>
      <c r="E16" s="98">
        <v>43.95</v>
      </c>
      <c r="F16" s="98">
        <v>45.58</v>
      </c>
      <c r="G16" s="98">
        <v>47.2</v>
      </c>
      <c r="H16" s="189">
        <v>0.5984</v>
      </c>
      <c r="I16" s="98">
        <v>0.9657</v>
      </c>
      <c r="J16" s="98">
        <v>0.0</v>
      </c>
      <c r="K16" s="98">
        <v>42.0</v>
      </c>
      <c r="L16" s="189">
        <v>0.18899999999999997</v>
      </c>
    </row>
    <row r="17" ht="22.5" customHeight="1">
      <c r="A17" s="187" t="s">
        <v>64</v>
      </c>
      <c r="B17" s="188">
        <v>46059.0</v>
      </c>
      <c r="C17" s="187">
        <v>192.5</v>
      </c>
      <c r="D17" s="187" t="s">
        <v>106</v>
      </c>
      <c r="E17" s="98">
        <v>41.55</v>
      </c>
      <c r="F17" s="98">
        <v>42.93</v>
      </c>
      <c r="G17" s="98">
        <v>44.3</v>
      </c>
      <c r="H17" s="189">
        <v>0.5211</v>
      </c>
      <c r="I17" s="98">
        <v>0.9745</v>
      </c>
      <c r="J17" s="98">
        <v>0.0</v>
      </c>
      <c r="K17" s="98">
        <v>0.0</v>
      </c>
      <c r="L17" s="189">
        <v>0.1783</v>
      </c>
    </row>
    <row r="18" ht="22.5" customHeight="1">
      <c r="A18" s="187" t="s">
        <v>64</v>
      </c>
      <c r="B18" s="188">
        <v>46059.0</v>
      </c>
      <c r="C18" s="187">
        <v>195.0</v>
      </c>
      <c r="D18" s="187" t="s">
        <v>106</v>
      </c>
      <c r="E18" s="98">
        <v>39.1</v>
      </c>
      <c r="F18" s="98">
        <v>40.1</v>
      </c>
      <c r="G18" s="98">
        <v>41.1</v>
      </c>
      <c r="H18" s="189">
        <v>0.0</v>
      </c>
      <c r="I18" s="98">
        <v>0.0</v>
      </c>
      <c r="J18" s="98">
        <v>0.0</v>
      </c>
      <c r="K18" s="98">
        <v>1369.0</v>
      </c>
      <c r="L18" s="189">
        <v>0.1677</v>
      </c>
    </row>
    <row r="19" ht="22.5" customHeight="1">
      <c r="A19" s="187" t="s">
        <v>64</v>
      </c>
      <c r="B19" s="188">
        <v>46059.0</v>
      </c>
      <c r="C19" s="187">
        <v>197.5</v>
      </c>
      <c r="D19" s="187" t="s">
        <v>106</v>
      </c>
      <c r="E19" s="98">
        <v>36.7</v>
      </c>
      <c r="F19" s="98">
        <v>37.83</v>
      </c>
      <c r="G19" s="98">
        <v>38.95</v>
      </c>
      <c r="H19" s="189">
        <v>0.4233</v>
      </c>
      <c r="I19" s="98">
        <v>0.9813</v>
      </c>
      <c r="J19" s="98">
        <v>0.0</v>
      </c>
      <c r="K19" s="98">
        <v>0.0</v>
      </c>
      <c r="L19" s="189">
        <v>0.157</v>
      </c>
    </row>
    <row r="20" ht="22.5" customHeight="1">
      <c r="A20" s="187" t="s">
        <v>64</v>
      </c>
      <c r="B20" s="188">
        <v>46059.0</v>
      </c>
      <c r="C20" s="187">
        <v>200.0</v>
      </c>
      <c r="D20" s="187" t="s">
        <v>106</v>
      </c>
      <c r="E20" s="98">
        <v>34.65</v>
      </c>
      <c r="F20" s="98">
        <v>36.18</v>
      </c>
      <c r="G20" s="98">
        <v>37.7</v>
      </c>
      <c r="H20" s="189">
        <v>0.4792</v>
      </c>
      <c r="I20" s="98">
        <v>0.9572</v>
      </c>
      <c r="J20" s="98">
        <v>4.0</v>
      </c>
      <c r="K20" s="98">
        <v>608.0</v>
      </c>
      <c r="L20" s="189">
        <v>0.1463</v>
      </c>
    </row>
    <row r="21" ht="22.5" customHeight="1">
      <c r="A21" s="187" t="s">
        <v>64</v>
      </c>
      <c r="B21" s="188">
        <v>46059.0</v>
      </c>
      <c r="C21" s="187">
        <v>202.5</v>
      </c>
      <c r="D21" s="187" t="s">
        <v>106</v>
      </c>
      <c r="E21" s="98">
        <v>33.4</v>
      </c>
      <c r="F21" s="98">
        <v>33.7</v>
      </c>
      <c r="G21" s="98">
        <v>34.0</v>
      </c>
      <c r="H21" s="189">
        <v>0.5449</v>
      </c>
      <c r="I21" s="98">
        <v>0.921</v>
      </c>
      <c r="J21" s="98">
        <v>3.0</v>
      </c>
      <c r="K21" s="98">
        <v>0.0</v>
      </c>
      <c r="L21" s="189">
        <v>0.1356</v>
      </c>
    </row>
    <row r="22" ht="22.5" customHeight="1">
      <c r="A22" s="187" t="s">
        <v>64</v>
      </c>
      <c r="B22" s="188">
        <v>46059.0</v>
      </c>
      <c r="C22" s="187">
        <v>205.0</v>
      </c>
      <c r="D22" s="187" t="s">
        <v>106</v>
      </c>
      <c r="E22" s="98">
        <v>31.15</v>
      </c>
      <c r="F22" s="98">
        <v>31.4</v>
      </c>
      <c r="G22" s="98">
        <v>31.65</v>
      </c>
      <c r="H22" s="189">
        <v>0.5412</v>
      </c>
      <c r="I22" s="98">
        <v>0.9047</v>
      </c>
      <c r="J22" s="98">
        <v>2.0</v>
      </c>
      <c r="K22" s="98">
        <v>82.0</v>
      </c>
      <c r="L22" s="189">
        <v>0.125</v>
      </c>
    </row>
    <row r="23" ht="22.5" customHeight="1">
      <c r="A23" s="187" t="s">
        <v>64</v>
      </c>
      <c r="B23" s="188">
        <v>46059.0</v>
      </c>
      <c r="C23" s="187">
        <v>207.5</v>
      </c>
      <c r="D23" s="187" t="s">
        <v>106</v>
      </c>
      <c r="E23" s="98">
        <v>28.85</v>
      </c>
      <c r="F23" s="98">
        <v>29.23</v>
      </c>
      <c r="G23" s="98">
        <v>29.6</v>
      </c>
      <c r="H23" s="189">
        <v>0.5418</v>
      </c>
      <c r="I23" s="98">
        <v>0.8844</v>
      </c>
      <c r="J23" s="98">
        <v>0.0</v>
      </c>
      <c r="K23" s="98">
        <v>0.0</v>
      </c>
      <c r="L23" s="189">
        <v>0.1143</v>
      </c>
    </row>
    <row r="24" ht="22.5" customHeight="1">
      <c r="A24" s="187" t="s">
        <v>64</v>
      </c>
      <c r="B24" s="188">
        <v>46059.0</v>
      </c>
      <c r="C24" s="187">
        <v>210.0</v>
      </c>
      <c r="D24" s="187" t="s">
        <v>106</v>
      </c>
      <c r="E24" s="98">
        <v>26.7</v>
      </c>
      <c r="F24" s="98">
        <v>27.03</v>
      </c>
      <c r="G24" s="98">
        <v>27.35</v>
      </c>
      <c r="H24" s="189">
        <v>0.5341</v>
      </c>
      <c r="I24" s="98">
        <v>0.8649</v>
      </c>
      <c r="J24" s="98">
        <v>211.0</v>
      </c>
      <c r="K24" s="98">
        <v>176.0</v>
      </c>
      <c r="L24" s="189">
        <v>0.1036</v>
      </c>
    </row>
    <row r="25" ht="22.5" customHeight="1">
      <c r="A25" s="187" t="s">
        <v>64</v>
      </c>
      <c r="B25" s="188">
        <v>46059.0</v>
      </c>
      <c r="C25" s="187">
        <v>212.5</v>
      </c>
      <c r="D25" s="187" t="s">
        <v>106</v>
      </c>
      <c r="E25" s="98">
        <v>24.45</v>
      </c>
      <c r="F25" s="98">
        <v>24.88</v>
      </c>
      <c r="G25" s="98">
        <v>25.3</v>
      </c>
      <c r="H25" s="189">
        <v>0.5265</v>
      </c>
      <c r="I25" s="98">
        <v>0.8428</v>
      </c>
      <c r="J25" s="98">
        <v>1.0</v>
      </c>
      <c r="K25" s="98">
        <v>0.0</v>
      </c>
      <c r="L25" s="189">
        <v>0.09300000000000001</v>
      </c>
    </row>
    <row r="26" ht="22.5" customHeight="1">
      <c r="A26" s="187" t="s">
        <v>64</v>
      </c>
      <c r="B26" s="188">
        <v>46059.0</v>
      </c>
      <c r="C26" s="187">
        <v>215.0</v>
      </c>
      <c r="D26" s="187" t="s">
        <v>106</v>
      </c>
      <c r="E26" s="98">
        <v>22.45</v>
      </c>
      <c r="F26" s="98">
        <v>22.75</v>
      </c>
      <c r="G26" s="98">
        <v>23.05</v>
      </c>
      <c r="H26" s="189">
        <v>0.5165</v>
      </c>
      <c r="I26" s="98">
        <v>0.819</v>
      </c>
      <c r="J26" s="98">
        <v>44.0</v>
      </c>
      <c r="K26" s="98">
        <v>168.0</v>
      </c>
      <c r="L26" s="189">
        <v>0.0823</v>
      </c>
    </row>
    <row r="27" ht="22.5" customHeight="1">
      <c r="A27" s="187" t="s">
        <v>64</v>
      </c>
      <c r="B27" s="188">
        <v>46059.0</v>
      </c>
      <c r="C27" s="187">
        <v>217.5</v>
      </c>
      <c r="D27" s="187" t="s">
        <v>106</v>
      </c>
      <c r="E27" s="98">
        <v>20.6</v>
      </c>
      <c r="F27" s="98">
        <v>20.68</v>
      </c>
      <c r="G27" s="98">
        <v>20.75</v>
      </c>
      <c r="H27" s="189">
        <v>0.506</v>
      </c>
      <c r="I27" s="98">
        <v>0.7927</v>
      </c>
      <c r="J27" s="98">
        <v>0.0</v>
      </c>
      <c r="K27" s="98">
        <v>10.0</v>
      </c>
      <c r="L27" s="189">
        <v>0.0716</v>
      </c>
    </row>
    <row r="28" ht="22.5" customHeight="1">
      <c r="A28" s="187" t="s">
        <v>64</v>
      </c>
      <c r="B28" s="188">
        <v>46059.0</v>
      </c>
      <c r="C28" s="187">
        <v>220.0</v>
      </c>
      <c r="D28" s="187" t="s">
        <v>106</v>
      </c>
      <c r="E28" s="98">
        <v>18.7</v>
      </c>
      <c r="F28" s="98">
        <v>18.78</v>
      </c>
      <c r="G28" s="98">
        <v>18.85</v>
      </c>
      <c r="H28" s="189">
        <v>0.5049</v>
      </c>
      <c r="I28" s="98">
        <v>0.7598</v>
      </c>
      <c r="J28" s="98">
        <v>61.0</v>
      </c>
      <c r="K28" s="98">
        <v>268.0</v>
      </c>
      <c r="L28" s="189">
        <v>0.061</v>
      </c>
    </row>
    <row r="29" ht="22.5" customHeight="1">
      <c r="A29" s="187" t="s">
        <v>64</v>
      </c>
      <c r="B29" s="188">
        <v>46059.0</v>
      </c>
      <c r="C29" s="187">
        <v>222.5</v>
      </c>
      <c r="D29" s="187" t="s">
        <v>106</v>
      </c>
      <c r="E29" s="98">
        <v>16.85</v>
      </c>
      <c r="F29" s="98">
        <v>16.93</v>
      </c>
      <c r="G29" s="98">
        <v>17.0</v>
      </c>
      <c r="H29" s="189">
        <v>0.49810000000000004</v>
      </c>
      <c r="I29" s="98">
        <v>0.7264</v>
      </c>
      <c r="J29" s="98">
        <v>5.0</v>
      </c>
      <c r="K29" s="98">
        <v>45.0</v>
      </c>
      <c r="L29" s="189">
        <v>0.050300000000000004</v>
      </c>
    </row>
    <row r="30" ht="22.5" customHeight="1">
      <c r="A30" s="187" t="s">
        <v>64</v>
      </c>
      <c r="B30" s="188">
        <v>46059.0</v>
      </c>
      <c r="C30" s="187">
        <v>225.0</v>
      </c>
      <c r="D30" s="187" t="s">
        <v>106</v>
      </c>
      <c r="E30" s="98">
        <v>15.1</v>
      </c>
      <c r="F30" s="98">
        <v>15.18</v>
      </c>
      <c r="G30" s="98">
        <v>15.25</v>
      </c>
      <c r="H30" s="189">
        <v>0.4953</v>
      </c>
      <c r="I30" s="98">
        <v>0.6892</v>
      </c>
      <c r="J30" s="98">
        <v>228.0</v>
      </c>
      <c r="K30" s="98">
        <v>1341.0</v>
      </c>
      <c r="L30" s="189">
        <v>0.039599999999999996</v>
      </c>
    </row>
    <row r="31" ht="22.5" customHeight="1">
      <c r="A31" s="187" t="s">
        <v>64</v>
      </c>
      <c r="B31" s="188">
        <v>46059.0</v>
      </c>
      <c r="C31" s="187">
        <v>227.5</v>
      </c>
      <c r="D31" s="187" t="s">
        <v>106</v>
      </c>
      <c r="E31" s="98">
        <v>13.45</v>
      </c>
      <c r="F31" s="98">
        <v>13.52</v>
      </c>
      <c r="G31" s="98">
        <v>13.6</v>
      </c>
      <c r="H31" s="189">
        <v>0.48840000000000006</v>
      </c>
      <c r="I31" s="98">
        <v>0.6508</v>
      </c>
      <c r="J31" s="98">
        <v>232.0</v>
      </c>
      <c r="K31" s="98">
        <v>132.0</v>
      </c>
      <c r="L31" s="189">
        <v>0.028900000000000002</v>
      </c>
    </row>
    <row r="32" ht="22.5" customHeight="1">
      <c r="A32" s="187" t="s">
        <v>64</v>
      </c>
      <c r="B32" s="188">
        <v>46059.0</v>
      </c>
      <c r="C32" s="187">
        <v>230.0</v>
      </c>
      <c r="D32" s="187" t="s">
        <v>106</v>
      </c>
      <c r="E32" s="98">
        <v>11.9</v>
      </c>
      <c r="F32" s="98">
        <v>11.98</v>
      </c>
      <c r="G32" s="98">
        <v>12.05</v>
      </c>
      <c r="H32" s="189">
        <v>0.48829999999999996</v>
      </c>
      <c r="I32" s="98">
        <v>0.6091</v>
      </c>
      <c r="J32" s="98">
        <v>336.0</v>
      </c>
      <c r="K32" s="98">
        <v>3968.0</v>
      </c>
      <c r="L32" s="189">
        <v>0.0183</v>
      </c>
    </row>
    <row r="33" ht="22.5" customHeight="1">
      <c r="A33" s="187" t="s">
        <v>64</v>
      </c>
      <c r="B33" s="188">
        <v>46059.0</v>
      </c>
      <c r="C33" s="187">
        <v>232.5</v>
      </c>
      <c r="D33" s="187" t="s">
        <v>106</v>
      </c>
      <c r="E33" s="98">
        <v>10.45</v>
      </c>
      <c r="F33" s="98">
        <v>10.52</v>
      </c>
      <c r="G33" s="98">
        <v>10.6</v>
      </c>
      <c r="H33" s="189">
        <v>0.484</v>
      </c>
      <c r="I33" s="98">
        <v>0.5669</v>
      </c>
      <c r="J33" s="98">
        <v>499.0</v>
      </c>
      <c r="K33" s="98">
        <v>570.0</v>
      </c>
      <c r="L33" s="189">
        <v>0.0076</v>
      </c>
    </row>
    <row r="34" ht="22.5" customHeight="1">
      <c r="A34" s="187" t="s">
        <v>64</v>
      </c>
      <c r="B34" s="188">
        <v>46059.0</v>
      </c>
      <c r="C34" s="187">
        <v>235.0</v>
      </c>
      <c r="D34" s="187" t="s">
        <v>106</v>
      </c>
      <c r="E34" s="98">
        <v>9.15</v>
      </c>
      <c r="F34" s="98">
        <v>9.2</v>
      </c>
      <c r="G34" s="98">
        <v>9.25</v>
      </c>
      <c r="H34" s="189">
        <v>0.47840000000000005</v>
      </c>
      <c r="I34" s="98">
        <v>0.5235</v>
      </c>
      <c r="J34" s="98">
        <v>1279.0</v>
      </c>
      <c r="K34" s="98">
        <v>2820.0</v>
      </c>
      <c r="L34" s="189">
        <v>-0.0031</v>
      </c>
    </row>
    <row r="35" ht="22.5" customHeight="1">
      <c r="A35" s="187" t="s">
        <v>64</v>
      </c>
      <c r="B35" s="188">
        <v>46059.0</v>
      </c>
      <c r="C35" s="187">
        <v>237.5</v>
      </c>
      <c r="D35" s="187" t="s">
        <v>106</v>
      </c>
      <c r="E35" s="98">
        <v>7.9</v>
      </c>
      <c r="F35" s="98">
        <v>7.98</v>
      </c>
      <c r="G35" s="98">
        <v>8.05</v>
      </c>
      <c r="H35" s="189">
        <v>0.4788</v>
      </c>
      <c r="I35" s="98">
        <v>0.4801</v>
      </c>
      <c r="J35" s="98">
        <v>342.0</v>
      </c>
      <c r="K35" s="98">
        <v>380.0</v>
      </c>
      <c r="L35" s="189">
        <v>-0.0137</v>
      </c>
    </row>
    <row r="36" ht="22.5" customHeight="1">
      <c r="A36" s="187" t="s">
        <v>64</v>
      </c>
      <c r="B36" s="188">
        <v>46059.0</v>
      </c>
      <c r="C36" s="187">
        <v>240.0</v>
      </c>
      <c r="D36" s="187" t="s">
        <v>106</v>
      </c>
      <c r="E36" s="98">
        <v>6.8</v>
      </c>
      <c r="F36" s="98">
        <v>6.85</v>
      </c>
      <c r="G36" s="98">
        <v>6.9</v>
      </c>
      <c r="H36" s="189">
        <v>0.4707</v>
      </c>
      <c r="I36" s="98">
        <v>0.4355</v>
      </c>
      <c r="J36" s="98">
        <v>1435.0</v>
      </c>
      <c r="K36" s="98">
        <v>4376.0</v>
      </c>
      <c r="L36" s="189">
        <v>-0.024399999999999998</v>
      </c>
    </row>
    <row r="37" ht="22.5" customHeight="1">
      <c r="A37" s="187" t="s">
        <v>64</v>
      </c>
      <c r="B37" s="188">
        <v>46059.0</v>
      </c>
      <c r="C37" s="187">
        <v>242.5</v>
      </c>
      <c r="D37" s="187" t="s">
        <v>106</v>
      </c>
      <c r="E37" s="98">
        <v>5.8</v>
      </c>
      <c r="F37" s="98">
        <v>5.88</v>
      </c>
      <c r="G37" s="98">
        <v>5.95</v>
      </c>
      <c r="H37" s="189">
        <v>0.46759999999999996</v>
      </c>
      <c r="I37" s="98">
        <v>0.3923</v>
      </c>
      <c r="J37" s="98">
        <v>87.0</v>
      </c>
      <c r="K37" s="98">
        <v>444.0</v>
      </c>
      <c r="L37" s="189">
        <v>-0.0351</v>
      </c>
    </row>
    <row r="38" ht="22.5" customHeight="1">
      <c r="A38" s="187" t="s">
        <v>64</v>
      </c>
      <c r="B38" s="188">
        <v>46059.0</v>
      </c>
      <c r="C38" s="187">
        <v>245.0</v>
      </c>
      <c r="D38" s="187" t="s">
        <v>106</v>
      </c>
      <c r="E38" s="98">
        <v>4.9</v>
      </c>
      <c r="F38" s="98">
        <v>4.95</v>
      </c>
      <c r="G38" s="98">
        <v>5.0</v>
      </c>
      <c r="H38" s="189">
        <v>0.467</v>
      </c>
      <c r="I38" s="98">
        <v>0.3512</v>
      </c>
      <c r="J38" s="98">
        <v>462.0</v>
      </c>
      <c r="K38" s="98">
        <v>2923.0</v>
      </c>
      <c r="L38" s="189">
        <v>-0.0458</v>
      </c>
    </row>
    <row r="39" ht="22.5" customHeight="1">
      <c r="A39" s="187" t="s">
        <v>64</v>
      </c>
      <c r="B39" s="188">
        <v>46059.0</v>
      </c>
      <c r="C39" s="187">
        <v>247.5</v>
      </c>
      <c r="D39" s="187" t="s">
        <v>106</v>
      </c>
      <c r="E39" s="98">
        <v>4.1</v>
      </c>
      <c r="F39" s="98">
        <v>4.18</v>
      </c>
      <c r="G39" s="98">
        <v>4.25</v>
      </c>
      <c r="H39" s="189">
        <v>0.4637</v>
      </c>
      <c r="I39" s="98">
        <v>0.3108</v>
      </c>
      <c r="J39" s="98">
        <v>191.0</v>
      </c>
      <c r="K39" s="98">
        <v>403.0</v>
      </c>
      <c r="L39" s="189">
        <v>-0.0564</v>
      </c>
    </row>
    <row r="40" ht="22.5" customHeight="1">
      <c r="A40" s="187" t="s">
        <v>64</v>
      </c>
      <c r="B40" s="188">
        <v>46059.0</v>
      </c>
      <c r="C40" s="187">
        <v>250.0</v>
      </c>
      <c r="D40" s="187" t="s">
        <v>106</v>
      </c>
      <c r="E40" s="98">
        <v>3.45</v>
      </c>
      <c r="F40" s="98">
        <v>3.5</v>
      </c>
      <c r="G40" s="98">
        <v>3.55</v>
      </c>
      <c r="H40" s="189">
        <v>0.4606</v>
      </c>
      <c r="I40" s="98">
        <v>0.2725</v>
      </c>
      <c r="J40" s="98">
        <v>2450.0</v>
      </c>
      <c r="K40" s="98">
        <v>14106.0</v>
      </c>
      <c r="L40" s="189">
        <v>-0.06709999999999999</v>
      </c>
    </row>
    <row r="41" ht="22.5" customHeight="1">
      <c r="A41" s="187" t="s">
        <v>64</v>
      </c>
      <c r="B41" s="188">
        <v>46059.0</v>
      </c>
      <c r="C41" s="187">
        <v>252.5</v>
      </c>
      <c r="D41" s="187" t="s">
        <v>106</v>
      </c>
      <c r="E41" s="98">
        <v>2.86</v>
      </c>
      <c r="F41" s="98">
        <v>2.9</v>
      </c>
      <c r="G41" s="98">
        <v>2.94</v>
      </c>
      <c r="H41" s="189">
        <v>0.4582</v>
      </c>
      <c r="I41" s="98">
        <v>0.237</v>
      </c>
      <c r="J41" s="98">
        <v>42.0</v>
      </c>
      <c r="K41" s="98">
        <v>204.0</v>
      </c>
      <c r="L41" s="189">
        <v>-0.07780000000000001</v>
      </c>
    </row>
    <row r="42" ht="22.5" customHeight="1">
      <c r="A42" s="187" t="s">
        <v>64</v>
      </c>
      <c r="B42" s="188">
        <v>46059.0</v>
      </c>
      <c r="C42" s="187">
        <v>255.0</v>
      </c>
      <c r="D42" s="187" t="s">
        <v>106</v>
      </c>
      <c r="E42" s="98">
        <v>2.36</v>
      </c>
      <c r="F42" s="98">
        <v>2.39</v>
      </c>
      <c r="G42" s="98">
        <v>2.41</v>
      </c>
      <c r="H42" s="189">
        <v>0.4571</v>
      </c>
      <c r="I42" s="98">
        <v>0.2049</v>
      </c>
      <c r="J42" s="98">
        <v>1356.0</v>
      </c>
      <c r="K42" s="98">
        <v>3934.0</v>
      </c>
      <c r="L42" s="189">
        <v>-0.08839999999999999</v>
      </c>
    </row>
    <row r="43" ht="22.5" customHeight="1">
      <c r="A43" s="187" t="s">
        <v>64</v>
      </c>
      <c r="B43" s="188">
        <v>46059.0</v>
      </c>
      <c r="C43" s="187">
        <v>257.5</v>
      </c>
      <c r="D43" s="187" t="s">
        <v>106</v>
      </c>
      <c r="E43" s="98">
        <v>1.93</v>
      </c>
      <c r="F43" s="98">
        <v>1.96</v>
      </c>
      <c r="G43" s="98">
        <v>1.99</v>
      </c>
      <c r="H43" s="189">
        <v>0.4534</v>
      </c>
      <c r="I43" s="98">
        <v>0.1742</v>
      </c>
      <c r="J43" s="98">
        <v>59.0</v>
      </c>
      <c r="K43" s="98">
        <v>168.0</v>
      </c>
      <c r="L43" s="189">
        <v>-0.09910000000000001</v>
      </c>
    </row>
    <row r="44" ht="22.5" customHeight="1">
      <c r="A44" s="187" t="s">
        <v>64</v>
      </c>
      <c r="B44" s="188">
        <v>46059.0</v>
      </c>
      <c r="C44" s="187">
        <v>260.0</v>
      </c>
      <c r="D44" s="187" t="s">
        <v>106</v>
      </c>
      <c r="E44" s="98">
        <v>1.59</v>
      </c>
      <c r="F44" s="98">
        <v>1.61</v>
      </c>
      <c r="G44" s="98">
        <v>1.62</v>
      </c>
      <c r="H44" s="189">
        <v>0.4551</v>
      </c>
      <c r="I44" s="98">
        <v>0.1495</v>
      </c>
      <c r="J44" s="98">
        <v>2988.0</v>
      </c>
      <c r="K44" s="98">
        <v>7657.0</v>
      </c>
      <c r="L44" s="189">
        <v>-0.10980000000000001</v>
      </c>
    </row>
    <row r="45" ht="22.5" customHeight="1">
      <c r="A45" s="187" t="s">
        <v>64</v>
      </c>
      <c r="B45" s="188">
        <v>46059.0</v>
      </c>
      <c r="C45" s="187">
        <v>262.5</v>
      </c>
      <c r="D45" s="187" t="s">
        <v>106</v>
      </c>
      <c r="E45" s="98">
        <v>1.28</v>
      </c>
      <c r="F45" s="98">
        <v>1.3</v>
      </c>
      <c r="G45" s="98">
        <v>1.32</v>
      </c>
      <c r="H45" s="189">
        <v>0.4537</v>
      </c>
      <c r="I45" s="98">
        <v>0.1258</v>
      </c>
      <c r="J45" s="98">
        <v>57.0</v>
      </c>
      <c r="K45" s="98">
        <v>94.0</v>
      </c>
      <c r="L45" s="189">
        <v>-0.12050000000000001</v>
      </c>
    </row>
    <row r="46" ht="22.5" customHeight="1">
      <c r="A46" s="187" t="s">
        <v>64</v>
      </c>
      <c r="B46" s="188">
        <v>46059.0</v>
      </c>
      <c r="C46" s="187">
        <v>265.0</v>
      </c>
      <c r="D46" s="187" t="s">
        <v>106</v>
      </c>
      <c r="E46" s="98">
        <v>1.05</v>
      </c>
      <c r="F46" s="98">
        <v>1.06</v>
      </c>
      <c r="G46" s="98">
        <v>1.07</v>
      </c>
      <c r="H46" s="189">
        <v>0.45549999999999996</v>
      </c>
      <c r="I46" s="98">
        <v>0.1068</v>
      </c>
      <c r="J46" s="98">
        <v>356.0</v>
      </c>
      <c r="K46" s="98">
        <v>2232.0</v>
      </c>
      <c r="L46" s="189">
        <v>-0.1311</v>
      </c>
    </row>
    <row r="47" ht="22.5" customHeight="1">
      <c r="A47" s="187" t="s">
        <v>64</v>
      </c>
      <c r="B47" s="188">
        <v>46059.0</v>
      </c>
      <c r="C47" s="187">
        <v>267.5</v>
      </c>
      <c r="D47" s="187" t="s">
        <v>106</v>
      </c>
      <c r="E47" s="98">
        <v>0.84</v>
      </c>
      <c r="F47" s="98">
        <v>0.86</v>
      </c>
      <c r="G47" s="98">
        <v>0.88</v>
      </c>
      <c r="H47" s="189">
        <v>0.4525</v>
      </c>
      <c r="I47" s="98">
        <v>0.0877</v>
      </c>
      <c r="J47" s="98">
        <v>9.0</v>
      </c>
      <c r="K47" s="98">
        <v>0.0</v>
      </c>
      <c r="L47" s="189">
        <v>-0.1418</v>
      </c>
    </row>
    <row r="48" ht="22.5" customHeight="1">
      <c r="A48" s="187" t="s">
        <v>64</v>
      </c>
      <c r="B48" s="188">
        <v>46059.0</v>
      </c>
      <c r="C48" s="187">
        <v>270.0</v>
      </c>
      <c r="D48" s="187" t="s">
        <v>106</v>
      </c>
      <c r="E48" s="98">
        <v>0.68</v>
      </c>
      <c r="F48" s="98">
        <v>0.7</v>
      </c>
      <c r="G48" s="98">
        <v>0.71</v>
      </c>
      <c r="H48" s="189">
        <v>0.45659999999999995</v>
      </c>
      <c r="I48" s="98">
        <v>0.0746</v>
      </c>
      <c r="J48" s="98">
        <v>130.0</v>
      </c>
      <c r="K48" s="98">
        <v>9530.0</v>
      </c>
      <c r="L48" s="189">
        <v>-0.1525</v>
      </c>
    </row>
    <row r="49" ht="22.5" customHeight="1">
      <c r="A49" s="187" t="s">
        <v>64</v>
      </c>
      <c r="B49" s="188">
        <v>46059.0</v>
      </c>
      <c r="C49" s="187">
        <v>272.5</v>
      </c>
      <c r="D49" s="187" t="s">
        <v>106</v>
      </c>
      <c r="E49" s="98">
        <v>0.55</v>
      </c>
      <c r="F49" s="98">
        <v>0.57</v>
      </c>
      <c r="G49" s="98">
        <v>0.58</v>
      </c>
      <c r="H49" s="189">
        <v>0.45770000000000005</v>
      </c>
      <c r="I49" s="98">
        <v>0.062</v>
      </c>
      <c r="J49" s="98">
        <v>71.0</v>
      </c>
      <c r="K49" s="98">
        <v>0.0</v>
      </c>
      <c r="L49" s="189">
        <v>-0.1631</v>
      </c>
    </row>
    <row r="50" ht="22.5" customHeight="1">
      <c r="A50" s="187" t="s">
        <v>64</v>
      </c>
      <c r="B50" s="188">
        <v>46059.0</v>
      </c>
      <c r="C50" s="187">
        <v>275.0</v>
      </c>
      <c r="D50" s="187" t="s">
        <v>106</v>
      </c>
      <c r="E50" s="98">
        <v>0.45</v>
      </c>
      <c r="F50" s="98">
        <v>0.46</v>
      </c>
      <c r="G50" s="98">
        <v>0.47</v>
      </c>
      <c r="H50" s="189">
        <v>0.45990000000000003</v>
      </c>
      <c r="I50" s="98">
        <v>0.0517</v>
      </c>
      <c r="J50" s="98">
        <v>415.0</v>
      </c>
      <c r="K50" s="98">
        <v>1697.0</v>
      </c>
      <c r="L50" s="189">
        <v>-0.17379999999999998</v>
      </c>
    </row>
    <row r="51" ht="22.5" customHeight="1">
      <c r="A51" s="187" t="s">
        <v>64</v>
      </c>
      <c r="B51" s="188">
        <v>46059.0</v>
      </c>
      <c r="C51" s="187">
        <v>277.5</v>
      </c>
      <c r="D51" s="187" t="s">
        <v>106</v>
      </c>
      <c r="E51" s="98">
        <v>0.35</v>
      </c>
      <c r="F51" s="98">
        <v>0.38</v>
      </c>
      <c r="G51" s="98">
        <v>0.41</v>
      </c>
      <c r="H51" s="189">
        <v>0.4636</v>
      </c>
      <c r="I51" s="98">
        <v>0.0435</v>
      </c>
      <c r="J51" s="98">
        <v>2.0</v>
      </c>
      <c r="K51" s="98">
        <v>0.0</v>
      </c>
      <c r="L51" s="189">
        <v>-0.1845</v>
      </c>
    </row>
    <row r="52" ht="22.5" customHeight="1">
      <c r="A52" s="187" t="s">
        <v>64</v>
      </c>
      <c r="B52" s="188">
        <v>46059.0</v>
      </c>
      <c r="C52" s="187">
        <v>280.0</v>
      </c>
      <c r="D52" s="187" t="s">
        <v>106</v>
      </c>
      <c r="E52" s="98">
        <v>0.29</v>
      </c>
      <c r="F52" s="98">
        <v>0.32</v>
      </c>
      <c r="G52" s="98">
        <v>0.34</v>
      </c>
      <c r="H52" s="189">
        <v>0.46880000000000005</v>
      </c>
      <c r="I52" s="98">
        <v>0.0371</v>
      </c>
      <c r="J52" s="98">
        <v>346.0</v>
      </c>
      <c r="K52" s="98">
        <v>16653.0</v>
      </c>
      <c r="L52" s="189">
        <v>-0.19519999999999998</v>
      </c>
    </row>
    <row r="53" ht="22.5" customHeight="1">
      <c r="A53" s="187" t="s">
        <v>64</v>
      </c>
      <c r="B53" s="188">
        <v>46059.0</v>
      </c>
      <c r="C53" s="187">
        <v>285.0</v>
      </c>
      <c r="D53" s="187" t="s">
        <v>106</v>
      </c>
      <c r="E53" s="98">
        <v>0.19</v>
      </c>
      <c r="F53" s="98">
        <v>0.22</v>
      </c>
      <c r="G53" s="98">
        <v>0.24</v>
      </c>
      <c r="H53" s="189">
        <v>0.4694</v>
      </c>
      <c r="I53" s="98">
        <v>0.0245</v>
      </c>
      <c r="J53" s="98">
        <v>33.0</v>
      </c>
      <c r="K53" s="98">
        <v>374.0</v>
      </c>
      <c r="L53" s="189">
        <v>-0.2165</v>
      </c>
    </row>
    <row r="54" ht="22.5" customHeight="1">
      <c r="A54" s="187" t="s">
        <v>64</v>
      </c>
      <c r="B54" s="188">
        <v>46059.0</v>
      </c>
      <c r="C54" s="187">
        <v>290.0</v>
      </c>
      <c r="D54" s="187" t="s">
        <v>106</v>
      </c>
      <c r="E54" s="98">
        <v>0.13</v>
      </c>
      <c r="F54" s="98">
        <v>0.15</v>
      </c>
      <c r="G54" s="98">
        <v>0.17</v>
      </c>
      <c r="H54" s="189">
        <v>0.48350000000000004</v>
      </c>
      <c r="I54" s="98">
        <v>0.0185</v>
      </c>
      <c r="J54" s="98">
        <v>0.0</v>
      </c>
      <c r="K54" s="98">
        <v>371.0</v>
      </c>
      <c r="L54" s="189">
        <v>-0.2378</v>
      </c>
    </row>
    <row r="55" ht="22.5" customHeight="1">
      <c r="A55" s="187" t="s">
        <v>64</v>
      </c>
      <c r="B55" s="188">
        <v>46059.0</v>
      </c>
      <c r="C55" s="187">
        <v>295.0</v>
      </c>
      <c r="D55" s="187" t="s">
        <v>106</v>
      </c>
      <c r="E55" s="98">
        <v>0.09</v>
      </c>
      <c r="F55" s="98">
        <v>0.11</v>
      </c>
      <c r="G55" s="98">
        <v>0.13</v>
      </c>
      <c r="H55" s="189">
        <v>0.495</v>
      </c>
      <c r="I55" s="98">
        <v>0.0137</v>
      </c>
      <c r="J55" s="98">
        <v>31.0</v>
      </c>
      <c r="K55" s="98">
        <v>130.0</v>
      </c>
      <c r="L55" s="189">
        <v>-0.25920000000000004</v>
      </c>
    </row>
    <row r="56" ht="22.5" customHeight="1">
      <c r="A56" s="187" t="s">
        <v>64</v>
      </c>
      <c r="B56" s="188">
        <v>46059.0</v>
      </c>
      <c r="C56" s="187">
        <v>300.0</v>
      </c>
      <c r="D56" s="187" t="s">
        <v>106</v>
      </c>
      <c r="E56" s="98">
        <v>0.06</v>
      </c>
      <c r="F56" s="98">
        <v>0.08</v>
      </c>
      <c r="G56" s="98">
        <v>0.1</v>
      </c>
      <c r="H56" s="189">
        <v>0.5053</v>
      </c>
      <c r="I56" s="98">
        <v>0.0101</v>
      </c>
      <c r="J56" s="98">
        <v>9.0</v>
      </c>
      <c r="K56" s="98">
        <v>2021.0</v>
      </c>
      <c r="L56" s="189">
        <v>-0.2805</v>
      </c>
    </row>
    <row r="57" ht="22.5" customHeight="1">
      <c r="A57" s="187" t="s">
        <v>64</v>
      </c>
      <c r="B57" s="188">
        <v>46059.0</v>
      </c>
      <c r="C57" s="187">
        <v>305.0</v>
      </c>
      <c r="D57" s="187" t="s">
        <v>106</v>
      </c>
      <c r="E57" s="98">
        <v>0.03</v>
      </c>
      <c r="F57" s="98">
        <v>0.06</v>
      </c>
      <c r="G57" s="98">
        <v>0.09</v>
      </c>
      <c r="H57" s="189">
        <v>0.5168</v>
      </c>
      <c r="I57" s="98">
        <v>0.0076</v>
      </c>
      <c r="J57" s="98">
        <v>0.0</v>
      </c>
      <c r="K57" s="98">
        <v>98.0</v>
      </c>
      <c r="L57" s="189">
        <v>-0.3019</v>
      </c>
    </row>
    <row r="58" ht="22.5" customHeight="1">
      <c r="A58" s="187" t="s">
        <v>64</v>
      </c>
      <c r="B58" s="188">
        <v>46059.0</v>
      </c>
      <c r="C58" s="187">
        <v>310.0</v>
      </c>
      <c r="D58" s="187" t="s">
        <v>106</v>
      </c>
      <c r="E58" s="98">
        <v>0.02</v>
      </c>
      <c r="F58" s="98">
        <v>0.05</v>
      </c>
      <c r="G58" s="98">
        <v>0.07</v>
      </c>
      <c r="H58" s="189">
        <v>0.5448</v>
      </c>
      <c r="I58" s="98">
        <v>0.0073</v>
      </c>
      <c r="J58" s="98">
        <v>51.0</v>
      </c>
      <c r="K58" s="98">
        <v>160.0</v>
      </c>
      <c r="L58" s="189">
        <v>-0.3232</v>
      </c>
    </row>
    <row r="59" ht="22.5" customHeight="1">
      <c r="A59" s="187" t="s">
        <v>64</v>
      </c>
      <c r="B59" s="188">
        <v>46059.0</v>
      </c>
      <c r="C59" s="187">
        <v>315.0</v>
      </c>
      <c r="D59" s="187" t="s">
        <v>106</v>
      </c>
      <c r="E59" s="98">
        <v>0.01</v>
      </c>
      <c r="F59" s="98">
        <v>0.03</v>
      </c>
      <c r="G59" s="98">
        <v>0.06</v>
      </c>
      <c r="H59" s="189">
        <v>0.5397</v>
      </c>
      <c r="I59" s="98">
        <v>0.0045</v>
      </c>
      <c r="J59" s="98">
        <v>0.0</v>
      </c>
      <c r="K59" s="98">
        <v>27.0</v>
      </c>
      <c r="L59" s="189">
        <v>-0.34450000000000003</v>
      </c>
    </row>
    <row r="60" ht="22.5" customHeight="1">
      <c r="A60" s="187" t="s">
        <v>64</v>
      </c>
      <c r="B60" s="188">
        <v>46059.0</v>
      </c>
      <c r="C60" s="187">
        <v>320.0</v>
      </c>
      <c r="D60" s="187" t="s">
        <v>106</v>
      </c>
      <c r="E60" s="98">
        <v>0.01</v>
      </c>
      <c r="F60" s="98">
        <v>0.02</v>
      </c>
      <c r="G60" s="98">
        <v>0.03</v>
      </c>
      <c r="H60" s="189">
        <v>0.5027</v>
      </c>
      <c r="I60" s="98">
        <v>0.0015</v>
      </c>
      <c r="J60" s="98">
        <v>5.0</v>
      </c>
      <c r="K60" s="98">
        <v>514.0</v>
      </c>
      <c r="L60" s="189">
        <v>-0.36590000000000006</v>
      </c>
    </row>
    <row r="61" ht="22.5" customHeight="1">
      <c r="A61" s="187" t="s">
        <v>64</v>
      </c>
      <c r="B61" s="188">
        <v>46059.0</v>
      </c>
      <c r="C61" s="187">
        <v>325.0</v>
      </c>
      <c r="D61" s="187" t="s">
        <v>106</v>
      </c>
      <c r="E61" s="98">
        <v>0.0</v>
      </c>
      <c r="F61" s="98">
        <v>0.03</v>
      </c>
      <c r="G61" s="98">
        <v>0.05</v>
      </c>
      <c r="H61" s="189">
        <v>0.6128</v>
      </c>
      <c r="I61" s="98">
        <v>0.0056</v>
      </c>
      <c r="J61" s="98">
        <v>0.0</v>
      </c>
      <c r="K61" s="98">
        <v>4062.0</v>
      </c>
      <c r="L61" s="189">
        <v>-0.3872</v>
      </c>
    </row>
    <row r="62" ht="22.5" customHeight="1">
      <c r="A62" s="187" t="s">
        <v>64</v>
      </c>
      <c r="B62" s="188">
        <v>46059.0</v>
      </c>
      <c r="C62" s="187">
        <v>330.0</v>
      </c>
      <c r="D62" s="187" t="s">
        <v>106</v>
      </c>
      <c r="E62" s="98">
        <v>0.0</v>
      </c>
      <c r="F62" s="98">
        <v>0.03</v>
      </c>
      <c r="G62" s="98">
        <v>0.05</v>
      </c>
      <c r="H62" s="189">
        <v>0.6381</v>
      </c>
      <c r="I62" s="98">
        <v>0.0054</v>
      </c>
      <c r="J62" s="98">
        <v>0.0</v>
      </c>
      <c r="K62" s="98">
        <v>32.0</v>
      </c>
      <c r="L62" s="189">
        <v>-0.4086</v>
      </c>
    </row>
    <row r="63" ht="22.5" customHeight="1">
      <c r="A63" s="187" t="s">
        <v>64</v>
      </c>
      <c r="B63" s="188">
        <v>46059.0</v>
      </c>
      <c r="C63" s="187">
        <v>335.0</v>
      </c>
      <c r="D63" s="187" t="s">
        <v>106</v>
      </c>
      <c r="E63" s="98">
        <v>0.0</v>
      </c>
      <c r="F63" s="98">
        <v>0.06</v>
      </c>
      <c r="G63" s="98">
        <v>0.12</v>
      </c>
      <c r="H63" s="189">
        <v>0.7325</v>
      </c>
      <c r="I63" s="98">
        <v>0.0106</v>
      </c>
      <c r="J63" s="98">
        <v>0.0</v>
      </c>
      <c r="K63" s="98">
        <v>1.0</v>
      </c>
      <c r="L63" s="189">
        <v>-0.4299</v>
      </c>
    </row>
    <row r="64" ht="22.5" customHeight="1">
      <c r="A64" s="187" t="s">
        <v>64</v>
      </c>
      <c r="B64" s="188">
        <v>46059.0</v>
      </c>
      <c r="C64" s="187">
        <v>340.0</v>
      </c>
      <c r="D64" s="187" t="s">
        <v>106</v>
      </c>
      <c r="E64" s="98">
        <v>0.0</v>
      </c>
      <c r="F64" s="98">
        <v>0.14</v>
      </c>
      <c r="G64" s="98">
        <v>0.28</v>
      </c>
      <c r="H64" s="189">
        <v>0.8486</v>
      </c>
      <c r="I64" s="98">
        <v>0.02</v>
      </c>
      <c r="J64" s="98">
        <v>0.0</v>
      </c>
      <c r="K64" s="98">
        <v>35.0</v>
      </c>
      <c r="L64" s="189">
        <v>-0.45130000000000003</v>
      </c>
    </row>
    <row r="65" ht="22.5" customHeight="1">
      <c r="A65" s="187" t="s">
        <v>64</v>
      </c>
      <c r="B65" s="188">
        <v>46059.0</v>
      </c>
      <c r="C65" s="187">
        <v>345.0</v>
      </c>
      <c r="D65" s="187" t="s">
        <v>106</v>
      </c>
      <c r="E65" s="98">
        <v>0.0</v>
      </c>
      <c r="F65" s="98">
        <v>0.14</v>
      </c>
      <c r="G65" s="98">
        <v>0.27</v>
      </c>
      <c r="H65" s="189">
        <v>0.872</v>
      </c>
      <c r="I65" s="98">
        <v>0.0189</v>
      </c>
      <c r="J65" s="98">
        <v>0.0</v>
      </c>
      <c r="K65" s="98">
        <v>1154.0</v>
      </c>
      <c r="L65" s="189">
        <v>-0.47259999999999996</v>
      </c>
    </row>
    <row r="66" ht="22.5" customHeight="1">
      <c r="A66" s="187" t="s">
        <v>64</v>
      </c>
      <c r="B66" s="188">
        <v>46059.0</v>
      </c>
      <c r="C66" s="187">
        <v>125.0</v>
      </c>
      <c r="D66" s="187" t="s">
        <v>107</v>
      </c>
      <c r="E66" s="98">
        <v>0.0</v>
      </c>
      <c r="F66" s="98">
        <v>0.01</v>
      </c>
      <c r="G66" s="98">
        <v>0.01</v>
      </c>
      <c r="H66" s="189">
        <v>1.0116</v>
      </c>
      <c r="I66" s="98">
        <v>-7.0E-4</v>
      </c>
      <c r="J66" s="98">
        <v>0.0</v>
      </c>
      <c r="K66" s="98">
        <v>45.0</v>
      </c>
      <c r="L66" s="189">
        <v>-0.46649999999999997</v>
      </c>
    </row>
    <row r="67" ht="22.5" customHeight="1">
      <c r="A67" s="187" t="s">
        <v>64</v>
      </c>
      <c r="B67" s="188">
        <v>46059.0</v>
      </c>
      <c r="C67" s="187">
        <v>130.0</v>
      </c>
      <c r="D67" s="187" t="s">
        <v>107</v>
      </c>
      <c r="E67" s="98">
        <v>0.01</v>
      </c>
      <c r="F67" s="98">
        <v>0.03</v>
      </c>
      <c r="G67" s="98">
        <v>0.04</v>
      </c>
      <c r="H67" s="189">
        <v>1.033</v>
      </c>
      <c r="I67" s="98">
        <v>-0.0017</v>
      </c>
      <c r="J67" s="98">
        <v>7.0</v>
      </c>
      <c r="K67" s="98">
        <v>9.0</v>
      </c>
      <c r="L67" s="189">
        <v>-0.4451</v>
      </c>
    </row>
    <row r="68" ht="22.5" customHeight="1">
      <c r="A68" s="187" t="s">
        <v>64</v>
      </c>
      <c r="B68" s="188">
        <v>46059.0</v>
      </c>
      <c r="C68" s="187">
        <v>135.0</v>
      </c>
      <c r="D68" s="187" t="s">
        <v>107</v>
      </c>
      <c r="E68" s="98">
        <v>0.0</v>
      </c>
      <c r="F68" s="98">
        <v>0.02</v>
      </c>
      <c r="G68" s="98">
        <v>0.04</v>
      </c>
      <c r="H68" s="189">
        <v>1.0177</v>
      </c>
      <c r="I68" s="98">
        <v>-0.0026</v>
      </c>
      <c r="J68" s="98">
        <v>0.0</v>
      </c>
      <c r="K68" s="98">
        <v>16.0</v>
      </c>
      <c r="L68" s="189">
        <v>-0.4238</v>
      </c>
    </row>
    <row r="69" ht="22.5" customHeight="1">
      <c r="A69" s="187" t="s">
        <v>64</v>
      </c>
      <c r="B69" s="188">
        <v>46059.0</v>
      </c>
      <c r="C69" s="187">
        <v>140.0</v>
      </c>
      <c r="D69" s="187" t="s">
        <v>107</v>
      </c>
      <c r="E69" s="98">
        <v>0.01</v>
      </c>
      <c r="F69" s="98">
        <v>0.03</v>
      </c>
      <c r="G69" s="98">
        <v>0.06</v>
      </c>
      <c r="H69" s="189">
        <v>0.9429000000000001</v>
      </c>
      <c r="I69" s="98">
        <v>-0.0025</v>
      </c>
      <c r="J69" s="98">
        <v>0.0</v>
      </c>
      <c r="K69" s="98">
        <v>14.0</v>
      </c>
      <c r="L69" s="189">
        <v>-0.40240000000000004</v>
      </c>
    </row>
    <row r="70" ht="22.5" customHeight="1">
      <c r="A70" s="187" t="s">
        <v>64</v>
      </c>
      <c r="B70" s="188">
        <v>46059.0</v>
      </c>
      <c r="C70" s="187">
        <v>145.0</v>
      </c>
      <c r="D70" s="187" t="s">
        <v>107</v>
      </c>
      <c r="E70" s="98">
        <v>0.01</v>
      </c>
      <c r="F70" s="98">
        <v>0.04</v>
      </c>
      <c r="G70" s="98">
        <v>0.07</v>
      </c>
      <c r="H70" s="189">
        <v>0.8959999999999999</v>
      </c>
      <c r="I70" s="98">
        <v>-0.0029</v>
      </c>
      <c r="J70" s="98">
        <v>0.0</v>
      </c>
      <c r="K70" s="98">
        <v>109.0</v>
      </c>
      <c r="L70" s="189">
        <v>-0.3811</v>
      </c>
    </row>
    <row r="71" ht="22.5" customHeight="1">
      <c r="A71" s="187" t="s">
        <v>64</v>
      </c>
      <c r="B71" s="188">
        <v>46059.0</v>
      </c>
      <c r="C71" s="187">
        <v>150.0</v>
      </c>
      <c r="D71" s="187" t="s">
        <v>107</v>
      </c>
      <c r="E71" s="98">
        <v>0.03</v>
      </c>
      <c r="F71" s="98">
        <v>0.06</v>
      </c>
      <c r="G71" s="98">
        <v>0.08</v>
      </c>
      <c r="H71" s="189">
        <v>0.8673000000000001</v>
      </c>
      <c r="I71" s="98">
        <v>-0.0041</v>
      </c>
      <c r="J71" s="98">
        <v>0.0</v>
      </c>
      <c r="K71" s="98">
        <v>2203.0</v>
      </c>
      <c r="L71" s="189">
        <v>-0.35969999999999996</v>
      </c>
    </row>
    <row r="72" ht="22.5" customHeight="1">
      <c r="A72" s="187" t="s">
        <v>64</v>
      </c>
      <c r="B72" s="188">
        <v>46059.0</v>
      </c>
      <c r="C72" s="187">
        <v>155.0</v>
      </c>
      <c r="D72" s="187" t="s">
        <v>107</v>
      </c>
      <c r="E72" s="98">
        <v>0.03</v>
      </c>
      <c r="F72" s="98">
        <v>0.06</v>
      </c>
      <c r="G72" s="98">
        <v>0.09</v>
      </c>
      <c r="H72" s="189">
        <v>0.8173</v>
      </c>
      <c r="I72" s="98">
        <v>-0.0047</v>
      </c>
      <c r="J72" s="98">
        <v>0.0</v>
      </c>
      <c r="K72" s="98">
        <v>52.0</v>
      </c>
      <c r="L72" s="189">
        <v>-0.33840000000000003</v>
      </c>
    </row>
    <row r="73" ht="22.5" customHeight="1">
      <c r="A73" s="187" t="s">
        <v>64</v>
      </c>
      <c r="B73" s="188">
        <v>46059.0</v>
      </c>
      <c r="C73" s="187">
        <v>160.0</v>
      </c>
      <c r="D73" s="187" t="s">
        <v>107</v>
      </c>
      <c r="E73" s="98">
        <v>0.05</v>
      </c>
      <c r="F73" s="98">
        <v>0.08</v>
      </c>
      <c r="G73" s="98">
        <v>0.1</v>
      </c>
      <c r="H73" s="189">
        <v>0.7743000000000001</v>
      </c>
      <c r="I73" s="98">
        <v>-0.0057</v>
      </c>
      <c r="J73" s="98">
        <v>3.0</v>
      </c>
      <c r="K73" s="98">
        <v>43.0</v>
      </c>
      <c r="L73" s="189">
        <v>-0.3171</v>
      </c>
    </row>
    <row r="74" ht="22.5" customHeight="1">
      <c r="A74" s="187" t="s">
        <v>64</v>
      </c>
      <c r="B74" s="188">
        <v>46059.0</v>
      </c>
      <c r="C74" s="187">
        <v>165.0</v>
      </c>
      <c r="D74" s="187" t="s">
        <v>107</v>
      </c>
      <c r="E74" s="98">
        <v>0.07</v>
      </c>
      <c r="F74" s="98">
        <v>0.1</v>
      </c>
      <c r="G74" s="98">
        <v>0.12</v>
      </c>
      <c r="H74" s="189">
        <v>0.7681999999999999</v>
      </c>
      <c r="I74" s="98">
        <v>-0.0093</v>
      </c>
      <c r="J74" s="98">
        <v>5.0</v>
      </c>
      <c r="K74" s="98">
        <v>215.0</v>
      </c>
      <c r="L74" s="189">
        <v>-0.2957</v>
      </c>
    </row>
    <row r="75" ht="22.5" customHeight="1">
      <c r="A75" s="187" t="s">
        <v>64</v>
      </c>
      <c r="B75" s="188">
        <v>46059.0</v>
      </c>
      <c r="C75" s="187">
        <v>170.0</v>
      </c>
      <c r="D75" s="187" t="s">
        <v>107</v>
      </c>
      <c r="E75" s="98">
        <v>0.09</v>
      </c>
      <c r="F75" s="98">
        <v>0.12</v>
      </c>
      <c r="G75" s="98">
        <v>0.15</v>
      </c>
      <c r="H75" s="189">
        <v>0.7322</v>
      </c>
      <c r="I75" s="98">
        <v>-0.0119</v>
      </c>
      <c r="J75" s="98">
        <v>5.0</v>
      </c>
      <c r="K75" s="98">
        <v>3260.0</v>
      </c>
      <c r="L75" s="189">
        <v>-0.27440000000000003</v>
      </c>
    </row>
    <row r="76" ht="22.5" customHeight="1">
      <c r="A76" s="187" t="s">
        <v>64</v>
      </c>
      <c r="B76" s="188">
        <v>46059.0</v>
      </c>
      <c r="C76" s="187">
        <v>175.0</v>
      </c>
      <c r="D76" s="187" t="s">
        <v>107</v>
      </c>
      <c r="E76" s="98">
        <v>0.13</v>
      </c>
      <c r="F76" s="98">
        <v>0.16</v>
      </c>
      <c r="G76" s="98">
        <v>0.18</v>
      </c>
      <c r="H76" s="189">
        <v>0.6743000000000001</v>
      </c>
      <c r="I76" s="98">
        <v>-0.0128</v>
      </c>
      <c r="J76" s="98">
        <v>5.0</v>
      </c>
      <c r="K76" s="98">
        <v>549.0</v>
      </c>
      <c r="L76" s="189">
        <v>-0.253</v>
      </c>
    </row>
    <row r="77" ht="22.5" customHeight="1">
      <c r="A77" s="187" t="s">
        <v>64</v>
      </c>
      <c r="B77" s="188">
        <v>46059.0</v>
      </c>
      <c r="C77" s="187">
        <v>180.0</v>
      </c>
      <c r="D77" s="187" t="s">
        <v>107</v>
      </c>
      <c r="E77" s="98">
        <v>0.17</v>
      </c>
      <c r="F77" s="98">
        <v>0.2</v>
      </c>
      <c r="G77" s="98">
        <v>0.22</v>
      </c>
      <c r="H77" s="189">
        <v>0.6419</v>
      </c>
      <c r="I77" s="98">
        <v>-0.017</v>
      </c>
      <c r="J77" s="98">
        <v>0.0</v>
      </c>
      <c r="K77" s="98">
        <v>139.0</v>
      </c>
      <c r="L77" s="189">
        <v>-0.23170000000000002</v>
      </c>
    </row>
    <row r="78" ht="22.5" customHeight="1">
      <c r="A78" s="187" t="s">
        <v>64</v>
      </c>
      <c r="B78" s="188">
        <v>46059.0</v>
      </c>
      <c r="C78" s="187">
        <v>185.0</v>
      </c>
      <c r="D78" s="187" t="s">
        <v>107</v>
      </c>
      <c r="E78" s="98">
        <v>0.24</v>
      </c>
      <c r="F78" s="98">
        <v>0.27</v>
      </c>
      <c r="G78" s="98">
        <v>0.29</v>
      </c>
      <c r="H78" s="189">
        <v>0.6119</v>
      </c>
      <c r="I78" s="98">
        <v>-0.0229</v>
      </c>
      <c r="J78" s="98">
        <v>30.0</v>
      </c>
      <c r="K78" s="98">
        <v>392.0</v>
      </c>
      <c r="L78" s="189">
        <v>-0.21030000000000001</v>
      </c>
    </row>
    <row r="79" ht="22.5" customHeight="1">
      <c r="A79" s="187" t="s">
        <v>64</v>
      </c>
      <c r="B79" s="188">
        <v>46059.0</v>
      </c>
      <c r="C79" s="187">
        <v>187.5</v>
      </c>
      <c r="D79" s="187" t="s">
        <v>107</v>
      </c>
      <c r="E79" s="98">
        <v>0.28</v>
      </c>
      <c r="F79" s="98">
        <v>0.3</v>
      </c>
      <c r="G79" s="98">
        <v>0.32</v>
      </c>
      <c r="H79" s="189">
        <v>0.5969</v>
      </c>
      <c r="I79" s="98">
        <v>-0.0265</v>
      </c>
      <c r="J79" s="98">
        <v>15.0</v>
      </c>
      <c r="K79" s="98">
        <v>0.0</v>
      </c>
      <c r="L79" s="189">
        <v>-0.1997</v>
      </c>
    </row>
    <row r="80" ht="22.5" customHeight="1">
      <c r="A80" s="187" t="s">
        <v>64</v>
      </c>
      <c r="B80" s="188">
        <v>46059.0</v>
      </c>
      <c r="C80" s="187">
        <v>190.0</v>
      </c>
      <c r="D80" s="187" t="s">
        <v>107</v>
      </c>
      <c r="E80" s="98">
        <v>0.32</v>
      </c>
      <c r="F80" s="98">
        <v>0.35</v>
      </c>
      <c r="G80" s="98">
        <v>0.37</v>
      </c>
      <c r="H80" s="189">
        <v>0.5814</v>
      </c>
      <c r="I80" s="98">
        <v>-0.0307</v>
      </c>
      <c r="J80" s="98">
        <v>26.0</v>
      </c>
      <c r="K80" s="98">
        <v>3092.0</v>
      </c>
      <c r="L80" s="189">
        <v>-0.18899999999999997</v>
      </c>
    </row>
    <row r="81" ht="22.5" customHeight="1">
      <c r="A81" s="187" t="s">
        <v>64</v>
      </c>
      <c r="B81" s="188">
        <v>46059.0</v>
      </c>
      <c r="C81" s="187">
        <v>192.5</v>
      </c>
      <c r="D81" s="187" t="s">
        <v>107</v>
      </c>
      <c r="E81" s="98">
        <v>0.39</v>
      </c>
      <c r="F81" s="98">
        <v>0.41</v>
      </c>
      <c r="G81" s="98">
        <v>0.43</v>
      </c>
      <c r="H81" s="189">
        <v>0.5693</v>
      </c>
      <c r="I81" s="98">
        <v>-0.0364</v>
      </c>
      <c r="J81" s="98">
        <v>0.0</v>
      </c>
      <c r="K81" s="98">
        <v>0.0</v>
      </c>
      <c r="L81" s="189">
        <v>-0.1783</v>
      </c>
    </row>
    <row r="82" ht="22.5" customHeight="1">
      <c r="A82" s="187" t="s">
        <v>64</v>
      </c>
      <c r="B82" s="188">
        <v>46059.0</v>
      </c>
      <c r="C82" s="187">
        <v>195.0</v>
      </c>
      <c r="D82" s="187" t="s">
        <v>107</v>
      </c>
      <c r="E82" s="98">
        <v>0.47</v>
      </c>
      <c r="F82" s="98">
        <v>0.48</v>
      </c>
      <c r="G82" s="98">
        <v>0.49</v>
      </c>
      <c r="H82" s="189">
        <v>0.5557</v>
      </c>
      <c r="I82" s="98">
        <v>-0.0427</v>
      </c>
      <c r="J82" s="98">
        <v>232.0</v>
      </c>
      <c r="K82" s="98">
        <v>703.0</v>
      </c>
      <c r="L82" s="189">
        <v>-0.1677</v>
      </c>
    </row>
    <row r="83" ht="22.5" customHeight="1">
      <c r="A83" s="187" t="s">
        <v>64</v>
      </c>
      <c r="B83" s="188">
        <v>46059.0</v>
      </c>
      <c r="C83" s="187">
        <v>197.5</v>
      </c>
      <c r="D83" s="187" t="s">
        <v>107</v>
      </c>
      <c r="E83" s="98">
        <v>0.55</v>
      </c>
      <c r="F83" s="98">
        <v>0.58</v>
      </c>
      <c r="G83" s="98">
        <v>0.6</v>
      </c>
      <c r="H83" s="189">
        <v>0.5447</v>
      </c>
      <c r="I83" s="98">
        <v>-0.0507</v>
      </c>
      <c r="J83" s="98">
        <v>2.0</v>
      </c>
      <c r="K83" s="98">
        <v>0.0</v>
      </c>
      <c r="L83" s="189">
        <v>-0.157</v>
      </c>
    </row>
    <row r="84" ht="22.5" customHeight="1">
      <c r="A84" s="187" t="s">
        <v>64</v>
      </c>
      <c r="B84" s="188">
        <v>46059.0</v>
      </c>
      <c r="C84" s="187">
        <v>200.0</v>
      </c>
      <c r="D84" s="187" t="s">
        <v>107</v>
      </c>
      <c r="E84" s="98">
        <v>0.67</v>
      </c>
      <c r="F84" s="98">
        <v>0.68</v>
      </c>
      <c r="G84" s="98">
        <v>0.69</v>
      </c>
      <c r="H84" s="189">
        <v>0.5323</v>
      </c>
      <c r="I84" s="98">
        <v>-0.0598</v>
      </c>
      <c r="J84" s="98">
        <v>115.0</v>
      </c>
      <c r="K84" s="98">
        <v>7713.0</v>
      </c>
      <c r="L84" s="189">
        <v>-0.1463</v>
      </c>
    </row>
    <row r="85" ht="22.5" customHeight="1">
      <c r="A85" s="187" t="s">
        <v>64</v>
      </c>
      <c r="B85" s="188">
        <v>46059.0</v>
      </c>
      <c r="C85" s="187">
        <v>202.5</v>
      </c>
      <c r="D85" s="187" t="s">
        <v>107</v>
      </c>
      <c r="E85" s="98">
        <v>0.81</v>
      </c>
      <c r="F85" s="98">
        <v>0.84</v>
      </c>
      <c r="G85" s="98">
        <v>0.86</v>
      </c>
      <c r="H85" s="189">
        <v>0.527</v>
      </c>
      <c r="I85" s="98">
        <v>-0.0728</v>
      </c>
      <c r="J85" s="98">
        <v>6.0</v>
      </c>
      <c r="K85" s="98">
        <v>0.0</v>
      </c>
      <c r="L85" s="189">
        <v>-0.1356</v>
      </c>
    </row>
    <row r="86" ht="22.5" customHeight="1">
      <c r="A86" s="187" t="s">
        <v>64</v>
      </c>
      <c r="B86" s="188">
        <v>46059.0</v>
      </c>
      <c r="C86" s="187">
        <v>205.0</v>
      </c>
      <c r="D86" s="187" t="s">
        <v>107</v>
      </c>
      <c r="E86" s="98">
        <v>0.99</v>
      </c>
      <c r="F86" s="98">
        <v>1.01</v>
      </c>
      <c r="G86" s="98">
        <v>1.02</v>
      </c>
      <c r="H86" s="189">
        <v>0.5157</v>
      </c>
      <c r="I86" s="98">
        <v>-0.0858</v>
      </c>
      <c r="J86" s="98">
        <v>140.0</v>
      </c>
      <c r="K86" s="98">
        <v>2586.0</v>
      </c>
      <c r="L86" s="189">
        <v>-0.125</v>
      </c>
    </row>
    <row r="87" ht="22.5" customHeight="1">
      <c r="A87" s="187" t="s">
        <v>64</v>
      </c>
      <c r="B87" s="188">
        <v>46059.0</v>
      </c>
      <c r="C87" s="187">
        <v>207.5</v>
      </c>
      <c r="D87" s="187" t="s">
        <v>107</v>
      </c>
      <c r="E87" s="98">
        <v>1.2</v>
      </c>
      <c r="F87" s="98">
        <v>1.23</v>
      </c>
      <c r="G87" s="98">
        <v>1.27</v>
      </c>
      <c r="H87" s="189">
        <v>0.5086999999999999</v>
      </c>
      <c r="I87" s="98">
        <v>-0.1026</v>
      </c>
      <c r="J87" s="98">
        <v>6.0</v>
      </c>
      <c r="K87" s="98">
        <v>0.0</v>
      </c>
      <c r="L87" s="189">
        <v>-0.1143</v>
      </c>
    </row>
    <row r="88" ht="22.5" customHeight="1">
      <c r="A88" s="187" t="s">
        <v>64</v>
      </c>
      <c r="B88" s="188">
        <v>46059.0</v>
      </c>
      <c r="C88" s="187">
        <v>210.0</v>
      </c>
      <c r="D88" s="187" t="s">
        <v>107</v>
      </c>
      <c r="E88" s="98">
        <v>1.48</v>
      </c>
      <c r="F88" s="98">
        <v>1.5</v>
      </c>
      <c r="G88" s="98">
        <v>1.51</v>
      </c>
      <c r="H88" s="189">
        <v>0.5014</v>
      </c>
      <c r="I88" s="98">
        <v>-0.1218</v>
      </c>
      <c r="J88" s="98">
        <v>104.0</v>
      </c>
      <c r="K88" s="98">
        <v>2429.0</v>
      </c>
      <c r="L88" s="189">
        <v>-0.1036</v>
      </c>
    </row>
    <row r="89" ht="22.5" customHeight="1">
      <c r="A89" s="187" t="s">
        <v>64</v>
      </c>
      <c r="B89" s="188">
        <v>46059.0</v>
      </c>
      <c r="C89" s="187">
        <v>212.5</v>
      </c>
      <c r="D89" s="187" t="s">
        <v>107</v>
      </c>
      <c r="E89" s="98">
        <v>1.8</v>
      </c>
      <c r="F89" s="98">
        <v>1.84</v>
      </c>
      <c r="G89" s="98">
        <v>1.88</v>
      </c>
      <c r="H89" s="189">
        <v>0.4965</v>
      </c>
      <c r="I89" s="98">
        <v>-0.1448</v>
      </c>
      <c r="J89" s="98">
        <v>8.0</v>
      </c>
      <c r="K89" s="98">
        <v>0.0</v>
      </c>
      <c r="L89" s="189">
        <v>-0.09300000000000001</v>
      </c>
    </row>
    <row r="90" ht="22.5" customHeight="1">
      <c r="A90" s="187" t="s">
        <v>64</v>
      </c>
      <c r="B90" s="188">
        <v>46059.0</v>
      </c>
      <c r="C90" s="187">
        <v>215.0</v>
      </c>
      <c r="D90" s="187" t="s">
        <v>107</v>
      </c>
      <c r="E90" s="98">
        <v>2.21</v>
      </c>
      <c r="F90" s="98">
        <v>2.23</v>
      </c>
      <c r="G90" s="98">
        <v>2.25</v>
      </c>
      <c r="H90" s="189">
        <v>0.4916</v>
      </c>
      <c r="I90" s="98">
        <v>-0.1708</v>
      </c>
      <c r="J90" s="98">
        <v>323.0</v>
      </c>
      <c r="K90" s="98">
        <v>3396.0</v>
      </c>
      <c r="L90" s="189">
        <v>-0.0823</v>
      </c>
    </row>
    <row r="91" ht="22.5" customHeight="1">
      <c r="A91" s="187" t="s">
        <v>64</v>
      </c>
      <c r="B91" s="188">
        <v>46059.0</v>
      </c>
      <c r="C91" s="187">
        <v>217.5</v>
      </c>
      <c r="D91" s="187" t="s">
        <v>107</v>
      </c>
      <c r="E91" s="98">
        <v>2.67</v>
      </c>
      <c r="F91" s="98">
        <v>2.71</v>
      </c>
      <c r="G91" s="98">
        <v>2.75</v>
      </c>
      <c r="H91" s="189">
        <v>0.48829999999999996</v>
      </c>
      <c r="I91" s="98">
        <v>-0.2005</v>
      </c>
      <c r="J91" s="98">
        <v>20.0</v>
      </c>
      <c r="K91" s="98">
        <v>318.0</v>
      </c>
      <c r="L91" s="189">
        <v>-0.0716</v>
      </c>
    </row>
    <row r="92" ht="22.5" customHeight="1">
      <c r="A92" s="187" t="s">
        <v>64</v>
      </c>
      <c r="B92" s="188">
        <v>46059.0</v>
      </c>
      <c r="C92" s="187">
        <v>220.0</v>
      </c>
      <c r="D92" s="187" t="s">
        <v>107</v>
      </c>
      <c r="E92" s="98">
        <v>3.25</v>
      </c>
      <c r="F92" s="98">
        <v>3.28</v>
      </c>
      <c r="G92" s="98">
        <v>3.3</v>
      </c>
      <c r="H92" s="189">
        <v>0.4844</v>
      </c>
      <c r="I92" s="98">
        <v>-0.2329</v>
      </c>
      <c r="J92" s="98">
        <v>169.0</v>
      </c>
      <c r="K92" s="98">
        <v>3155.0</v>
      </c>
      <c r="L92" s="189">
        <v>-0.061</v>
      </c>
    </row>
    <row r="93" ht="22.5" customHeight="1">
      <c r="A93" s="187" t="s">
        <v>64</v>
      </c>
      <c r="B93" s="188">
        <v>46059.0</v>
      </c>
      <c r="C93" s="187">
        <v>222.5</v>
      </c>
      <c r="D93" s="187" t="s">
        <v>107</v>
      </c>
      <c r="E93" s="98">
        <v>3.85</v>
      </c>
      <c r="F93" s="98">
        <v>3.93</v>
      </c>
      <c r="G93" s="98">
        <v>4.0</v>
      </c>
      <c r="H93" s="189">
        <v>0.48450000000000004</v>
      </c>
      <c r="I93" s="98">
        <v>-0.2696</v>
      </c>
      <c r="J93" s="98">
        <v>179.0</v>
      </c>
      <c r="K93" s="98">
        <v>271.0</v>
      </c>
      <c r="L93" s="189">
        <v>-0.050300000000000004</v>
      </c>
    </row>
    <row r="94" ht="22.5" customHeight="1">
      <c r="A94" s="187" t="s">
        <v>64</v>
      </c>
      <c r="B94" s="188">
        <v>46059.0</v>
      </c>
      <c r="C94" s="187">
        <v>225.0</v>
      </c>
      <c r="D94" s="187" t="s">
        <v>107</v>
      </c>
      <c r="E94" s="98">
        <v>4.65</v>
      </c>
      <c r="F94" s="98">
        <v>4.7</v>
      </c>
      <c r="G94" s="98">
        <v>4.75</v>
      </c>
      <c r="H94" s="189">
        <v>0.4781</v>
      </c>
      <c r="I94" s="98">
        <v>-0.3066</v>
      </c>
      <c r="J94" s="98">
        <v>323.0</v>
      </c>
      <c r="K94" s="98">
        <v>2678.0</v>
      </c>
      <c r="L94" s="189">
        <v>-0.039599999999999996</v>
      </c>
    </row>
    <row r="95" ht="22.5" customHeight="1">
      <c r="A95" s="187" t="s">
        <v>64</v>
      </c>
      <c r="B95" s="188">
        <v>46059.0</v>
      </c>
      <c r="C95" s="187">
        <v>227.5</v>
      </c>
      <c r="D95" s="187" t="s">
        <v>107</v>
      </c>
      <c r="E95" s="98">
        <v>5.45</v>
      </c>
      <c r="F95" s="98">
        <v>5.53</v>
      </c>
      <c r="G95" s="98">
        <v>5.6</v>
      </c>
      <c r="H95" s="189">
        <v>0.4727</v>
      </c>
      <c r="I95" s="98">
        <v>-0.3466</v>
      </c>
      <c r="J95" s="98">
        <v>25.0</v>
      </c>
      <c r="K95" s="98">
        <v>696.0</v>
      </c>
      <c r="L95" s="189">
        <v>-0.028900000000000002</v>
      </c>
    </row>
    <row r="96" ht="22.5" customHeight="1">
      <c r="A96" s="187" t="s">
        <v>64</v>
      </c>
      <c r="B96" s="188">
        <v>46059.0</v>
      </c>
      <c r="C96" s="187">
        <v>230.0</v>
      </c>
      <c r="D96" s="187" t="s">
        <v>107</v>
      </c>
      <c r="E96" s="98">
        <v>6.4</v>
      </c>
      <c r="F96" s="98">
        <v>6.48</v>
      </c>
      <c r="G96" s="98">
        <v>6.55</v>
      </c>
      <c r="H96" s="189">
        <v>0.46990000000000004</v>
      </c>
      <c r="I96" s="98">
        <v>-0.3892</v>
      </c>
      <c r="J96" s="98">
        <v>165.0</v>
      </c>
      <c r="K96" s="98">
        <v>11729.0</v>
      </c>
      <c r="L96" s="189">
        <v>-0.0183</v>
      </c>
    </row>
    <row r="97" ht="22.5" customHeight="1">
      <c r="A97" s="187" t="s">
        <v>64</v>
      </c>
      <c r="B97" s="188">
        <v>46059.0</v>
      </c>
      <c r="C97" s="187">
        <v>232.5</v>
      </c>
      <c r="D97" s="187" t="s">
        <v>107</v>
      </c>
      <c r="E97" s="98">
        <v>7.45</v>
      </c>
      <c r="F97" s="98">
        <v>7.53</v>
      </c>
      <c r="G97" s="98">
        <v>7.6</v>
      </c>
      <c r="H97" s="189">
        <v>0.46509999999999996</v>
      </c>
      <c r="I97" s="98">
        <v>-0.4332</v>
      </c>
      <c r="J97" s="98">
        <v>100.0</v>
      </c>
      <c r="K97" s="98">
        <v>156.0</v>
      </c>
      <c r="L97" s="189">
        <v>-0.0076</v>
      </c>
    </row>
    <row r="98" ht="22.5" customHeight="1">
      <c r="A98" s="187" t="s">
        <v>64</v>
      </c>
      <c r="B98" s="188">
        <v>46059.0</v>
      </c>
      <c r="C98" s="187">
        <v>235.0</v>
      </c>
      <c r="D98" s="187" t="s">
        <v>107</v>
      </c>
      <c r="E98" s="98">
        <v>8.65</v>
      </c>
      <c r="F98" s="98">
        <v>8.7</v>
      </c>
      <c r="G98" s="98">
        <v>8.75</v>
      </c>
      <c r="H98" s="189">
        <v>0.46240000000000003</v>
      </c>
      <c r="I98" s="98">
        <v>-0.4784</v>
      </c>
      <c r="J98" s="98">
        <v>295.0</v>
      </c>
      <c r="K98" s="98">
        <v>3180.0</v>
      </c>
      <c r="L98" s="189">
        <v>0.0031</v>
      </c>
    </row>
    <row r="99" ht="22.5" customHeight="1">
      <c r="A99" s="187" t="s">
        <v>64</v>
      </c>
      <c r="B99" s="188">
        <v>46059.0</v>
      </c>
      <c r="C99" s="187">
        <v>237.5</v>
      </c>
      <c r="D99" s="187" t="s">
        <v>107</v>
      </c>
      <c r="E99" s="98">
        <v>9.9</v>
      </c>
      <c r="F99" s="98">
        <v>9.98</v>
      </c>
      <c r="G99" s="98">
        <v>10.05</v>
      </c>
      <c r="H99" s="189">
        <v>0.4598</v>
      </c>
      <c r="I99" s="98">
        <v>-0.5239</v>
      </c>
      <c r="J99" s="98">
        <v>79.0</v>
      </c>
      <c r="K99" s="98">
        <v>36.0</v>
      </c>
      <c r="L99" s="189">
        <v>0.0137</v>
      </c>
    </row>
    <row r="100" ht="22.5" customHeight="1">
      <c r="A100" s="187" t="s">
        <v>64</v>
      </c>
      <c r="B100" s="188">
        <v>46059.0</v>
      </c>
      <c r="C100" s="187">
        <v>240.0</v>
      </c>
      <c r="D100" s="187" t="s">
        <v>107</v>
      </c>
      <c r="E100" s="98">
        <v>11.3</v>
      </c>
      <c r="F100" s="98">
        <v>11.38</v>
      </c>
      <c r="G100" s="98">
        <v>11.45</v>
      </c>
      <c r="H100" s="189">
        <v>0.45549999999999996</v>
      </c>
      <c r="I100" s="98">
        <v>-0.5697</v>
      </c>
      <c r="J100" s="98">
        <v>58.0</v>
      </c>
      <c r="K100" s="98">
        <v>2011.0</v>
      </c>
      <c r="L100" s="189">
        <v>0.024399999999999998</v>
      </c>
    </row>
    <row r="101" ht="22.5" customHeight="1">
      <c r="A101" s="187" t="s">
        <v>64</v>
      </c>
      <c r="B101" s="188">
        <v>46059.0</v>
      </c>
      <c r="C101" s="187">
        <v>242.5</v>
      </c>
      <c r="D101" s="187" t="s">
        <v>107</v>
      </c>
      <c r="E101" s="98">
        <v>12.8</v>
      </c>
      <c r="F101" s="98">
        <v>12.88</v>
      </c>
      <c r="G101" s="98">
        <v>12.95</v>
      </c>
      <c r="H101" s="189">
        <v>0.4532</v>
      </c>
      <c r="I101" s="98">
        <v>-0.6143</v>
      </c>
      <c r="J101" s="98">
        <v>14.0</v>
      </c>
      <c r="K101" s="98">
        <v>26.0</v>
      </c>
      <c r="L101" s="189">
        <v>0.0351</v>
      </c>
    </row>
    <row r="102" ht="22.5" customHeight="1">
      <c r="A102" s="187" t="s">
        <v>64</v>
      </c>
      <c r="B102" s="188">
        <v>46059.0</v>
      </c>
      <c r="C102" s="187">
        <v>245.0</v>
      </c>
      <c r="D102" s="187" t="s">
        <v>107</v>
      </c>
      <c r="E102" s="98">
        <v>14.4</v>
      </c>
      <c r="F102" s="98">
        <v>14.48</v>
      </c>
      <c r="G102" s="98">
        <v>14.55</v>
      </c>
      <c r="H102" s="189">
        <v>0.44770000000000004</v>
      </c>
      <c r="I102" s="98">
        <v>-0.6588</v>
      </c>
      <c r="J102" s="98">
        <v>255.0</v>
      </c>
      <c r="K102" s="98">
        <v>1651.0</v>
      </c>
      <c r="L102" s="189">
        <v>0.0458</v>
      </c>
    </row>
    <row r="103" ht="22.5" customHeight="1">
      <c r="A103" s="187" t="s">
        <v>64</v>
      </c>
      <c r="B103" s="188">
        <v>46059.0</v>
      </c>
      <c r="C103" s="187">
        <v>247.5</v>
      </c>
      <c r="D103" s="187" t="s">
        <v>107</v>
      </c>
      <c r="E103" s="98">
        <v>16.1</v>
      </c>
      <c r="F103" s="98">
        <v>16.18</v>
      </c>
      <c r="G103" s="98">
        <v>16.25</v>
      </c>
      <c r="H103" s="189">
        <v>0.4447</v>
      </c>
      <c r="I103" s="98">
        <v>-0.7008</v>
      </c>
      <c r="J103" s="98">
        <v>19.0</v>
      </c>
      <c r="K103" s="98">
        <v>14.0</v>
      </c>
      <c r="L103" s="189">
        <v>0.0564</v>
      </c>
    </row>
    <row r="104" ht="22.5" customHeight="1">
      <c r="A104" s="187" t="s">
        <v>64</v>
      </c>
      <c r="B104" s="188">
        <v>46059.0</v>
      </c>
      <c r="C104" s="187">
        <v>250.0</v>
      </c>
      <c r="D104" s="187" t="s">
        <v>107</v>
      </c>
      <c r="E104" s="98">
        <v>17.9</v>
      </c>
      <c r="F104" s="98">
        <v>18.0</v>
      </c>
      <c r="G104" s="98">
        <v>18.1</v>
      </c>
      <c r="H104" s="189">
        <v>0.4416</v>
      </c>
      <c r="I104" s="98">
        <v>-0.7405</v>
      </c>
      <c r="J104" s="98">
        <v>53.0</v>
      </c>
      <c r="K104" s="98">
        <v>675.0</v>
      </c>
      <c r="L104" s="189">
        <v>0.06709999999999999</v>
      </c>
    </row>
    <row r="105" ht="22.5" customHeight="1">
      <c r="A105" s="187" t="s">
        <v>64</v>
      </c>
      <c r="B105" s="188">
        <v>46059.0</v>
      </c>
      <c r="C105" s="187">
        <v>252.5</v>
      </c>
      <c r="D105" s="187" t="s">
        <v>107</v>
      </c>
      <c r="E105" s="98">
        <v>19.8</v>
      </c>
      <c r="F105" s="98">
        <v>19.9</v>
      </c>
      <c r="G105" s="98">
        <v>20.0</v>
      </c>
      <c r="H105" s="189">
        <v>0.43729999999999997</v>
      </c>
      <c r="I105" s="98">
        <v>-0.7784</v>
      </c>
      <c r="J105" s="98">
        <v>36.0</v>
      </c>
      <c r="K105" s="98">
        <v>13.0</v>
      </c>
      <c r="L105" s="189">
        <v>0.07780000000000001</v>
      </c>
    </row>
    <row r="106" ht="22.5" customHeight="1">
      <c r="A106" s="187" t="s">
        <v>64</v>
      </c>
      <c r="B106" s="188">
        <v>46059.0</v>
      </c>
      <c r="C106" s="187">
        <v>255.0</v>
      </c>
      <c r="D106" s="187" t="s">
        <v>107</v>
      </c>
      <c r="E106" s="98">
        <v>21.75</v>
      </c>
      <c r="F106" s="98">
        <v>21.88</v>
      </c>
      <c r="G106" s="98">
        <v>22.0</v>
      </c>
      <c r="H106" s="189">
        <v>0.4415</v>
      </c>
      <c r="I106" s="98">
        <v>-0.8083</v>
      </c>
      <c r="J106" s="98">
        <v>37.0</v>
      </c>
      <c r="K106" s="98">
        <v>250.0</v>
      </c>
      <c r="L106" s="189">
        <v>0.08839999999999999</v>
      </c>
    </row>
    <row r="107" ht="22.5" customHeight="1">
      <c r="A107" s="187" t="s">
        <v>64</v>
      </c>
      <c r="B107" s="188">
        <v>46059.0</v>
      </c>
      <c r="C107" s="187">
        <v>257.5</v>
      </c>
      <c r="D107" s="187" t="s">
        <v>107</v>
      </c>
      <c r="E107" s="98">
        <v>23.65</v>
      </c>
      <c r="F107" s="98">
        <v>24.03</v>
      </c>
      <c r="G107" s="98">
        <v>24.4</v>
      </c>
      <c r="H107" s="189">
        <v>0.4341</v>
      </c>
      <c r="I107" s="98">
        <v>-0.8419</v>
      </c>
      <c r="J107" s="98">
        <v>0.0</v>
      </c>
      <c r="K107" s="98">
        <v>2.0</v>
      </c>
      <c r="L107" s="189">
        <v>0.09910000000000001</v>
      </c>
    </row>
    <row r="108" ht="22.5" customHeight="1">
      <c r="A108" s="187" t="s">
        <v>64</v>
      </c>
      <c r="B108" s="188">
        <v>46059.0</v>
      </c>
      <c r="C108" s="187">
        <v>260.0</v>
      </c>
      <c r="D108" s="187" t="s">
        <v>107</v>
      </c>
      <c r="E108" s="98">
        <v>25.5</v>
      </c>
      <c r="F108" s="98">
        <v>26.0</v>
      </c>
      <c r="G108" s="98">
        <v>26.5</v>
      </c>
      <c r="H108" s="189">
        <v>0.41259999999999997</v>
      </c>
      <c r="I108" s="98">
        <v>-0.8821</v>
      </c>
      <c r="J108" s="98">
        <v>18.0</v>
      </c>
      <c r="K108" s="98">
        <v>367.0</v>
      </c>
      <c r="L108" s="189">
        <v>0.10980000000000001</v>
      </c>
    </row>
    <row r="109" ht="22.5" customHeight="1">
      <c r="A109" s="187" t="s">
        <v>64</v>
      </c>
      <c r="B109" s="188">
        <v>46059.0</v>
      </c>
      <c r="C109" s="187">
        <v>262.5</v>
      </c>
      <c r="D109" s="187" t="s">
        <v>107</v>
      </c>
      <c r="E109" s="98">
        <v>27.25</v>
      </c>
      <c r="F109" s="98">
        <v>28.03</v>
      </c>
      <c r="G109" s="98">
        <v>28.8</v>
      </c>
      <c r="H109" s="189">
        <v>0.41659999999999997</v>
      </c>
      <c r="I109" s="98">
        <v>-0.9014</v>
      </c>
      <c r="J109" s="98">
        <v>2.0</v>
      </c>
      <c r="K109" s="98">
        <v>0.0</v>
      </c>
      <c r="L109" s="189">
        <v>0.12050000000000001</v>
      </c>
    </row>
    <row r="110" ht="22.5" customHeight="1">
      <c r="A110" s="187" t="s">
        <v>64</v>
      </c>
      <c r="B110" s="188">
        <v>46059.0</v>
      </c>
      <c r="C110" s="187">
        <v>265.0</v>
      </c>
      <c r="D110" s="187" t="s">
        <v>107</v>
      </c>
      <c r="E110" s="98">
        <v>30.3</v>
      </c>
      <c r="F110" s="98">
        <v>30.65</v>
      </c>
      <c r="G110" s="98">
        <v>31.0</v>
      </c>
      <c r="H110" s="189">
        <v>0.4225</v>
      </c>
      <c r="I110" s="98">
        <v>-0.9184</v>
      </c>
      <c r="J110" s="98">
        <v>0.0</v>
      </c>
      <c r="K110" s="98">
        <v>69.0</v>
      </c>
      <c r="L110" s="189">
        <v>0.1311</v>
      </c>
    </row>
    <row r="111" ht="22.5" customHeight="1">
      <c r="A111" s="187" t="s">
        <v>64</v>
      </c>
      <c r="B111" s="188">
        <v>46059.0</v>
      </c>
      <c r="C111" s="187">
        <v>267.5</v>
      </c>
      <c r="D111" s="187" t="s">
        <v>107</v>
      </c>
      <c r="E111" s="98">
        <v>32.6</v>
      </c>
      <c r="F111" s="98">
        <v>33.0</v>
      </c>
      <c r="G111" s="98">
        <v>33.4</v>
      </c>
      <c r="H111" s="189">
        <v>0.4236</v>
      </c>
      <c r="I111" s="98">
        <v>-0.9347</v>
      </c>
      <c r="J111" s="98">
        <v>0.0</v>
      </c>
      <c r="K111" s="98">
        <v>0.0</v>
      </c>
      <c r="L111" s="189">
        <v>0.1418</v>
      </c>
    </row>
    <row r="112" ht="22.5" customHeight="1">
      <c r="A112" s="187" t="s">
        <v>64</v>
      </c>
      <c r="B112" s="188">
        <v>46059.0</v>
      </c>
      <c r="C112" s="187">
        <v>270.0</v>
      </c>
      <c r="D112" s="187" t="s">
        <v>107</v>
      </c>
      <c r="E112" s="98">
        <v>34.95</v>
      </c>
      <c r="F112" s="98">
        <v>35.33</v>
      </c>
      <c r="G112" s="98">
        <v>35.7</v>
      </c>
      <c r="H112" s="189">
        <v>0.4125</v>
      </c>
      <c r="I112" s="98">
        <v>-0.9545</v>
      </c>
      <c r="J112" s="98">
        <v>0.0</v>
      </c>
      <c r="K112" s="98">
        <v>82.0</v>
      </c>
      <c r="L112" s="189">
        <v>0.1525</v>
      </c>
    </row>
    <row r="113" ht="22.5" customHeight="1">
      <c r="A113" s="187" t="s">
        <v>64</v>
      </c>
      <c r="B113" s="188">
        <v>46059.0</v>
      </c>
      <c r="C113" s="187">
        <v>272.5</v>
      </c>
      <c r="D113" s="187" t="s">
        <v>107</v>
      </c>
      <c r="E113" s="98">
        <v>36.5</v>
      </c>
      <c r="F113" s="98">
        <v>38.03</v>
      </c>
      <c r="G113" s="98">
        <v>39.55</v>
      </c>
      <c r="H113" s="189">
        <v>0.4739</v>
      </c>
      <c r="I113" s="98">
        <v>-0.9381</v>
      </c>
      <c r="J113" s="98">
        <v>0.0</v>
      </c>
      <c r="K113" s="98">
        <v>0.0</v>
      </c>
      <c r="L113" s="189">
        <v>0.1631</v>
      </c>
    </row>
    <row r="114" ht="22.5" customHeight="1">
      <c r="A114" s="187" t="s">
        <v>64</v>
      </c>
      <c r="B114" s="188">
        <v>46059.0</v>
      </c>
      <c r="C114" s="187">
        <v>275.0</v>
      </c>
      <c r="D114" s="187" t="s">
        <v>107</v>
      </c>
      <c r="E114" s="98">
        <v>38.9</v>
      </c>
      <c r="F114" s="98">
        <v>40.45</v>
      </c>
      <c r="G114" s="98">
        <v>42.0</v>
      </c>
      <c r="H114" s="189">
        <v>0.48219999999999996</v>
      </c>
      <c r="I114" s="98">
        <v>-0.9467</v>
      </c>
      <c r="J114" s="98">
        <v>0.0</v>
      </c>
      <c r="K114" s="98">
        <v>22.0</v>
      </c>
      <c r="L114" s="189">
        <v>0.17379999999999998</v>
      </c>
    </row>
    <row r="115" ht="22.5" customHeight="1">
      <c r="A115" s="187" t="s">
        <v>64</v>
      </c>
      <c r="B115" s="188">
        <v>46059.0</v>
      </c>
      <c r="C115" s="187">
        <v>277.5</v>
      </c>
      <c r="D115" s="187" t="s">
        <v>107</v>
      </c>
      <c r="E115" s="98">
        <v>41.3</v>
      </c>
      <c r="F115" s="98">
        <v>42.88</v>
      </c>
      <c r="G115" s="98">
        <v>44.45</v>
      </c>
      <c r="H115" s="189">
        <v>0.4878</v>
      </c>
      <c r="I115" s="98">
        <v>-0.955</v>
      </c>
      <c r="J115" s="98">
        <v>0.0</v>
      </c>
      <c r="K115" s="98">
        <v>0.0</v>
      </c>
      <c r="L115" s="189">
        <v>0.1845</v>
      </c>
    </row>
    <row r="116" ht="22.5" customHeight="1">
      <c r="A116" s="187" t="s">
        <v>64</v>
      </c>
      <c r="B116" s="188">
        <v>46059.0</v>
      </c>
      <c r="C116" s="187">
        <v>280.0</v>
      </c>
      <c r="D116" s="187" t="s">
        <v>107</v>
      </c>
      <c r="E116" s="98">
        <v>44.15</v>
      </c>
      <c r="F116" s="98">
        <v>45.53</v>
      </c>
      <c r="G116" s="98">
        <v>46.9</v>
      </c>
      <c r="H116" s="189">
        <v>0.5399</v>
      </c>
      <c r="I116" s="98">
        <v>-0.9443</v>
      </c>
      <c r="J116" s="98">
        <v>0.0</v>
      </c>
      <c r="K116" s="98">
        <v>29.0</v>
      </c>
      <c r="L116" s="189">
        <v>0.19519999999999998</v>
      </c>
    </row>
    <row r="117" ht="22.5" customHeight="1">
      <c r="A117" s="187" t="s">
        <v>64</v>
      </c>
      <c r="B117" s="188">
        <v>46059.0</v>
      </c>
      <c r="C117" s="187">
        <v>285.0</v>
      </c>
      <c r="D117" s="187" t="s">
        <v>107</v>
      </c>
      <c r="E117" s="98">
        <v>48.7</v>
      </c>
      <c r="F117" s="98">
        <v>50.3</v>
      </c>
      <c r="G117" s="98">
        <v>51.9</v>
      </c>
      <c r="H117" s="189">
        <v>0.5295000000000001</v>
      </c>
      <c r="I117" s="98">
        <v>-0.9656</v>
      </c>
      <c r="J117" s="98">
        <v>0.0</v>
      </c>
      <c r="K117" s="98">
        <v>0.0</v>
      </c>
      <c r="L117" s="189">
        <v>0.2165</v>
      </c>
    </row>
    <row r="118" ht="22.5" customHeight="1">
      <c r="A118" s="187" t="s">
        <v>64</v>
      </c>
      <c r="B118" s="188">
        <v>46059.0</v>
      </c>
      <c r="C118" s="187">
        <v>290.0</v>
      </c>
      <c r="D118" s="187" t="s">
        <v>107</v>
      </c>
      <c r="E118" s="98">
        <v>53.85</v>
      </c>
      <c r="F118" s="98">
        <v>55.38</v>
      </c>
      <c r="G118" s="98">
        <v>56.9</v>
      </c>
      <c r="H118" s="189">
        <v>0.5886</v>
      </c>
      <c r="I118" s="98">
        <v>-0.9613</v>
      </c>
      <c r="J118" s="98">
        <v>0.0</v>
      </c>
      <c r="K118" s="98">
        <v>0.0</v>
      </c>
      <c r="L118" s="189">
        <v>0.2378</v>
      </c>
    </row>
    <row r="119" ht="22.5" customHeight="1">
      <c r="A119" s="187" t="s">
        <v>64</v>
      </c>
      <c r="B119" s="188">
        <v>46059.0</v>
      </c>
      <c r="C119" s="187">
        <v>295.0</v>
      </c>
      <c r="D119" s="187" t="s">
        <v>107</v>
      </c>
      <c r="E119" s="98">
        <v>58.95</v>
      </c>
      <c r="F119" s="98">
        <v>60.43</v>
      </c>
      <c r="G119" s="98">
        <v>61.9</v>
      </c>
      <c r="H119" s="189">
        <v>0.6396999999999999</v>
      </c>
      <c r="I119" s="98">
        <v>-0.96</v>
      </c>
      <c r="J119" s="98">
        <v>0.0</v>
      </c>
      <c r="K119" s="98">
        <v>0.0</v>
      </c>
      <c r="L119" s="189">
        <v>0.25920000000000004</v>
      </c>
    </row>
    <row r="120" ht="22.5" customHeight="1">
      <c r="A120" s="187" t="s">
        <v>64</v>
      </c>
      <c r="B120" s="188">
        <v>46059.0</v>
      </c>
      <c r="C120" s="187">
        <v>300.0</v>
      </c>
      <c r="D120" s="187" t="s">
        <v>107</v>
      </c>
      <c r="E120" s="98">
        <v>63.35</v>
      </c>
      <c r="F120" s="98">
        <v>65.13</v>
      </c>
      <c r="G120" s="98">
        <v>66.9</v>
      </c>
      <c r="H120" s="189">
        <v>0.552</v>
      </c>
      <c r="I120" s="98">
        <v>-0.9934</v>
      </c>
      <c r="J120" s="98">
        <v>0.0</v>
      </c>
      <c r="K120" s="98">
        <v>0.0</v>
      </c>
      <c r="L120" s="189">
        <v>0.2805</v>
      </c>
    </row>
    <row r="121" ht="22.5" customHeight="1">
      <c r="A121" s="187" t="s">
        <v>64</v>
      </c>
      <c r="B121" s="188">
        <v>46059.0</v>
      </c>
      <c r="C121" s="187">
        <v>305.0</v>
      </c>
      <c r="D121" s="187" t="s">
        <v>107</v>
      </c>
      <c r="E121" s="98">
        <v>68.35</v>
      </c>
      <c r="F121" s="98">
        <v>70.13</v>
      </c>
      <c r="G121" s="98">
        <v>71.9</v>
      </c>
      <c r="H121" s="189">
        <v>0.5839</v>
      </c>
      <c r="I121" s="98">
        <v>-0.9936</v>
      </c>
      <c r="J121" s="98">
        <v>0.0</v>
      </c>
      <c r="K121" s="98">
        <v>0.0</v>
      </c>
      <c r="L121" s="189">
        <v>0.3019</v>
      </c>
    </row>
    <row r="122" ht="22.5" customHeight="1">
      <c r="A122" s="187" t="s">
        <v>64</v>
      </c>
      <c r="B122" s="188">
        <v>46059.0</v>
      </c>
      <c r="C122" s="187">
        <v>310.0</v>
      </c>
      <c r="D122" s="187" t="s">
        <v>107</v>
      </c>
      <c r="E122" s="98">
        <v>73.65</v>
      </c>
      <c r="F122" s="98">
        <v>75.28</v>
      </c>
      <c r="G122" s="98">
        <v>76.9</v>
      </c>
      <c r="H122" s="189">
        <v>0.7025</v>
      </c>
      <c r="I122" s="98">
        <v>-0.9755</v>
      </c>
      <c r="J122" s="98">
        <v>0.0</v>
      </c>
      <c r="K122" s="98">
        <v>0.0</v>
      </c>
      <c r="L122" s="189">
        <v>0.3232</v>
      </c>
    </row>
    <row r="123" ht="22.5" customHeight="1">
      <c r="A123" s="187" t="s">
        <v>64</v>
      </c>
      <c r="B123" s="188">
        <v>46059.0</v>
      </c>
      <c r="C123" s="187">
        <v>315.0</v>
      </c>
      <c r="D123" s="187" t="s">
        <v>107</v>
      </c>
      <c r="E123" s="98">
        <v>78.45</v>
      </c>
      <c r="F123" s="98">
        <v>80.18</v>
      </c>
      <c r="G123" s="98">
        <v>81.9</v>
      </c>
      <c r="H123" s="189">
        <v>0.6883</v>
      </c>
      <c r="I123" s="98">
        <v>-0.9863</v>
      </c>
      <c r="J123" s="98">
        <v>0.0</v>
      </c>
      <c r="K123" s="98">
        <v>0.0</v>
      </c>
      <c r="L123" s="189">
        <v>0.34450000000000003</v>
      </c>
    </row>
    <row r="124" ht="22.5" customHeight="1">
      <c r="A124" s="187" t="s">
        <v>64</v>
      </c>
      <c r="B124" s="188">
        <v>46059.0</v>
      </c>
      <c r="C124" s="187">
        <v>320.0</v>
      </c>
      <c r="D124" s="187" t="s">
        <v>107</v>
      </c>
      <c r="E124" s="98">
        <v>83.85</v>
      </c>
      <c r="F124" s="98">
        <v>85.38</v>
      </c>
      <c r="G124" s="98">
        <v>86.9</v>
      </c>
      <c r="H124" s="189">
        <v>0.8038</v>
      </c>
      <c r="I124" s="98">
        <v>-0.9701</v>
      </c>
      <c r="J124" s="98">
        <v>0.0</v>
      </c>
      <c r="K124" s="98">
        <v>0.0</v>
      </c>
      <c r="L124" s="189">
        <v>0.36590000000000006</v>
      </c>
    </row>
    <row r="125" ht="22.5" customHeight="1">
      <c r="A125" s="187" t="s">
        <v>64</v>
      </c>
      <c r="B125" s="188">
        <v>46059.0</v>
      </c>
      <c r="C125" s="187">
        <v>325.0</v>
      </c>
      <c r="D125" s="187" t="s">
        <v>107</v>
      </c>
      <c r="E125" s="98">
        <v>88.35</v>
      </c>
      <c r="F125" s="98">
        <v>90.13</v>
      </c>
      <c r="G125" s="98">
        <v>91.9</v>
      </c>
      <c r="H125" s="189">
        <v>0.7048000000000001</v>
      </c>
      <c r="I125" s="98">
        <v>-0.9944</v>
      </c>
      <c r="J125" s="98">
        <v>0.0</v>
      </c>
      <c r="K125" s="98">
        <v>0.0</v>
      </c>
      <c r="L125" s="189">
        <v>0.3872</v>
      </c>
    </row>
    <row r="126" ht="22.5" customHeight="1">
      <c r="A126" s="187" t="s">
        <v>64</v>
      </c>
      <c r="B126" s="188">
        <v>46059.0</v>
      </c>
      <c r="C126" s="187">
        <v>330.0</v>
      </c>
      <c r="D126" s="187" t="s">
        <v>107</v>
      </c>
      <c r="E126" s="98">
        <v>93.15</v>
      </c>
      <c r="F126" s="98">
        <v>95.03</v>
      </c>
      <c r="G126" s="98">
        <v>96.9</v>
      </c>
      <c r="H126" s="189">
        <v>0.0</v>
      </c>
      <c r="I126" s="98">
        <v>0.0</v>
      </c>
      <c r="J126" s="98">
        <v>0.0</v>
      </c>
      <c r="K126" s="98">
        <v>0.0</v>
      </c>
      <c r="L126" s="189">
        <v>0.4086</v>
      </c>
    </row>
    <row r="127" ht="22.5" customHeight="1">
      <c r="A127" s="187" t="s">
        <v>64</v>
      </c>
      <c r="B127" s="188">
        <v>46059.0</v>
      </c>
      <c r="C127" s="187">
        <v>335.0</v>
      </c>
      <c r="D127" s="187" t="s">
        <v>107</v>
      </c>
      <c r="E127" s="98">
        <v>98.15</v>
      </c>
      <c r="F127" s="98">
        <v>100.03</v>
      </c>
      <c r="G127" s="98">
        <v>101.9</v>
      </c>
      <c r="H127" s="189">
        <v>0.0</v>
      </c>
      <c r="I127" s="98">
        <v>0.0</v>
      </c>
      <c r="J127" s="98">
        <v>0.0</v>
      </c>
      <c r="K127" s="98">
        <v>0.0</v>
      </c>
      <c r="L127" s="189">
        <v>0.4299</v>
      </c>
    </row>
    <row r="128" ht="22.5" customHeight="1">
      <c r="A128" s="187" t="s">
        <v>64</v>
      </c>
      <c r="B128" s="188">
        <v>46059.0</v>
      </c>
      <c r="C128" s="187">
        <v>340.0</v>
      </c>
      <c r="D128" s="187" t="s">
        <v>107</v>
      </c>
      <c r="E128" s="98">
        <v>103.15</v>
      </c>
      <c r="F128" s="98">
        <v>105.03</v>
      </c>
      <c r="G128" s="98">
        <v>106.9</v>
      </c>
      <c r="H128" s="189">
        <v>0.0</v>
      </c>
      <c r="I128" s="98">
        <v>0.0</v>
      </c>
      <c r="J128" s="98">
        <v>0.0</v>
      </c>
      <c r="K128" s="98">
        <v>0.0</v>
      </c>
      <c r="L128" s="189">
        <v>0.45130000000000003</v>
      </c>
    </row>
    <row r="129" ht="22.5" customHeight="1">
      <c r="A129" s="187" t="s">
        <v>64</v>
      </c>
      <c r="B129" s="188">
        <v>46059.0</v>
      </c>
      <c r="C129" s="187">
        <v>345.0</v>
      </c>
      <c r="D129" s="187" t="s">
        <v>107</v>
      </c>
      <c r="E129" s="98">
        <v>108.15</v>
      </c>
      <c r="F129" s="98">
        <v>110.03</v>
      </c>
      <c r="G129" s="98">
        <v>111.9</v>
      </c>
      <c r="H129" s="189">
        <v>0.0</v>
      </c>
      <c r="I129" s="98">
        <v>0.0</v>
      </c>
      <c r="J129" s="98">
        <v>0.0</v>
      </c>
      <c r="K129" s="98">
        <v>0.0</v>
      </c>
      <c r="L129" s="189">
        <v>0.47259999999999996</v>
      </c>
    </row>
    <row r="130" ht="22.5" customHeight="1">
      <c r="A130" s="187" t="s">
        <v>60</v>
      </c>
      <c r="B130" s="188">
        <v>46059.0</v>
      </c>
      <c r="C130" s="187">
        <v>80.0</v>
      </c>
      <c r="D130" s="187" t="s">
        <v>106</v>
      </c>
      <c r="E130" s="98">
        <v>359.3</v>
      </c>
      <c r="F130" s="98">
        <v>360.68</v>
      </c>
      <c r="G130" s="98">
        <v>362.05</v>
      </c>
      <c r="H130" s="189">
        <v>0.0</v>
      </c>
      <c r="I130" s="98">
        <v>0.0</v>
      </c>
      <c r="J130" s="98">
        <v>0.0</v>
      </c>
      <c r="K130" s="98">
        <v>0.0</v>
      </c>
      <c r="L130" s="189">
        <v>0.8175</v>
      </c>
    </row>
    <row r="131" ht="22.5" customHeight="1">
      <c r="A131" s="187" t="s">
        <v>60</v>
      </c>
      <c r="B131" s="188">
        <v>46059.0</v>
      </c>
      <c r="C131" s="187">
        <v>90.0</v>
      </c>
      <c r="D131" s="187" t="s">
        <v>106</v>
      </c>
      <c r="E131" s="98">
        <v>349.3</v>
      </c>
      <c r="F131" s="98">
        <v>350.68</v>
      </c>
      <c r="G131" s="98">
        <v>352.05</v>
      </c>
      <c r="H131" s="189">
        <v>0.0</v>
      </c>
      <c r="I131" s="98">
        <v>0.0</v>
      </c>
      <c r="J131" s="98">
        <v>0.0</v>
      </c>
      <c r="K131" s="98">
        <v>0.0</v>
      </c>
      <c r="L131" s="189">
        <v>0.7947</v>
      </c>
    </row>
    <row r="132" ht="22.5" customHeight="1">
      <c r="A132" s="187" t="s">
        <v>60</v>
      </c>
      <c r="B132" s="188">
        <v>46059.0</v>
      </c>
      <c r="C132" s="187">
        <v>100.0</v>
      </c>
      <c r="D132" s="187" t="s">
        <v>106</v>
      </c>
      <c r="E132" s="98">
        <v>339.35</v>
      </c>
      <c r="F132" s="98">
        <v>340.68</v>
      </c>
      <c r="G132" s="98">
        <v>342.0</v>
      </c>
      <c r="H132" s="189">
        <v>0.0</v>
      </c>
      <c r="I132" s="98">
        <v>0.0</v>
      </c>
      <c r="J132" s="98">
        <v>0.0</v>
      </c>
      <c r="K132" s="98">
        <v>0.0</v>
      </c>
      <c r="L132" s="189">
        <v>0.7718</v>
      </c>
    </row>
    <row r="133" ht="22.5" customHeight="1">
      <c r="A133" s="187" t="s">
        <v>60</v>
      </c>
      <c r="B133" s="188">
        <v>46059.0</v>
      </c>
      <c r="C133" s="187">
        <v>110.0</v>
      </c>
      <c r="D133" s="187" t="s">
        <v>106</v>
      </c>
      <c r="E133" s="98">
        <v>329.35</v>
      </c>
      <c r="F133" s="98">
        <v>330.78</v>
      </c>
      <c r="G133" s="98">
        <v>332.2</v>
      </c>
      <c r="H133" s="189">
        <v>2.5198</v>
      </c>
      <c r="I133" s="98">
        <v>0.9997</v>
      </c>
      <c r="J133" s="98">
        <v>0.0</v>
      </c>
      <c r="K133" s="98">
        <v>0.0</v>
      </c>
      <c r="L133" s="189">
        <v>0.7490000000000001</v>
      </c>
    </row>
    <row r="134" ht="22.5" customHeight="1">
      <c r="A134" s="187" t="s">
        <v>60</v>
      </c>
      <c r="B134" s="188">
        <v>46059.0</v>
      </c>
      <c r="C134" s="187">
        <v>120.0</v>
      </c>
      <c r="D134" s="187" t="s">
        <v>106</v>
      </c>
      <c r="E134" s="98">
        <v>319.35</v>
      </c>
      <c r="F134" s="98">
        <v>320.73</v>
      </c>
      <c r="G134" s="98">
        <v>322.1</v>
      </c>
      <c r="H134" s="189">
        <v>0.0</v>
      </c>
      <c r="I134" s="98">
        <v>0.0</v>
      </c>
      <c r="J134" s="98">
        <v>0.0</v>
      </c>
      <c r="K134" s="98">
        <v>0.0</v>
      </c>
      <c r="L134" s="189">
        <v>0.7262000000000001</v>
      </c>
    </row>
    <row r="135" ht="22.5" customHeight="1">
      <c r="A135" s="187" t="s">
        <v>60</v>
      </c>
      <c r="B135" s="188">
        <v>46059.0</v>
      </c>
      <c r="C135" s="187">
        <v>130.0</v>
      </c>
      <c r="D135" s="187" t="s">
        <v>106</v>
      </c>
      <c r="E135" s="98">
        <v>309.35</v>
      </c>
      <c r="F135" s="98">
        <v>310.73</v>
      </c>
      <c r="G135" s="98">
        <v>312.1</v>
      </c>
      <c r="H135" s="189">
        <v>0.0</v>
      </c>
      <c r="I135" s="98">
        <v>0.0</v>
      </c>
      <c r="J135" s="98">
        <v>0.0</v>
      </c>
      <c r="K135" s="98">
        <v>0.0</v>
      </c>
      <c r="L135" s="189">
        <v>0.7034</v>
      </c>
    </row>
    <row r="136" ht="22.5" customHeight="1">
      <c r="A136" s="187" t="s">
        <v>60</v>
      </c>
      <c r="B136" s="188">
        <v>46059.0</v>
      </c>
      <c r="C136" s="187">
        <v>140.0</v>
      </c>
      <c r="D136" s="187" t="s">
        <v>106</v>
      </c>
      <c r="E136" s="98">
        <v>299.4</v>
      </c>
      <c r="F136" s="98">
        <v>300.75</v>
      </c>
      <c r="G136" s="98">
        <v>302.1</v>
      </c>
      <c r="H136" s="189">
        <v>0.0</v>
      </c>
      <c r="I136" s="98">
        <v>0.0</v>
      </c>
      <c r="J136" s="98">
        <v>0.0</v>
      </c>
      <c r="K136" s="98">
        <v>0.0</v>
      </c>
      <c r="L136" s="189">
        <v>0.6806</v>
      </c>
    </row>
    <row r="137" ht="22.5" customHeight="1">
      <c r="A137" s="187" t="s">
        <v>60</v>
      </c>
      <c r="B137" s="188">
        <v>46059.0</v>
      </c>
      <c r="C137" s="187">
        <v>150.0</v>
      </c>
      <c r="D137" s="187" t="s">
        <v>106</v>
      </c>
      <c r="E137" s="98">
        <v>289.45</v>
      </c>
      <c r="F137" s="98">
        <v>290.78</v>
      </c>
      <c r="G137" s="98">
        <v>292.1</v>
      </c>
      <c r="H137" s="189">
        <v>0.0</v>
      </c>
      <c r="I137" s="98">
        <v>0.0</v>
      </c>
      <c r="J137" s="98">
        <v>0.0</v>
      </c>
      <c r="K137" s="98">
        <v>4.0</v>
      </c>
      <c r="L137" s="189">
        <v>0.6578</v>
      </c>
    </row>
    <row r="138" ht="22.5" customHeight="1">
      <c r="A138" s="187" t="s">
        <v>60</v>
      </c>
      <c r="B138" s="188">
        <v>46059.0</v>
      </c>
      <c r="C138" s="187">
        <v>160.0</v>
      </c>
      <c r="D138" s="187" t="s">
        <v>106</v>
      </c>
      <c r="E138" s="98">
        <v>279.4</v>
      </c>
      <c r="F138" s="98">
        <v>280.78</v>
      </c>
      <c r="G138" s="98">
        <v>282.15</v>
      </c>
      <c r="H138" s="189">
        <v>0.0</v>
      </c>
      <c r="I138" s="98">
        <v>0.0</v>
      </c>
      <c r="J138" s="98">
        <v>0.0</v>
      </c>
      <c r="K138" s="98">
        <v>0.0</v>
      </c>
      <c r="L138" s="189">
        <v>0.635</v>
      </c>
    </row>
    <row r="139" ht="22.5" customHeight="1">
      <c r="A139" s="187" t="s">
        <v>60</v>
      </c>
      <c r="B139" s="188">
        <v>46059.0</v>
      </c>
      <c r="C139" s="187">
        <v>170.0</v>
      </c>
      <c r="D139" s="187" t="s">
        <v>106</v>
      </c>
      <c r="E139" s="98">
        <v>269.4</v>
      </c>
      <c r="F139" s="98">
        <v>270.78</v>
      </c>
      <c r="G139" s="98">
        <v>272.15</v>
      </c>
      <c r="H139" s="189">
        <v>0.0</v>
      </c>
      <c r="I139" s="98">
        <v>0.0</v>
      </c>
      <c r="J139" s="98">
        <v>0.0</v>
      </c>
      <c r="K139" s="98">
        <v>5.0</v>
      </c>
      <c r="L139" s="189">
        <v>0.6121</v>
      </c>
    </row>
    <row r="140" ht="22.5" customHeight="1">
      <c r="A140" s="187" t="s">
        <v>60</v>
      </c>
      <c r="B140" s="188">
        <v>46059.0</v>
      </c>
      <c r="C140" s="187">
        <v>180.0</v>
      </c>
      <c r="D140" s="187" t="s">
        <v>106</v>
      </c>
      <c r="E140" s="98">
        <v>260.1</v>
      </c>
      <c r="F140" s="98">
        <v>260.83</v>
      </c>
      <c r="G140" s="98">
        <v>261.55</v>
      </c>
      <c r="H140" s="189">
        <v>0.0</v>
      </c>
      <c r="I140" s="98">
        <v>0.0</v>
      </c>
      <c r="J140" s="98">
        <v>0.0</v>
      </c>
      <c r="K140" s="98">
        <v>353.0</v>
      </c>
      <c r="L140" s="189">
        <v>0.5893</v>
      </c>
    </row>
    <row r="141" ht="22.5" customHeight="1">
      <c r="A141" s="187" t="s">
        <v>60</v>
      </c>
      <c r="B141" s="188">
        <v>46059.0</v>
      </c>
      <c r="C141" s="187">
        <v>190.0</v>
      </c>
      <c r="D141" s="187" t="s">
        <v>106</v>
      </c>
      <c r="E141" s="98">
        <v>249.45</v>
      </c>
      <c r="F141" s="98">
        <v>250.83</v>
      </c>
      <c r="G141" s="98">
        <v>252.2</v>
      </c>
      <c r="H141" s="189">
        <v>0.0</v>
      </c>
      <c r="I141" s="98">
        <v>0.0</v>
      </c>
      <c r="J141" s="98">
        <v>0.0</v>
      </c>
      <c r="K141" s="98">
        <v>1.0</v>
      </c>
      <c r="L141" s="189">
        <v>0.5665</v>
      </c>
    </row>
    <row r="142" ht="22.5" customHeight="1">
      <c r="A142" s="187" t="s">
        <v>60</v>
      </c>
      <c r="B142" s="188">
        <v>46059.0</v>
      </c>
      <c r="C142" s="187">
        <v>200.0</v>
      </c>
      <c r="D142" s="187" t="s">
        <v>106</v>
      </c>
      <c r="E142" s="98">
        <v>239.5</v>
      </c>
      <c r="F142" s="98">
        <v>240.75</v>
      </c>
      <c r="G142" s="98">
        <v>242.0</v>
      </c>
      <c r="H142" s="189">
        <v>0.0</v>
      </c>
      <c r="I142" s="98">
        <v>0.0</v>
      </c>
      <c r="J142" s="98">
        <v>0.0</v>
      </c>
      <c r="K142" s="98">
        <v>14.0</v>
      </c>
      <c r="L142" s="189">
        <v>0.5437</v>
      </c>
    </row>
    <row r="143" ht="22.5" customHeight="1">
      <c r="A143" s="187" t="s">
        <v>60</v>
      </c>
      <c r="B143" s="188">
        <v>46059.0</v>
      </c>
      <c r="C143" s="187">
        <v>210.0</v>
      </c>
      <c r="D143" s="187" t="s">
        <v>106</v>
      </c>
      <c r="E143" s="98">
        <v>229.5</v>
      </c>
      <c r="F143" s="98">
        <v>230.88</v>
      </c>
      <c r="G143" s="98">
        <v>232.25</v>
      </c>
      <c r="H143" s="189">
        <v>1.3054</v>
      </c>
      <c r="I143" s="98">
        <v>0.9996</v>
      </c>
      <c r="J143" s="98">
        <v>0.0</v>
      </c>
      <c r="K143" s="98">
        <v>27.0</v>
      </c>
      <c r="L143" s="189">
        <v>0.5209</v>
      </c>
    </row>
    <row r="144" ht="22.5" customHeight="1">
      <c r="A144" s="187" t="s">
        <v>60</v>
      </c>
      <c r="B144" s="188">
        <v>46059.0</v>
      </c>
      <c r="C144" s="187">
        <v>220.0</v>
      </c>
      <c r="D144" s="187" t="s">
        <v>106</v>
      </c>
      <c r="E144" s="98">
        <v>219.5</v>
      </c>
      <c r="F144" s="98">
        <v>220.78</v>
      </c>
      <c r="G144" s="98">
        <v>222.05</v>
      </c>
      <c r="H144" s="189">
        <v>0.0</v>
      </c>
      <c r="I144" s="98">
        <v>0.0</v>
      </c>
      <c r="J144" s="98">
        <v>0.0</v>
      </c>
      <c r="K144" s="98">
        <v>1.0</v>
      </c>
      <c r="L144" s="189">
        <v>0.49810000000000004</v>
      </c>
    </row>
    <row r="145" ht="22.5" customHeight="1">
      <c r="A145" s="187" t="s">
        <v>60</v>
      </c>
      <c r="B145" s="188">
        <v>46059.0</v>
      </c>
      <c r="C145" s="187">
        <v>230.0</v>
      </c>
      <c r="D145" s="187" t="s">
        <v>106</v>
      </c>
      <c r="E145" s="98">
        <v>209.55</v>
      </c>
      <c r="F145" s="98">
        <v>210.9</v>
      </c>
      <c r="G145" s="98">
        <v>212.25</v>
      </c>
      <c r="H145" s="189">
        <v>1.1775</v>
      </c>
      <c r="I145" s="98">
        <v>0.9995</v>
      </c>
      <c r="J145" s="98">
        <v>0.0</v>
      </c>
      <c r="K145" s="98">
        <v>149.0</v>
      </c>
      <c r="L145" s="189">
        <v>0.4752</v>
      </c>
    </row>
    <row r="146" ht="22.5" customHeight="1">
      <c r="A146" s="187" t="s">
        <v>60</v>
      </c>
      <c r="B146" s="188">
        <v>46059.0</v>
      </c>
      <c r="C146" s="187">
        <v>240.0</v>
      </c>
      <c r="D146" s="187" t="s">
        <v>106</v>
      </c>
      <c r="E146" s="98">
        <v>199.55</v>
      </c>
      <c r="F146" s="98">
        <v>200.93</v>
      </c>
      <c r="G146" s="98">
        <v>202.3</v>
      </c>
      <c r="H146" s="189">
        <v>1.1747</v>
      </c>
      <c r="I146" s="98">
        <v>0.999</v>
      </c>
      <c r="J146" s="98">
        <v>0.0</v>
      </c>
      <c r="K146" s="98">
        <v>6.0</v>
      </c>
      <c r="L146" s="189">
        <v>0.4524</v>
      </c>
    </row>
    <row r="147" ht="22.5" customHeight="1">
      <c r="A147" s="187" t="s">
        <v>60</v>
      </c>
      <c r="B147" s="188">
        <v>46059.0</v>
      </c>
      <c r="C147" s="187">
        <v>250.0</v>
      </c>
      <c r="D147" s="187" t="s">
        <v>106</v>
      </c>
      <c r="E147" s="98">
        <v>189.65</v>
      </c>
      <c r="F147" s="98">
        <v>190.95</v>
      </c>
      <c r="G147" s="98">
        <v>192.25</v>
      </c>
      <c r="H147" s="189">
        <v>1.1433</v>
      </c>
      <c r="I147" s="98">
        <v>0.9985</v>
      </c>
      <c r="J147" s="98">
        <v>0.0</v>
      </c>
      <c r="K147" s="98">
        <v>25.0</v>
      </c>
      <c r="L147" s="189">
        <v>0.4296</v>
      </c>
    </row>
    <row r="148" ht="22.5" customHeight="1">
      <c r="A148" s="187" t="s">
        <v>60</v>
      </c>
      <c r="B148" s="188">
        <v>46059.0</v>
      </c>
      <c r="C148" s="187">
        <v>255.0</v>
      </c>
      <c r="D148" s="187" t="s">
        <v>106</v>
      </c>
      <c r="E148" s="98">
        <v>184.6</v>
      </c>
      <c r="F148" s="98">
        <v>185.95</v>
      </c>
      <c r="G148" s="98">
        <v>187.3</v>
      </c>
      <c r="H148" s="189">
        <v>1.0914</v>
      </c>
      <c r="I148" s="98">
        <v>0.9986</v>
      </c>
      <c r="J148" s="98">
        <v>0.0</v>
      </c>
      <c r="K148" s="98">
        <v>79.0</v>
      </c>
      <c r="L148" s="189">
        <v>0.4182</v>
      </c>
    </row>
    <row r="149" ht="22.5" customHeight="1">
      <c r="A149" s="187" t="s">
        <v>60</v>
      </c>
      <c r="B149" s="188">
        <v>46059.0</v>
      </c>
      <c r="C149" s="187">
        <v>260.0</v>
      </c>
      <c r="D149" s="187" t="s">
        <v>106</v>
      </c>
      <c r="E149" s="98">
        <v>179.65</v>
      </c>
      <c r="F149" s="98">
        <v>181.0</v>
      </c>
      <c r="G149" s="98">
        <v>182.35</v>
      </c>
      <c r="H149" s="189">
        <v>1.1429</v>
      </c>
      <c r="I149" s="98">
        <v>0.9971</v>
      </c>
      <c r="J149" s="98">
        <v>0.0</v>
      </c>
      <c r="K149" s="98">
        <v>1.0</v>
      </c>
      <c r="L149" s="189">
        <v>0.4068</v>
      </c>
    </row>
    <row r="150" ht="22.5" customHeight="1">
      <c r="A150" s="187" t="s">
        <v>60</v>
      </c>
      <c r="B150" s="188">
        <v>46059.0</v>
      </c>
      <c r="C150" s="187">
        <v>265.0</v>
      </c>
      <c r="D150" s="187" t="s">
        <v>106</v>
      </c>
      <c r="E150" s="98">
        <v>174.65</v>
      </c>
      <c r="F150" s="98">
        <v>176.0</v>
      </c>
      <c r="G150" s="98">
        <v>177.35</v>
      </c>
      <c r="H150" s="189">
        <v>1.0966</v>
      </c>
      <c r="I150" s="98">
        <v>0.9972</v>
      </c>
      <c r="J150" s="98">
        <v>0.0</v>
      </c>
      <c r="K150" s="98">
        <v>35.0</v>
      </c>
      <c r="L150" s="189">
        <v>0.3954</v>
      </c>
    </row>
    <row r="151" ht="22.5" customHeight="1">
      <c r="A151" s="187" t="s">
        <v>60</v>
      </c>
      <c r="B151" s="188">
        <v>46059.0</v>
      </c>
      <c r="C151" s="187">
        <v>270.0</v>
      </c>
      <c r="D151" s="187" t="s">
        <v>106</v>
      </c>
      <c r="E151" s="98">
        <v>169.65</v>
      </c>
      <c r="F151" s="98">
        <v>171.03</v>
      </c>
      <c r="G151" s="98">
        <v>172.4</v>
      </c>
      <c r="H151" s="189">
        <v>1.0859</v>
      </c>
      <c r="I151" s="98">
        <v>0.9965</v>
      </c>
      <c r="J151" s="98">
        <v>0.0</v>
      </c>
      <c r="K151" s="98">
        <v>91.0</v>
      </c>
      <c r="L151" s="189">
        <v>0.384</v>
      </c>
    </row>
    <row r="152" ht="22.5" customHeight="1">
      <c r="A152" s="187" t="s">
        <v>60</v>
      </c>
      <c r="B152" s="188">
        <v>46059.0</v>
      </c>
      <c r="C152" s="187">
        <v>275.0</v>
      </c>
      <c r="D152" s="187" t="s">
        <v>106</v>
      </c>
      <c r="E152" s="98">
        <v>164.75</v>
      </c>
      <c r="F152" s="98">
        <v>166.05</v>
      </c>
      <c r="G152" s="98">
        <v>167.35</v>
      </c>
      <c r="H152" s="189">
        <v>1.0705</v>
      </c>
      <c r="I152" s="98">
        <v>0.9958</v>
      </c>
      <c r="J152" s="98">
        <v>0.0</v>
      </c>
      <c r="K152" s="98">
        <v>9.0</v>
      </c>
      <c r="L152" s="189">
        <v>0.3726</v>
      </c>
    </row>
    <row r="153" ht="22.5" customHeight="1">
      <c r="A153" s="187" t="s">
        <v>60</v>
      </c>
      <c r="B153" s="188">
        <v>46059.0</v>
      </c>
      <c r="C153" s="187">
        <v>280.0</v>
      </c>
      <c r="D153" s="187" t="s">
        <v>106</v>
      </c>
      <c r="E153" s="98">
        <v>160.15</v>
      </c>
      <c r="F153" s="98">
        <v>160.78</v>
      </c>
      <c r="G153" s="98">
        <v>161.4</v>
      </c>
      <c r="H153" s="189">
        <v>0.0</v>
      </c>
      <c r="I153" s="98">
        <v>0.0</v>
      </c>
      <c r="J153" s="98">
        <v>32.0</v>
      </c>
      <c r="K153" s="98">
        <v>110.0</v>
      </c>
      <c r="L153" s="189">
        <v>0.36119999999999997</v>
      </c>
    </row>
    <row r="154" ht="22.5" customHeight="1">
      <c r="A154" s="187" t="s">
        <v>60</v>
      </c>
      <c r="B154" s="188">
        <v>46059.0</v>
      </c>
      <c r="C154" s="187">
        <v>285.0</v>
      </c>
      <c r="D154" s="187" t="s">
        <v>106</v>
      </c>
      <c r="E154" s="98">
        <v>154.75</v>
      </c>
      <c r="F154" s="98">
        <v>155.9</v>
      </c>
      <c r="G154" s="98">
        <v>157.05</v>
      </c>
      <c r="H154" s="189">
        <v>0.0</v>
      </c>
      <c r="I154" s="98">
        <v>0.0</v>
      </c>
      <c r="J154" s="98">
        <v>0.0</v>
      </c>
      <c r="K154" s="98">
        <v>3.0</v>
      </c>
      <c r="L154" s="189">
        <v>0.34979999999999994</v>
      </c>
    </row>
    <row r="155" ht="22.5" customHeight="1">
      <c r="A155" s="187" t="s">
        <v>60</v>
      </c>
      <c r="B155" s="188">
        <v>46059.0</v>
      </c>
      <c r="C155" s="187">
        <v>290.0</v>
      </c>
      <c r="D155" s="187" t="s">
        <v>106</v>
      </c>
      <c r="E155" s="98">
        <v>149.75</v>
      </c>
      <c r="F155" s="98">
        <v>151.1</v>
      </c>
      <c r="G155" s="98">
        <v>152.45</v>
      </c>
      <c r="H155" s="189">
        <v>0.9894</v>
      </c>
      <c r="I155" s="98">
        <v>0.9943</v>
      </c>
      <c r="J155" s="98">
        <v>1.0</v>
      </c>
      <c r="K155" s="98">
        <v>16.0</v>
      </c>
      <c r="L155" s="189">
        <v>0.33840000000000003</v>
      </c>
    </row>
    <row r="156" ht="22.5" customHeight="1">
      <c r="A156" s="187" t="s">
        <v>60</v>
      </c>
      <c r="B156" s="188">
        <v>46059.0</v>
      </c>
      <c r="C156" s="187">
        <v>295.0</v>
      </c>
      <c r="D156" s="187" t="s">
        <v>106</v>
      </c>
      <c r="E156" s="98">
        <v>144.8</v>
      </c>
      <c r="F156" s="98">
        <v>146.13</v>
      </c>
      <c r="G156" s="98">
        <v>147.45</v>
      </c>
      <c r="H156" s="189">
        <v>0.8911</v>
      </c>
      <c r="I156" s="98">
        <v>0.9963</v>
      </c>
      <c r="J156" s="98">
        <v>1.0</v>
      </c>
      <c r="K156" s="98">
        <v>15.0</v>
      </c>
      <c r="L156" s="189">
        <v>0.32689999999999997</v>
      </c>
    </row>
    <row r="157" ht="22.5" customHeight="1">
      <c r="A157" s="187" t="s">
        <v>60</v>
      </c>
      <c r="B157" s="188">
        <v>46059.0</v>
      </c>
      <c r="C157" s="187">
        <v>300.0</v>
      </c>
      <c r="D157" s="187" t="s">
        <v>106</v>
      </c>
      <c r="E157" s="98">
        <v>139.85</v>
      </c>
      <c r="F157" s="98">
        <v>141.05</v>
      </c>
      <c r="G157" s="98">
        <v>142.25</v>
      </c>
      <c r="H157" s="189">
        <v>0.8621</v>
      </c>
      <c r="I157" s="98">
        <v>0.996</v>
      </c>
      <c r="J157" s="98">
        <v>1.0</v>
      </c>
      <c r="K157" s="98">
        <v>187.0</v>
      </c>
      <c r="L157" s="189">
        <v>0.3155</v>
      </c>
    </row>
    <row r="158" ht="22.5" customHeight="1">
      <c r="A158" s="187" t="s">
        <v>60</v>
      </c>
      <c r="B158" s="188">
        <v>46059.0</v>
      </c>
      <c r="C158" s="187">
        <v>305.0</v>
      </c>
      <c r="D158" s="187" t="s">
        <v>106</v>
      </c>
      <c r="E158" s="98">
        <v>134.85</v>
      </c>
      <c r="F158" s="98">
        <v>136.1</v>
      </c>
      <c r="G158" s="98">
        <v>137.35</v>
      </c>
      <c r="H158" s="189">
        <v>0.8687</v>
      </c>
      <c r="I158" s="98">
        <v>0.9942</v>
      </c>
      <c r="J158" s="98">
        <v>0.0</v>
      </c>
      <c r="K158" s="98">
        <v>2.0</v>
      </c>
      <c r="L158" s="189">
        <v>0.3041</v>
      </c>
    </row>
    <row r="159" ht="22.5" customHeight="1">
      <c r="A159" s="187" t="s">
        <v>60</v>
      </c>
      <c r="B159" s="188">
        <v>46059.0</v>
      </c>
      <c r="C159" s="187">
        <v>310.0</v>
      </c>
      <c r="D159" s="187" t="s">
        <v>106</v>
      </c>
      <c r="E159" s="98">
        <v>129.9</v>
      </c>
      <c r="F159" s="98">
        <v>131.23</v>
      </c>
      <c r="G159" s="98">
        <v>132.55</v>
      </c>
      <c r="H159" s="189">
        <v>0.9055</v>
      </c>
      <c r="I159" s="98">
        <v>0.9899</v>
      </c>
      <c r="J159" s="98">
        <v>0.0</v>
      </c>
      <c r="K159" s="98">
        <v>2.0</v>
      </c>
      <c r="L159" s="189">
        <v>0.2927</v>
      </c>
    </row>
    <row r="160" ht="22.5" customHeight="1">
      <c r="A160" s="187" t="s">
        <v>60</v>
      </c>
      <c r="B160" s="188">
        <v>46059.0</v>
      </c>
      <c r="C160" s="187">
        <v>315.0</v>
      </c>
      <c r="D160" s="187" t="s">
        <v>106</v>
      </c>
      <c r="E160" s="98">
        <v>124.95</v>
      </c>
      <c r="F160" s="98">
        <v>126.13</v>
      </c>
      <c r="G160" s="98">
        <v>127.3</v>
      </c>
      <c r="H160" s="189">
        <v>0.8098000000000001</v>
      </c>
      <c r="I160" s="98">
        <v>0.9932</v>
      </c>
      <c r="J160" s="98">
        <v>0.0</v>
      </c>
      <c r="K160" s="98">
        <v>5.0</v>
      </c>
      <c r="L160" s="189">
        <v>0.2813</v>
      </c>
    </row>
    <row r="161" ht="22.5" customHeight="1">
      <c r="A161" s="187" t="s">
        <v>60</v>
      </c>
      <c r="B161" s="188">
        <v>46059.0</v>
      </c>
      <c r="C161" s="187">
        <v>320.0</v>
      </c>
      <c r="D161" s="187" t="s">
        <v>106</v>
      </c>
      <c r="E161" s="98">
        <v>120.0</v>
      </c>
      <c r="F161" s="98">
        <v>121.25</v>
      </c>
      <c r="G161" s="98">
        <v>122.5</v>
      </c>
      <c r="H161" s="189">
        <v>0.8390000000000001</v>
      </c>
      <c r="I161" s="98">
        <v>0.9886</v>
      </c>
      <c r="J161" s="98">
        <v>0.0</v>
      </c>
      <c r="K161" s="98">
        <v>12.0</v>
      </c>
      <c r="L161" s="189">
        <v>0.2699</v>
      </c>
    </row>
    <row r="162" ht="22.5" customHeight="1">
      <c r="A162" s="187" t="s">
        <v>60</v>
      </c>
      <c r="B162" s="188">
        <v>46059.0</v>
      </c>
      <c r="C162" s="187">
        <v>325.0</v>
      </c>
      <c r="D162" s="187" t="s">
        <v>106</v>
      </c>
      <c r="E162" s="98">
        <v>115.05</v>
      </c>
      <c r="F162" s="98">
        <v>115.98</v>
      </c>
      <c r="G162" s="98">
        <v>116.9</v>
      </c>
      <c r="H162" s="189">
        <v>0.0</v>
      </c>
      <c r="I162" s="98">
        <v>0.0</v>
      </c>
      <c r="J162" s="98">
        <v>1.0</v>
      </c>
      <c r="K162" s="98">
        <v>34.0</v>
      </c>
      <c r="L162" s="189">
        <v>0.2585</v>
      </c>
    </row>
    <row r="163" ht="22.5" customHeight="1">
      <c r="A163" s="187" t="s">
        <v>60</v>
      </c>
      <c r="B163" s="188">
        <v>46059.0</v>
      </c>
      <c r="C163" s="187">
        <v>330.0</v>
      </c>
      <c r="D163" s="187" t="s">
        <v>106</v>
      </c>
      <c r="E163" s="98">
        <v>110.1</v>
      </c>
      <c r="F163" s="98">
        <v>111.05</v>
      </c>
      <c r="G163" s="98">
        <v>112.0</v>
      </c>
      <c r="H163" s="189">
        <v>0.9469</v>
      </c>
      <c r="I163" s="98">
        <v>0.9677</v>
      </c>
      <c r="J163" s="98">
        <v>15.0</v>
      </c>
      <c r="K163" s="98">
        <v>69.0</v>
      </c>
      <c r="L163" s="189">
        <v>0.24710000000000001</v>
      </c>
    </row>
    <row r="164" ht="22.5" customHeight="1">
      <c r="A164" s="187" t="s">
        <v>60</v>
      </c>
      <c r="B164" s="188">
        <v>46059.0</v>
      </c>
      <c r="C164" s="187">
        <v>335.0</v>
      </c>
      <c r="D164" s="187" t="s">
        <v>106</v>
      </c>
      <c r="E164" s="98">
        <v>105.15</v>
      </c>
      <c r="F164" s="98">
        <v>106.25</v>
      </c>
      <c r="G164" s="98">
        <v>107.35</v>
      </c>
      <c r="H164" s="189">
        <v>0.7259</v>
      </c>
      <c r="I164" s="98">
        <v>0.9877</v>
      </c>
      <c r="J164" s="98">
        <v>0.0</v>
      </c>
      <c r="K164" s="98">
        <v>128.0</v>
      </c>
      <c r="L164" s="189">
        <v>0.2357</v>
      </c>
    </row>
    <row r="165" ht="22.5" customHeight="1">
      <c r="A165" s="187" t="s">
        <v>60</v>
      </c>
      <c r="B165" s="188">
        <v>46059.0</v>
      </c>
      <c r="C165" s="187">
        <v>340.0</v>
      </c>
      <c r="D165" s="187" t="s">
        <v>106</v>
      </c>
      <c r="E165" s="98">
        <v>100.25</v>
      </c>
      <c r="F165" s="98">
        <v>101.15</v>
      </c>
      <c r="G165" s="98">
        <v>102.05</v>
      </c>
      <c r="H165" s="189">
        <v>0.642</v>
      </c>
      <c r="I165" s="98">
        <v>0.9916</v>
      </c>
      <c r="J165" s="98">
        <v>0.0</v>
      </c>
      <c r="K165" s="98">
        <v>23.0</v>
      </c>
      <c r="L165" s="189">
        <v>0.2243</v>
      </c>
    </row>
    <row r="166" ht="22.5" customHeight="1">
      <c r="A166" s="187" t="s">
        <v>60</v>
      </c>
      <c r="B166" s="188">
        <v>46059.0</v>
      </c>
      <c r="C166" s="187">
        <v>342.5</v>
      </c>
      <c r="D166" s="187" t="s">
        <v>106</v>
      </c>
      <c r="E166" s="98">
        <v>97.8</v>
      </c>
      <c r="F166" s="98">
        <v>98.78</v>
      </c>
      <c r="G166" s="98">
        <v>99.75</v>
      </c>
      <c r="H166" s="189">
        <v>0.6806</v>
      </c>
      <c r="I166" s="98">
        <v>0.9861</v>
      </c>
      <c r="J166" s="98">
        <v>0.0</v>
      </c>
      <c r="K166" s="98">
        <v>7.0</v>
      </c>
      <c r="L166" s="189">
        <v>0.2186</v>
      </c>
    </row>
    <row r="167" ht="22.5" customHeight="1">
      <c r="A167" s="187" t="s">
        <v>60</v>
      </c>
      <c r="B167" s="188">
        <v>46059.0</v>
      </c>
      <c r="C167" s="187">
        <v>345.0</v>
      </c>
      <c r="D167" s="187" t="s">
        <v>106</v>
      </c>
      <c r="E167" s="98">
        <v>95.5</v>
      </c>
      <c r="F167" s="98">
        <v>96.58</v>
      </c>
      <c r="G167" s="98">
        <v>97.65</v>
      </c>
      <c r="H167" s="189">
        <v>0.7236</v>
      </c>
      <c r="I167" s="98">
        <v>0.9783</v>
      </c>
      <c r="J167" s="98">
        <v>38.0</v>
      </c>
      <c r="K167" s="98">
        <v>36.0</v>
      </c>
      <c r="L167" s="189">
        <v>0.21289999999999998</v>
      </c>
    </row>
    <row r="168" ht="22.5" customHeight="1">
      <c r="A168" s="187" t="s">
        <v>60</v>
      </c>
      <c r="B168" s="188">
        <v>46059.0</v>
      </c>
      <c r="C168" s="187">
        <v>347.5</v>
      </c>
      <c r="D168" s="187" t="s">
        <v>106</v>
      </c>
      <c r="E168" s="98">
        <v>92.9</v>
      </c>
      <c r="F168" s="98">
        <v>94.08</v>
      </c>
      <c r="G168" s="98">
        <v>95.25</v>
      </c>
      <c r="H168" s="189">
        <v>0.7269</v>
      </c>
      <c r="I168" s="98">
        <v>0.9746</v>
      </c>
      <c r="J168" s="98">
        <v>0.0</v>
      </c>
      <c r="K168" s="98">
        <v>1.0</v>
      </c>
      <c r="L168" s="189">
        <v>0.2072</v>
      </c>
    </row>
    <row r="169" ht="22.5" customHeight="1">
      <c r="A169" s="187" t="s">
        <v>60</v>
      </c>
      <c r="B169" s="188">
        <v>46059.0</v>
      </c>
      <c r="C169" s="187">
        <v>350.0</v>
      </c>
      <c r="D169" s="187" t="s">
        <v>106</v>
      </c>
      <c r="E169" s="98">
        <v>90.55</v>
      </c>
      <c r="F169" s="98">
        <v>91.57</v>
      </c>
      <c r="G169" s="98">
        <v>92.6</v>
      </c>
      <c r="H169" s="189">
        <v>0.6248</v>
      </c>
      <c r="I169" s="98">
        <v>0.9856</v>
      </c>
      <c r="J169" s="98">
        <v>22.0</v>
      </c>
      <c r="K169" s="98">
        <v>61.0</v>
      </c>
      <c r="L169" s="189">
        <v>0.20149999999999998</v>
      </c>
    </row>
    <row r="170" ht="22.5" customHeight="1">
      <c r="A170" s="187" t="s">
        <v>60</v>
      </c>
      <c r="B170" s="188">
        <v>46059.0</v>
      </c>
      <c r="C170" s="187">
        <v>352.5</v>
      </c>
      <c r="D170" s="187" t="s">
        <v>106</v>
      </c>
      <c r="E170" s="98">
        <v>88.05</v>
      </c>
      <c r="F170" s="98">
        <v>88.95</v>
      </c>
      <c r="G170" s="98">
        <v>89.85</v>
      </c>
      <c r="H170" s="189">
        <v>0.6598</v>
      </c>
      <c r="I170" s="98">
        <v>0.9781</v>
      </c>
      <c r="J170" s="98">
        <v>0.0</v>
      </c>
      <c r="K170" s="98">
        <v>2.0</v>
      </c>
      <c r="L170" s="189">
        <v>0.19579999999999997</v>
      </c>
    </row>
    <row r="171" ht="22.5" customHeight="1">
      <c r="A171" s="187" t="s">
        <v>60</v>
      </c>
      <c r="B171" s="188">
        <v>46059.0</v>
      </c>
      <c r="C171" s="187">
        <v>355.0</v>
      </c>
      <c r="D171" s="187" t="s">
        <v>106</v>
      </c>
      <c r="E171" s="98">
        <v>85.65</v>
      </c>
      <c r="F171" s="98">
        <v>86.68</v>
      </c>
      <c r="G171" s="98">
        <v>87.7</v>
      </c>
      <c r="H171" s="189">
        <v>0.6895</v>
      </c>
      <c r="I171" s="98">
        <v>0.9696</v>
      </c>
      <c r="J171" s="98">
        <v>5.0</v>
      </c>
      <c r="K171" s="98">
        <v>17.0</v>
      </c>
      <c r="L171" s="189">
        <v>0.19010000000000002</v>
      </c>
    </row>
    <row r="172" ht="22.5" customHeight="1">
      <c r="A172" s="187" t="s">
        <v>60</v>
      </c>
      <c r="B172" s="188">
        <v>46059.0</v>
      </c>
      <c r="C172" s="187">
        <v>357.5</v>
      </c>
      <c r="D172" s="187" t="s">
        <v>106</v>
      </c>
      <c r="E172" s="98">
        <v>83.25</v>
      </c>
      <c r="F172" s="98">
        <v>83.95</v>
      </c>
      <c r="G172" s="98">
        <v>84.65</v>
      </c>
      <c r="H172" s="189">
        <v>0.6229</v>
      </c>
      <c r="I172" s="98">
        <v>0.9771</v>
      </c>
      <c r="J172" s="98">
        <v>0.0</v>
      </c>
      <c r="K172" s="98">
        <v>0.0</v>
      </c>
      <c r="L172" s="189">
        <v>0.1843</v>
      </c>
    </row>
    <row r="173" ht="22.5" customHeight="1">
      <c r="A173" s="187" t="s">
        <v>60</v>
      </c>
      <c r="B173" s="188">
        <v>46059.0</v>
      </c>
      <c r="C173" s="187">
        <v>360.0</v>
      </c>
      <c r="D173" s="187" t="s">
        <v>106</v>
      </c>
      <c r="E173" s="98">
        <v>80.85</v>
      </c>
      <c r="F173" s="98">
        <v>81.82</v>
      </c>
      <c r="G173" s="98">
        <v>82.8</v>
      </c>
      <c r="H173" s="189">
        <v>0.6776000000000001</v>
      </c>
      <c r="I173" s="98">
        <v>0.963</v>
      </c>
      <c r="J173" s="98">
        <v>2.0</v>
      </c>
      <c r="K173" s="98">
        <v>53.0</v>
      </c>
      <c r="L173" s="189">
        <v>0.17859999999999998</v>
      </c>
    </row>
    <row r="174" ht="22.5" customHeight="1">
      <c r="A174" s="187" t="s">
        <v>60</v>
      </c>
      <c r="B174" s="188">
        <v>46059.0</v>
      </c>
      <c r="C174" s="187">
        <v>362.5</v>
      </c>
      <c r="D174" s="187" t="s">
        <v>106</v>
      </c>
      <c r="E174" s="98">
        <v>78.45</v>
      </c>
      <c r="F174" s="98">
        <v>79.38</v>
      </c>
      <c r="G174" s="98">
        <v>80.3</v>
      </c>
      <c r="H174" s="189">
        <v>0.665</v>
      </c>
      <c r="I174" s="98">
        <v>0.9606</v>
      </c>
      <c r="J174" s="98">
        <v>0.0</v>
      </c>
      <c r="K174" s="98">
        <v>3.0</v>
      </c>
      <c r="L174" s="189">
        <v>0.1729</v>
      </c>
    </row>
    <row r="175" ht="22.5" customHeight="1">
      <c r="A175" s="187" t="s">
        <v>60</v>
      </c>
      <c r="B175" s="188">
        <v>46059.0</v>
      </c>
      <c r="C175" s="187">
        <v>365.0</v>
      </c>
      <c r="D175" s="187" t="s">
        <v>106</v>
      </c>
      <c r="E175" s="98">
        <v>76.1</v>
      </c>
      <c r="F175" s="98">
        <v>76.8</v>
      </c>
      <c r="G175" s="98">
        <v>77.5</v>
      </c>
      <c r="H175" s="189">
        <v>0.6338</v>
      </c>
      <c r="I175" s="98">
        <v>0.9622</v>
      </c>
      <c r="J175" s="98">
        <v>2.0</v>
      </c>
      <c r="K175" s="98">
        <v>10.0</v>
      </c>
      <c r="L175" s="189">
        <v>0.1672</v>
      </c>
    </row>
    <row r="176" ht="22.5" customHeight="1">
      <c r="A176" s="187" t="s">
        <v>60</v>
      </c>
      <c r="B176" s="188">
        <v>46059.0</v>
      </c>
      <c r="C176" s="187">
        <v>367.5</v>
      </c>
      <c r="D176" s="187" t="s">
        <v>106</v>
      </c>
      <c r="E176" s="98">
        <v>73.75</v>
      </c>
      <c r="F176" s="98">
        <v>74.53</v>
      </c>
      <c r="G176" s="98">
        <v>75.3</v>
      </c>
      <c r="H176" s="189">
        <v>0.6469</v>
      </c>
      <c r="I176" s="98">
        <v>0.9537</v>
      </c>
      <c r="J176" s="98">
        <v>0.0</v>
      </c>
      <c r="K176" s="98">
        <v>1.0</v>
      </c>
      <c r="L176" s="189">
        <v>0.16149999999999998</v>
      </c>
    </row>
    <row r="177" ht="22.5" customHeight="1">
      <c r="A177" s="187" t="s">
        <v>60</v>
      </c>
      <c r="B177" s="188">
        <v>46059.0</v>
      </c>
      <c r="C177" s="187">
        <v>370.0</v>
      </c>
      <c r="D177" s="187" t="s">
        <v>106</v>
      </c>
      <c r="E177" s="98">
        <v>71.4</v>
      </c>
      <c r="F177" s="98">
        <v>72.15</v>
      </c>
      <c r="G177" s="98">
        <v>72.9</v>
      </c>
      <c r="H177" s="189">
        <v>0.643</v>
      </c>
      <c r="I177" s="98">
        <v>0.9485</v>
      </c>
      <c r="J177" s="98">
        <v>0.0</v>
      </c>
      <c r="K177" s="98">
        <v>95.0</v>
      </c>
      <c r="L177" s="189">
        <v>0.1558</v>
      </c>
    </row>
    <row r="178" ht="22.5" customHeight="1">
      <c r="A178" s="187" t="s">
        <v>60</v>
      </c>
      <c r="B178" s="188">
        <v>46059.0</v>
      </c>
      <c r="C178" s="187">
        <v>372.5</v>
      </c>
      <c r="D178" s="187" t="s">
        <v>106</v>
      </c>
      <c r="E178" s="98">
        <v>69.05</v>
      </c>
      <c r="F178" s="98">
        <v>69.63</v>
      </c>
      <c r="G178" s="98">
        <v>70.2</v>
      </c>
      <c r="H178" s="189">
        <v>0.6197</v>
      </c>
      <c r="I178" s="98">
        <v>0.948</v>
      </c>
      <c r="J178" s="98">
        <v>0.0</v>
      </c>
      <c r="K178" s="98">
        <v>2.0</v>
      </c>
      <c r="L178" s="189">
        <v>0.1501</v>
      </c>
    </row>
    <row r="179" ht="22.5" customHeight="1">
      <c r="A179" s="187" t="s">
        <v>60</v>
      </c>
      <c r="B179" s="188">
        <v>46059.0</v>
      </c>
      <c r="C179" s="187">
        <v>375.0</v>
      </c>
      <c r="D179" s="187" t="s">
        <v>106</v>
      </c>
      <c r="E179" s="98">
        <v>66.7</v>
      </c>
      <c r="F179" s="98">
        <v>67.38</v>
      </c>
      <c r="G179" s="98">
        <v>68.05</v>
      </c>
      <c r="H179" s="189">
        <v>0.628</v>
      </c>
      <c r="I179" s="98">
        <v>0.9387</v>
      </c>
      <c r="J179" s="98">
        <v>0.0</v>
      </c>
      <c r="K179" s="98">
        <v>210.0</v>
      </c>
      <c r="L179" s="189">
        <v>0.1444</v>
      </c>
    </row>
    <row r="180" ht="22.5" customHeight="1">
      <c r="A180" s="187" t="s">
        <v>60</v>
      </c>
      <c r="B180" s="188">
        <v>46059.0</v>
      </c>
      <c r="C180" s="187">
        <v>377.5</v>
      </c>
      <c r="D180" s="187" t="s">
        <v>106</v>
      </c>
      <c r="E180" s="98">
        <v>64.3</v>
      </c>
      <c r="F180" s="98">
        <v>65.0</v>
      </c>
      <c r="G180" s="98">
        <v>65.7</v>
      </c>
      <c r="H180" s="189">
        <v>0.6203</v>
      </c>
      <c r="I180" s="98">
        <v>0.9332</v>
      </c>
      <c r="J180" s="98">
        <v>0.0</v>
      </c>
      <c r="K180" s="98">
        <v>0.0</v>
      </c>
      <c r="L180" s="189">
        <v>0.1387</v>
      </c>
    </row>
    <row r="181" ht="22.5" customHeight="1">
      <c r="A181" s="187" t="s">
        <v>60</v>
      </c>
      <c r="B181" s="188">
        <v>46059.0</v>
      </c>
      <c r="C181" s="187">
        <v>380.0</v>
      </c>
      <c r="D181" s="187" t="s">
        <v>106</v>
      </c>
      <c r="E181" s="98">
        <v>61.95</v>
      </c>
      <c r="F181" s="98">
        <v>62.65</v>
      </c>
      <c r="G181" s="98">
        <v>63.35</v>
      </c>
      <c r="H181" s="189">
        <v>0.6138</v>
      </c>
      <c r="I181" s="98">
        <v>0.9269</v>
      </c>
      <c r="J181" s="98">
        <v>5.0</v>
      </c>
      <c r="K181" s="98">
        <v>56.0</v>
      </c>
      <c r="L181" s="189">
        <v>0.133</v>
      </c>
    </row>
    <row r="182" ht="22.5" customHeight="1">
      <c r="A182" s="187" t="s">
        <v>60</v>
      </c>
      <c r="B182" s="188">
        <v>46059.0</v>
      </c>
      <c r="C182" s="187">
        <v>382.5</v>
      </c>
      <c r="D182" s="187" t="s">
        <v>106</v>
      </c>
      <c r="E182" s="98">
        <v>59.6</v>
      </c>
      <c r="F182" s="98">
        <v>60.3</v>
      </c>
      <c r="G182" s="98">
        <v>61.0</v>
      </c>
      <c r="H182" s="189">
        <v>0.6062</v>
      </c>
      <c r="I182" s="98">
        <v>0.9204</v>
      </c>
      <c r="J182" s="98">
        <v>0.0</v>
      </c>
      <c r="K182" s="98">
        <v>0.0</v>
      </c>
      <c r="L182" s="189">
        <v>0.1273</v>
      </c>
    </row>
    <row r="183" ht="22.5" customHeight="1">
      <c r="A183" s="187" t="s">
        <v>60</v>
      </c>
      <c r="B183" s="188">
        <v>46059.0</v>
      </c>
      <c r="C183" s="187">
        <v>385.0</v>
      </c>
      <c r="D183" s="187" t="s">
        <v>106</v>
      </c>
      <c r="E183" s="98">
        <v>57.3</v>
      </c>
      <c r="F183" s="98">
        <v>58.0</v>
      </c>
      <c r="G183" s="98">
        <v>58.7</v>
      </c>
      <c r="H183" s="189">
        <v>0.6015</v>
      </c>
      <c r="I183" s="98">
        <v>0.9124</v>
      </c>
      <c r="J183" s="98">
        <v>6.0</v>
      </c>
      <c r="K183" s="98">
        <v>43.0</v>
      </c>
      <c r="L183" s="189">
        <v>0.1216</v>
      </c>
    </row>
    <row r="184" ht="22.5" customHeight="1">
      <c r="A184" s="187" t="s">
        <v>60</v>
      </c>
      <c r="B184" s="188">
        <v>46059.0</v>
      </c>
      <c r="C184" s="187">
        <v>387.5</v>
      </c>
      <c r="D184" s="187" t="s">
        <v>106</v>
      </c>
      <c r="E184" s="98">
        <v>55.0</v>
      </c>
      <c r="F184" s="98">
        <v>55.7</v>
      </c>
      <c r="G184" s="98">
        <v>56.4</v>
      </c>
      <c r="H184" s="189">
        <v>0.5954</v>
      </c>
      <c r="I184" s="98">
        <v>0.9042</v>
      </c>
      <c r="J184" s="98">
        <v>1.0</v>
      </c>
      <c r="K184" s="98">
        <v>2.0</v>
      </c>
      <c r="L184" s="189">
        <v>0.1159</v>
      </c>
    </row>
    <row r="185" ht="22.5" customHeight="1">
      <c r="A185" s="187" t="s">
        <v>60</v>
      </c>
      <c r="B185" s="188">
        <v>46059.0</v>
      </c>
      <c r="C185" s="187">
        <v>390.0</v>
      </c>
      <c r="D185" s="187" t="s">
        <v>106</v>
      </c>
      <c r="E185" s="98">
        <v>52.95</v>
      </c>
      <c r="F185" s="98">
        <v>53.55</v>
      </c>
      <c r="G185" s="98">
        <v>54.15</v>
      </c>
      <c r="H185" s="189">
        <v>0.5986</v>
      </c>
      <c r="I185" s="98">
        <v>0.892</v>
      </c>
      <c r="J185" s="98">
        <v>11.0</v>
      </c>
      <c r="K185" s="98">
        <v>157.0</v>
      </c>
      <c r="L185" s="189">
        <v>0.11019999999999999</v>
      </c>
    </row>
    <row r="186" ht="22.5" customHeight="1">
      <c r="A186" s="187" t="s">
        <v>60</v>
      </c>
      <c r="B186" s="188">
        <v>46059.0</v>
      </c>
      <c r="C186" s="187">
        <v>392.5</v>
      </c>
      <c r="D186" s="187" t="s">
        <v>106</v>
      </c>
      <c r="E186" s="98">
        <v>50.6</v>
      </c>
      <c r="F186" s="98">
        <v>51.2</v>
      </c>
      <c r="G186" s="98">
        <v>51.8</v>
      </c>
      <c r="H186" s="189">
        <v>0.5509000000000001</v>
      </c>
      <c r="I186" s="98">
        <v>0.8978</v>
      </c>
      <c r="J186" s="98">
        <v>9.0</v>
      </c>
      <c r="K186" s="98">
        <v>0.0</v>
      </c>
      <c r="L186" s="189">
        <v>0.1045</v>
      </c>
    </row>
    <row r="187" ht="22.5" customHeight="1">
      <c r="A187" s="187" t="s">
        <v>60</v>
      </c>
      <c r="B187" s="188">
        <v>46059.0</v>
      </c>
      <c r="C187" s="187">
        <v>395.0</v>
      </c>
      <c r="D187" s="187" t="s">
        <v>106</v>
      </c>
      <c r="E187" s="98">
        <v>48.75</v>
      </c>
      <c r="F187" s="98">
        <v>48.93</v>
      </c>
      <c r="G187" s="98">
        <v>49.1</v>
      </c>
      <c r="H187" s="189">
        <v>0.5774</v>
      </c>
      <c r="I187" s="98">
        <v>0.8753</v>
      </c>
      <c r="J187" s="98">
        <v>6.0</v>
      </c>
      <c r="K187" s="98">
        <v>328.0</v>
      </c>
      <c r="L187" s="189">
        <v>0.09880000000000001</v>
      </c>
    </row>
    <row r="188" ht="22.5" customHeight="1">
      <c r="A188" s="187" t="s">
        <v>60</v>
      </c>
      <c r="B188" s="188">
        <v>46059.0</v>
      </c>
      <c r="C188" s="187">
        <v>397.5</v>
      </c>
      <c r="D188" s="187" t="s">
        <v>106</v>
      </c>
      <c r="E188" s="98">
        <v>46.15</v>
      </c>
      <c r="F188" s="98">
        <v>46.63</v>
      </c>
      <c r="G188" s="98">
        <v>47.1</v>
      </c>
      <c r="H188" s="189">
        <v>0.5661999999999999</v>
      </c>
      <c r="I188" s="98">
        <v>0.8662</v>
      </c>
      <c r="J188" s="98">
        <v>0.0</v>
      </c>
      <c r="K188" s="98">
        <v>0.0</v>
      </c>
      <c r="L188" s="189">
        <v>0.0931</v>
      </c>
    </row>
    <row r="189" ht="22.5" customHeight="1">
      <c r="A189" s="187" t="s">
        <v>60</v>
      </c>
      <c r="B189" s="188">
        <v>46059.0</v>
      </c>
      <c r="C189" s="187">
        <v>400.0</v>
      </c>
      <c r="D189" s="187" t="s">
        <v>106</v>
      </c>
      <c r="E189" s="98">
        <v>44.55</v>
      </c>
      <c r="F189" s="98">
        <v>44.65</v>
      </c>
      <c r="G189" s="98">
        <v>44.75</v>
      </c>
      <c r="H189" s="189">
        <v>0.5726</v>
      </c>
      <c r="I189" s="98">
        <v>0.8495</v>
      </c>
      <c r="J189" s="98">
        <v>11.0</v>
      </c>
      <c r="K189" s="98">
        <v>556.0</v>
      </c>
      <c r="L189" s="189">
        <v>0.0874</v>
      </c>
    </row>
    <row r="190" ht="22.5" customHeight="1">
      <c r="A190" s="187" t="s">
        <v>60</v>
      </c>
      <c r="B190" s="188">
        <v>46059.0</v>
      </c>
      <c r="C190" s="187">
        <v>402.5</v>
      </c>
      <c r="D190" s="187" t="s">
        <v>106</v>
      </c>
      <c r="E190" s="98">
        <v>42.3</v>
      </c>
      <c r="F190" s="98">
        <v>42.78</v>
      </c>
      <c r="G190" s="98">
        <v>43.25</v>
      </c>
      <c r="H190" s="189">
        <v>0.5811999999999999</v>
      </c>
      <c r="I190" s="98">
        <v>0.8311</v>
      </c>
      <c r="J190" s="98">
        <v>0.0</v>
      </c>
      <c r="K190" s="98">
        <v>13.0</v>
      </c>
      <c r="L190" s="189">
        <v>0.0817</v>
      </c>
    </row>
    <row r="191" ht="22.5" customHeight="1">
      <c r="A191" s="187" t="s">
        <v>60</v>
      </c>
      <c r="B191" s="188">
        <v>46059.0</v>
      </c>
      <c r="C191" s="187">
        <v>405.0</v>
      </c>
      <c r="D191" s="187" t="s">
        <v>106</v>
      </c>
      <c r="E191" s="98">
        <v>40.0</v>
      </c>
      <c r="F191" s="98">
        <v>40.3</v>
      </c>
      <c r="G191" s="98">
        <v>40.6</v>
      </c>
      <c r="H191" s="189">
        <v>0.5569</v>
      </c>
      <c r="I191" s="98">
        <v>0.8244</v>
      </c>
      <c r="J191" s="98">
        <v>10.0</v>
      </c>
      <c r="K191" s="98">
        <v>193.0</v>
      </c>
      <c r="L191" s="189">
        <v>0.076</v>
      </c>
    </row>
    <row r="192" ht="22.5" customHeight="1">
      <c r="A192" s="187" t="s">
        <v>60</v>
      </c>
      <c r="B192" s="188">
        <v>46059.0</v>
      </c>
      <c r="C192" s="187">
        <v>407.5</v>
      </c>
      <c r="D192" s="187" t="s">
        <v>106</v>
      </c>
      <c r="E192" s="98">
        <v>38.4</v>
      </c>
      <c r="F192" s="98">
        <v>38.5</v>
      </c>
      <c r="G192" s="98">
        <v>38.6</v>
      </c>
      <c r="H192" s="189">
        <v>0.565</v>
      </c>
      <c r="I192" s="98">
        <v>0.8044</v>
      </c>
      <c r="J192" s="98">
        <v>11.0</v>
      </c>
      <c r="K192" s="98">
        <v>5.0</v>
      </c>
      <c r="L192" s="189">
        <v>0.0703</v>
      </c>
    </row>
    <row r="193" ht="22.5" customHeight="1">
      <c r="A193" s="187" t="s">
        <v>60</v>
      </c>
      <c r="B193" s="188">
        <v>46059.0</v>
      </c>
      <c r="C193" s="187">
        <v>410.0</v>
      </c>
      <c r="D193" s="187" t="s">
        <v>106</v>
      </c>
      <c r="E193" s="98">
        <v>36.45</v>
      </c>
      <c r="F193" s="98">
        <v>36.53</v>
      </c>
      <c r="G193" s="98">
        <v>36.6</v>
      </c>
      <c r="H193" s="189">
        <v>0.5623</v>
      </c>
      <c r="I193" s="98">
        <v>0.7877</v>
      </c>
      <c r="J193" s="98">
        <v>236.0</v>
      </c>
      <c r="K193" s="98">
        <v>324.0</v>
      </c>
      <c r="L193" s="189">
        <v>0.0646</v>
      </c>
    </row>
    <row r="194" ht="22.5" customHeight="1">
      <c r="A194" s="187" t="s">
        <v>60</v>
      </c>
      <c r="B194" s="188">
        <v>46059.0</v>
      </c>
      <c r="C194" s="187">
        <v>412.5</v>
      </c>
      <c r="D194" s="187" t="s">
        <v>106</v>
      </c>
      <c r="E194" s="98">
        <v>34.5</v>
      </c>
      <c r="F194" s="98">
        <v>34.6</v>
      </c>
      <c r="G194" s="98">
        <v>34.7</v>
      </c>
      <c r="H194" s="189">
        <v>0.5599000000000001</v>
      </c>
      <c r="I194" s="98">
        <v>0.77</v>
      </c>
      <c r="J194" s="98">
        <v>43.0</v>
      </c>
      <c r="K194" s="98">
        <v>111.0</v>
      </c>
      <c r="L194" s="189">
        <v>0.058899999999999994</v>
      </c>
    </row>
    <row r="195" ht="22.5" customHeight="1">
      <c r="A195" s="187" t="s">
        <v>60</v>
      </c>
      <c r="B195" s="188">
        <v>46059.0</v>
      </c>
      <c r="C195" s="187">
        <v>415.0</v>
      </c>
      <c r="D195" s="187" t="s">
        <v>106</v>
      </c>
      <c r="E195" s="98">
        <v>32.65</v>
      </c>
      <c r="F195" s="98">
        <v>32.72</v>
      </c>
      <c r="G195" s="98">
        <v>32.8</v>
      </c>
      <c r="H195" s="189">
        <v>0.5577000000000001</v>
      </c>
      <c r="I195" s="98">
        <v>0.7514</v>
      </c>
      <c r="J195" s="98">
        <v>17.0</v>
      </c>
      <c r="K195" s="98">
        <v>233.0</v>
      </c>
      <c r="L195" s="189">
        <v>0.053200000000000004</v>
      </c>
    </row>
    <row r="196" ht="22.5" customHeight="1">
      <c r="A196" s="187" t="s">
        <v>60</v>
      </c>
      <c r="B196" s="188">
        <v>46059.0</v>
      </c>
      <c r="C196" s="187">
        <v>417.5</v>
      </c>
      <c r="D196" s="187" t="s">
        <v>106</v>
      </c>
      <c r="E196" s="98">
        <v>30.85</v>
      </c>
      <c r="F196" s="98">
        <v>30.93</v>
      </c>
      <c r="G196" s="98">
        <v>31.0</v>
      </c>
      <c r="H196" s="189">
        <v>0.5575</v>
      </c>
      <c r="I196" s="98">
        <v>0.7314</v>
      </c>
      <c r="J196" s="98">
        <v>43.0</v>
      </c>
      <c r="K196" s="98">
        <v>135.0</v>
      </c>
      <c r="L196" s="189">
        <v>0.0475</v>
      </c>
    </row>
    <row r="197" ht="22.5" customHeight="1">
      <c r="A197" s="187" t="s">
        <v>60</v>
      </c>
      <c r="B197" s="188">
        <v>46059.0</v>
      </c>
      <c r="C197" s="187">
        <v>420.0</v>
      </c>
      <c r="D197" s="187" t="s">
        <v>106</v>
      </c>
      <c r="E197" s="98">
        <v>29.1</v>
      </c>
      <c r="F197" s="98">
        <v>29.18</v>
      </c>
      <c r="G197" s="98">
        <v>29.25</v>
      </c>
      <c r="H197" s="189">
        <v>0.5563</v>
      </c>
      <c r="I197" s="98">
        <v>0.711</v>
      </c>
      <c r="J197" s="98">
        <v>135.0</v>
      </c>
      <c r="K197" s="98">
        <v>702.0</v>
      </c>
      <c r="L197" s="189">
        <v>0.0418</v>
      </c>
    </row>
    <row r="198" ht="22.5" customHeight="1">
      <c r="A198" s="187" t="s">
        <v>60</v>
      </c>
      <c r="B198" s="188">
        <v>46059.0</v>
      </c>
      <c r="C198" s="187">
        <v>422.5</v>
      </c>
      <c r="D198" s="187" t="s">
        <v>106</v>
      </c>
      <c r="E198" s="98">
        <v>27.4</v>
      </c>
      <c r="F198" s="98">
        <v>27.48</v>
      </c>
      <c r="G198" s="98">
        <v>27.55</v>
      </c>
      <c r="H198" s="189">
        <v>0.5539999999999999</v>
      </c>
      <c r="I198" s="98">
        <v>0.6903</v>
      </c>
      <c r="J198" s="98">
        <v>67.0</v>
      </c>
      <c r="K198" s="98">
        <v>372.0</v>
      </c>
      <c r="L198" s="189">
        <v>0.036000000000000004</v>
      </c>
    </row>
    <row r="199" ht="22.5" customHeight="1">
      <c r="A199" s="187" t="s">
        <v>60</v>
      </c>
      <c r="B199" s="188">
        <v>46059.0</v>
      </c>
      <c r="C199" s="187">
        <v>425.0</v>
      </c>
      <c r="D199" s="187" t="s">
        <v>106</v>
      </c>
      <c r="E199" s="98">
        <v>25.75</v>
      </c>
      <c r="F199" s="98">
        <v>25.83</v>
      </c>
      <c r="G199" s="98">
        <v>25.9</v>
      </c>
      <c r="H199" s="189">
        <v>0.5525</v>
      </c>
      <c r="I199" s="98">
        <v>0.6686</v>
      </c>
      <c r="J199" s="98">
        <v>535.0</v>
      </c>
      <c r="K199" s="98">
        <v>1207.0</v>
      </c>
      <c r="L199" s="189">
        <v>0.030299999999999997</v>
      </c>
    </row>
    <row r="200" ht="22.5" customHeight="1">
      <c r="A200" s="187" t="s">
        <v>60</v>
      </c>
      <c r="B200" s="188">
        <v>46059.0</v>
      </c>
      <c r="C200" s="187">
        <v>427.5</v>
      </c>
      <c r="D200" s="187" t="s">
        <v>106</v>
      </c>
      <c r="E200" s="98">
        <v>24.15</v>
      </c>
      <c r="F200" s="98">
        <v>24.25</v>
      </c>
      <c r="G200" s="98">
        <v>24.35</v>
      </c>
      <c r="H200" s="189">
        <v>0.5517</v>
      </c>
      <c r="I200" s="98">
        <v>0.6463</v>
      </c>
      <c r="J200" s="98">
        <v>61.0</v>
      </c>
      <c r="K200" s="98">
        <v>359.0</v>
      </c>
      <c r="L200" s="189">
        <v>0.0246</v>
      </c>
    </row>
    <row r="201" ht="22.5" customHeight="1">
      <c r="A201" s="187" t="s">
        <v>60</v>
      </c>
      <c r="B201" s="188">
        <v>46059.0</v>
      </c>
      <c r="C201" s="187">
        <v>430.0</v>
      </c>
      <c r="D201" s="187" t="s">
        <v>106</v>
      </c>
      <c r="E201" s="98">
        <v>22.65</v>
      </c>
      <c r="F201" s="98">
        <v>22.73</v>
      </c>
      <c r="G201" s="98">
        <v>22.8</v>
      </c>
      <c r="H201" s="189">
        <v>0.5515</v>
      </c>
      <c r="I201" s="98">
        <v>0.6235</v>
      </c>
      <c r="J201" s="98">
        <v>901.0</v>
      </c>
      <c r="K201" s="98">
        <v>2023.0</v>
      </c>
      <c r="L201" s="189">
        <v>0.0189</v>
      </c>
    </row>
    <row r="202" ht="22.5" customHeight="1">
      <c r="A202" s="187" t="s">
        <v>60</v>
      </c>
      <c r="B202" s="188">
        <v>46059.0</v>
      </c>
      <c r="C202" s="187">
        <v>432.5</v>
      </c>
      <c r="D202" s="187" t="s">
        <v>106</v>
      </c>
      <c r="E202" s="98">
        <v>21.2</v>
      </c>
      <c r="F202" s="98">
        <v>21.28</v>
      </c>
      <c r="G202" s="98">
        <v>21.35</v>
      </c>
      <c r="H202" s="189">
        <v>0.5493</v>
      </c>
      <c r="I202" s="98">
        <v>0.6005</v>
      </c>
      <c r="J202" s="98">
        <v>152.0</v>
      </c>
      <c r="K202" s="98">
        <v>359.0</v>
      </c>
      <c r="L202" s="189">
        <v>0.0132</v>
      </c>
    </row>
    <row r="203" ht="22.5" customHeight="1">
      <c r="A203" s="187" t="s">
        <v>60</v>
      </c>
      <c r="B203" s="188">
        <v>46059.0</v>
      </c>
      <c r="C203" s="187">
        <v>435.0</v>
      </c>
      <c r="D203" s="187" t="s">
        <v>106</v>
      </c>
      <c r="E203" s="98">
        <v>19.8</v>
      </c>
      <c r="F203" s="98">
        <v>19.88</v>
      </c>
      <c r="G203" s="98">
        <v>19.95</v>
      </c>
      <c r="H203" s="189">
        <v>0.5493</v>
      </c>
      <c r="I203" s="98">
        <v>0.577</v>
      </c>
      <c r="J203" s="98">
        <v>319.0</v>
      </c>
      <c r="K203" s="98">
        <v>1315.0</v>
      </c>
      <c r="L203" s="189">
        <v>0.0075</v>
      </c>
    </row>
    <row r="204" ht="22.5" customHeight="1">
      <c r="A204" s="187" t="s">
        <v>60</v>
      </c>
      <c r="B204" s="188">
        <v>46059.0</v>
      </c>
      <c r="C204" s="187">
        <v>437.5</v>
      </c>
      <c r="D204" s="187" t="s">
        <v>106</v>
      </c>
      <c r="E204" s="98">
        <v>18.5</v>
      </c>
      <c r="F204" s="98">
        <v>18.55</v>
      </c>
      <c r="G204" s="98">
        <v>18.6</v>
      </c>
      <c r="H204" s="189">
        <v>0.5490999999999999</v>
      </c>
      <c r="I204" s="98">
        <v>0.5533</v>
      </c>
      <c r="J204" s="98">
        <v>245.0</v>
      </c>
      <c r="K204" s="98">
        <v>332.0</v>
      </c>
      <c r="L204" s="189">
        <v>0.0018</v>
      </c>
    </row>
    <row r="205" ht="22.5" customHeight="1">
      <c r="A205" s="187" t="s">
        <v>60</v>
      </c>
      <c r="B205" s="188">
        <v>46059.0</v>
      </c>
      <c r="C205" s="187">
        <v>440.0</v>
      </c>
      <c r="D205" s="187" t="s">
        <v>106</v>
      </c>
      <c r="E205" s="98">
        <v>17.2</v>
      </c>
      <c r="F205" s="98">
        <v>17.28</v>
      </c>
      <c r="G205" s="98">
        <v>17.35</v>
      </c>
      <c r="H205" s="189">
        <v>0.5477000000000001</v>
      </c>
      <c r="I205" s="98">
        <v>0.5296</v>
      </c>
      <c r="J205" s="98">
        <v>1098.0</v>
      </c>
      <c r="K205" s="98">
        <v>2264.0</v>
      </c>
      <c r="L205" s="189">
        <v>-0.0039000000000000003</v>
      </c>
    </row>
    <row r="206" ht="22.5" customHeight="1">
      <c r="A206" s="187" t="s">
        <v>60</v>
      </c>
      <c r="B206" s="188">
        <v>46059.0</v>
      </c>
      <c r="C206" s="187">
        <v>442.5</v>
      </c>
      <c r="D206" s="187" t="s">
        <v>106</v>
      </c>
      <c r="E206" s="98">
        <v>16.0</v>
      </c>
      <c r="F206" s="98">
        <v>16.08</v>
      </c>
      <c r="G206" s="98">
        <v>16.15</v>
      </c>
      <c r="H206" s="189">
        <v>0.5484</v>
      </c>
      <c r="I206" s="98">
        <v>0.5059</v>
      </c>
      <c r="J206" s="98">
        <v>308.0</v>
      </c>
      <c r="K206" s="98">
        <v>361.0</v>
      </c>
      <c r="L206" s="189">
        <v>-0.0096</v>
      </c>
    </row>
    <row r="207" ht="22.5" customHeight="1">
      <c r="A207" s="187" t="s">
        <v>60</v>
      </c>
      <c r="B207" s="188">
        <v>46059.0</v>
      </c>
      <c r="C207" s="187">
        <v>445.0</v>
      </c>
      <c r="D207" s="187" t="s">
        <v>106</v>
      </c>
      <c r="E207" s="98">
        <v>14.85</v>
      </c>
      <c r="F207" s="98">
        <v>14.93</v>
      </c>
      <c r="G207" s="98">
        <v>15.0</v>
      </c>
      <c r="H207" s="189">
        <v>0.5463</v>
      </c>
      <c r="I207" s="98">
        <v>0.4821</v>
      </c>
      <c r="J207" s="98">
        <v>466.0</v>
      </c>
      <c r="K207" s="98">
        <v>2203.0</v>
      </c>
      <c r="L207" s="189">
        <v>-0.015300000000000001</v>
      </c>
    </row>
    <row r="208" ht="22.5" customHeight="1">
      <c r="A208" s="187" t="s">
        <v>60</v>
      </c>
      <c r="B208" s="188">
        <v>46059.0</v>
      </c>
      <c r="C208" s="187">
        <v>447.5</v>
      </c>
      <c r="D208" s="187" t="s">
        <v>106</v>
      </c>
      <c r="E208" s="98">
        <v>13.75</v>
      </c>
      <c r="F208" s="98">
        <v>13.83</v>
      </c>
      <c r="G208" s="98">
        <v>13.9</v>
      </c>
      <c r="H208" s="189">
        <v>0.5466</v>
      </c>
      <c r="I208" s="98">
        <v>0.4586</v>
      </c>
      <c r="J208" s="98">
        <v>511.0</v>
      </c>
      <c r="K208" s="98">
        <v>544.0</v>
      </c>
      <c r="L208" s="189">
        <v>-0.021</v>
      </c>
    </row>
    <row r="209" ht="22.5" customHeight="1">
      <c r="A209" s="187" t="s">
        <v>60</v>
      </c>
      <c r="B209" s="188">
        <v>46059.0</v>
      </c>
      <c r="C209" s="187">
        <v>450.0</v>
      </c>
      <c r="D209" s="187" t="s">
        <v>106</v>
      </c>
      <c r="E209" s="98">
        <v>12.75</v>
      </c>
      <c r="F209" s="98">
        <v>12.8</v>
      </c>
      <c r="G209" s="98">
        <v>12.85</v>
      </c>
      <c r="H209" s="189">
        <v>0.5474</v>
      </c>
      <c r="I209" s="98">
        <v>0.4355</v>
      </c>
      <c r="J209" s="98">
        <v>904.0</v>
      </c>
      <c r="K209" s="98">
        <v>3167.0</v>
      </c>
      <c r="L209" s="189">
        <v>-0.026699999999999998</v>
      </c>
    </row>
    <row r="210" ht="22.5" customHeight="1">
      <c r="A210" s="187" t="s">
        <v>60</v>
      </c>
      <c r="B210" s="188">
        <v>46059.0</v>
      </c>
      <c r="C210" s="187">
        <v>452.5</v>
      </c>
      <c r="D210" s="187" t="s">
        <v>106</v>
      </c>
      <c r="E210" s="187">
        <v>11.8</v>
      </c>
      <c r="F210" s="190">
        <v>11.85</v>
      </c>
      <c r="G210" s="98">
        <v>11.9</v>
      </c>
      <c r="H210" s="189">
        <v>0.5479999999999999</v>
      </c>
      <c r="I210" s="98">
        <v>0.4128</v>
      </c>
      <c r="J210" s="98">
        <v>213.0</v>
      </c>
      <c r="K210" s="98">
        <v>483.0</v>
      </c>
      <c r="L210" s="189">
        <v>-0.032400000000000005</v>
      </c>
    </row>
    <row r="211" ht="22.5" customHeight="1">
      <c r="A211" s="187" t="s">
        <v>60</v>
      </c>
      <c r="B211" s="188">
        <v>46059.0</v>
      </c>
      <c r="C211" s="187">
        <v>455.0</v>
      </c>
      <c r="D211" s="187" t="s">
        <v>106</v>
      </c>
      <c r="E211" s="98">
        <v>10.85</v>
      </c>
      <c r="F211" s="98">
        <v>10.9</v>
      </c>
      <c r="G211" s="98">
        <v>10.95</v>
      </c>
      <c r="H211" s="189">
        <v>0.5484</v>
      </c>
      <c r="I211" s="98">
        <v>0.3905</v>
      </c>
      <c r="J211" s="98">
        <v>387.0</v>
      </c>
      <c r="K211" s="98">
        <v>1462.0</v>
      </c>
      <c r="L211" s="189">
        <v>-0.0381</v>
      </c>
    </row>
    <row r="212" ht="22.5" customHeight="1">
      <c r="A212" s="187" t="s">
        <v>60</v>
      </c>
      <c r="B212" s="188">
        <v>46059.0</v>
      </c>
      <c r="C212" s="187">
        <v>457.5</v>
      </c>
      <c r="D212" s="187" t="s">
        <v>106</v>
      </c>
      <c r="E212" s="98">
        <v>10.0</v>
      </c>
      <c r="F212" s="98">
        <v>10.05</v>
      </c>
      <c r="G212" s="98">
        <v>10.1</v>
      </c>
      <c r="H212" s="189">
        <v>0.547</v>
      </c>
      <c r="I212" s="98">
        <v>0.3682</v>
      </c>
      <c r="J212" s="98">
        <v>80.0</v>
      </c>
      <c r="K212" s="98">
        <v>309.0</v>
      </c>
      <c r="L212" s="189">
        <v>-0.0438</v>
      </c>
    </row>
    <row r="213" ht="22.5" customHeight="1">
      <c r="A213" s="187" t="s">
        <v>60</v>
      </c>
      <c r="B213" s="188">
        <v>46059.0</v>
      </c>
      <c r="C213" s="187">
        <v>460.0</v>
      </c>
      <c r="D213" s="187" t="s">
        <v>106</v>
      </c>
      <c r="E213" s="98">
        <v>9.2</v>
      </c>
      <c r="F213" s="98">
        <v>9.25</v>
      </c>
      <c r="G213" s="98">
        <v>9.3</v>
      </c>
      <c r="H213" s="189">
        <v>0.5472</v>
      </c>
      <c r="I213" s="98">
        <v>0.3469</v>
      </c>
      <c r="J213" s="98">
        <v>444.0</v>
      </c>
      <c r="K213" s="98">
        <v>2351.0</v>
      </c>
      <c r="L213" s="189">
        <v>-0.0495</v>
      </c>
    </row>
    <row r="214" ht="22.5" customHeight="1">
      <c r="A214" s="187" t="s">
        <v>60</v>
      </c>
      <c r="B214" s="188">
        <v>46059.0</v>
      </c>
      <c r="C214" s="187">
        <v>462.5</v>
      </c>
      <c r="D214" s="187" t="s">
        <v>106</v>
      </c>
      <c r="E214" s="98">
        <v>8.45</v>
      </c>
      <c r="F214" s="98">
        <v>8.5</v>
      </c>
      <c r="G214" s="98">
        <v>8.55</v>
      </c>
      <c r="H214" s="189">
        <v>0.5474</v>
      </c>
      <c r="I214" s="98">
        <v>0.3261</v>
      </c>
      <c r="J214" s="98">
        <v>167.0</v>
      </c>
      <c r="K214" s="98">
        <v>330.0</v>
      </c>
      <c r="L214" s="189">
        <v>-0.0552</v>
      </c>
    </row>
    <row r="215" ht="22.5" customHeight="1">
      <c r="A215" s="187" t="s">
        <v>60</v>
      </c>
      <c r="B215" s="188">
        <v>46059.0</v>
      </c>
      <c r="C215" s="187">
        <v>465.0</v>
      </c>
      <c r="D215" s="187" t="s">
        <v>106</v>
      </c>
      <c r="E215" s="98">
        <v>7.75</v>
      </c>
      <c r="F215" s="98">
        <v>7.8</v>
      </c>
      <c r="G215" s="98">
        <v>7.85</v>
      </c>
      <c r="H215" s="189">
        <v>0.5487</v>
      </c>
      <c r="I215" s="98">
        <v>0.3065</v>
      </c>
      <c r="J215" s="98">
        <v>270.0</v>
      </c>
      <c r="K215" s="98">
        <v>1590.0</v>
      </c>
      <c r="L215" s="189">
        <v>-0.060899999999999996</v>
      </c>
    </row>
    <row r="216" ht="22.5" customHeight="1">
      <c r="A216" s="187" t="s">
        <v>60</v>
      </c>
      <c r="B216" s="188">
        <v>46059.0</v>
      </c>
      <c r="C216" s="187">
        <v>467.5</v>
      </c>
      <c r="D216" s="187" t="s">
        <v>106</v>
      </c>
      <c r="E216" s="98">
        <v>7.1</v>
      </c>
      <c r="F216" s="98">
        <v>7.15</v>
      </c>
      <c r="G216" s="98">
        <v>7.2</v>
      </c>
      <c r="H216" s="189">
        <v>0.5479999999999999</v>
      </c>
      <c r="I216" s="98">
        <v>0.2867</v>
      </c>
      <c r="J216" s="98">
        <v>37.0</v>
      </c>
      <c r="K216" s="98">
        <v>167.0</v>
      </c>
      <c r="L216" s="189">
        <v>-0.0666</v>
      </c>
    </row>
    <row r="217" ht="22.5" customHeight="1">
      <c r="A217" s="187" t="s">
        <v>60</v>
      </c>
      <c r="B217" s="188">
        <v>46059.0</v>
      </c>
      <c r="C217" s="187">
        <v>470.0</v>
      </c>
      <c r="D217" s="187" t="s">
        <v>106</v>
      </c>
      <c r="E217" s="98">
        <v>6.5</v>
      </c>
      <c r="F217" s="98">
        <v>6.53</v>
      </c>
      <c r="G217" s="98">
        <v>6.55</v>
      </c>
      <c r="H217" s="189">
        <v>0.5474</v>
      </c>
      <c r="I217" s="98">
        <v>0.2677</v>
      </c>
      <c r="J217" s="98">
        <v>623.0</v>
      </c>
      <c r="K217" s="98">
        <v>2666.0</v>
      </c>
      <c r="L217" s="189">
        <v>-0.0723</v>
      </c>
    </row>
    <row r="218" ht="22.5" customHeight="1">
      <c r="A218" s="187" t="s">
        <v>60</v>
      </c>
      <c r="B218" s="188">
        <v>46059.0</v>
      </c>
      <c r="C218" s="187">
        <v>472.5</v>
      </c>
      <c r="D218" s="187" t="s">
        <v>106</v>
      </c>
      <c r="E218" s="98">
        <v>5.9</v>
      </c>
      <c r="F218" s="98">
        <v>5.95</v>
      </c>
      <c r="G218" s="98">
        <v>6.0</v>
      </c>
      <c r="H218" s="189">
        <v>0.5475</v>
      </c>
      <c r="I218" s="98">
        <v>0.2496</v>
      </c>
      <c r="J218" s="98">
        <v>33.0</v>
      </c>
      <c r="K218" s="98">
        <v>170.0</v>
      </c>
      <c r="L218" s="189">
        <v>-0.078</v>
      </c>
    </row>
    <row r="219" ht="22.5" customHeight="1">
      <c r="A219" s="187" t="s">
        <v>60</v>
      </c>
      <c r="B219" s="188">
        <v>46059.0</v>
      </c>
      <c r="C219" s="187">
        <v>475.0</v>
      </c>
      <c r="D219" s="187" t="s">
        <v>106</v>
      </c>
      <c r="E219" s="98">
        <v>5.4</v>
      </c>
      <c r="F219" s="98">
        <v>5.45</v>
      </c>
      <c r="G219" s="98">
        <v>5.5</v>
      </c>
      <c r="H219" s="189">
        <v>0.5466</v>
      </c>
      <c r="I219" s="98">
        <v>0.2319</v>
      </c>
      <c r="J219" s="98">
        <v>806.0</v>
      </c>
      <c r="K219" s="98">
        <v>1257.0</v>
      </c>
      <c r="L219" s="189">
        <v>-0.0837</v>
      </c>
    </row>
    <row r="220" ht="22.5" customHeight="1">
      <c r="A220" s="187" t="s">
        <v>60</v>
      </c>
      <c r="B220" s="188">
        <v>46059.0</v>
      </c>
      <c r="C220" s="187">
        <v>477.5</v>
      </c>
      <c r="D220" s="187" t="s">
        <v>106</v>
      </c>
      <c r="E220" s="98">
        <v>4.9</v>
      </c>
      <c r="F220" s="98">
        <v>4.95</v>
      </c>
      <c r="G220" s="98">
        <v>5.0</v>
      </c>
      <c r="H220" s="189">
        <v>0.5484</v>
      </c>
      <c r="I220" s="98">
        <v>0.2162</v>
      </c>
      <c r="J220" s="98">
        <v>19.0</v>
      </c>
      <c r="K220" s="98">
        <v>164.0</v>
      </c>
      <c r="L220" s="189">
        <v>-0.0894</v>
      </c>
    </row>
    <row r="221" ht="22.5" customHeight="1">
      <c r="A221" s="187" t="s">
        <v>60</v>
      </c>
      <c r="B221" s="188">
        <v>46059.0</v>
      </c>
      <c r="C221" s="187">
        <v>480.0</v>
      </c>
      <c r="D221" s="187" t="s">
        <v>106</v>
      </c>
      <c r="E221" s="98">
        <v>4.45</v>
      </c>
      <c r="F221" s="98">
        <v>4.5</v>
      </c>
      <c r="G221" s="98">
        <v>4.55</v>
      </c>
      <c r="H221" s="189">
        <v>0.5482</v>
      </c>
      <c r="I221" s="98">
        <v>0.2004</v>
      </c>
      <c r="J221" s="98">
        <v>159.0</v>
      </c>
      <c r="K221" s="98">
        <v>2653.0</v>
      </c>
      <c r="L221" s="189">
        <v>-0.0951</v>
      </c>
    </row>
    <row r="222" ht="22.5" customHeight="1">
      <c r="A222" s="187" t="s">
        <v>60</v>
      </c>
      <c r="B222" s="188">
        <v>46059.0</v>
      </c>
      <c r="C222" s="187">
        <v>482.5</v>
      </c>
      <c r="D222" s="187" t="s">
        <v>106</v>
      </c>
      <c r="E222" s="98">
        <v>4.05</v>
      </c>
      <c r="F222" s="98">
        <v>4.1</v>
      </c>
      <c r="G222" s="98">
        <v>4.15</v>
      </c>
      <c r="H222" s="189">
        <v>0.5472</v>
      </c>
      <c r="I222" s="98">
        <v>0.185</v>
      </c>
      <c r="J222" s="98">
        <v>17.0</v>
      </c>
      <c r="K222" s="98">
        <v>60.0</v>
      </c>
      <c r="L222" s="189">
        <v>-0.1008</v>
      </c>
    </row>
    <row r="223" ht="22.5" customHeight="1">
      <c r="A223" s="187" t="s">
        <v>60</v>
      </c>
      <c r="B223" s="188">
        <v>46059.0</v>
      </c>
      <c r="C223" s="187">
        <v>485.0</v>
      </c>
      <c r="D223" s="187" t="s">
        <v>106</v>
      </c>
      <c r="E223" s="98">
        <v>3.7</v>
      </c>
      <c r="F223" s="98">
        <v>3.73</v>
      </c>
      <c r="G223" s="98">
        <v>3.75</v>
      </c>
      <c r="H223" s="189">
        <v>0.5515</v>
      </c>
      <c r="I223" s="98">
        <v>0.1729</v>
      </c>
      <c r="J223" s="98">
        <v>151.0</v>
      </c>
      <c r="K223" s="98">
        <v>1074.0</v>
      </c>
      <c r="L223" s="189">
        <v>-0.1065</v>
      </c>
    </row>
    <row r="224" ht="22.5" customHeight="1">
      <c r="A224" s="187" t="s">
        <v>60</v>
      </c>
      <c r="B224" s="188">
        <v>46059.0</v>
      </c>
      <c r="C224" s="187">
        <v>487.5</v>
      </c>
      <c r="D224" s="187" t="s">
        <v>106</v>
      </c>
      <c r="E224" s="98">
        <v>3.35</v>
      </c>
      <c r="F224" s="98">
        <v>3.4</v>
      </c>
      <c r="G224" s="98">
        <v>3.45</v>
      </c>
      <c r="H224" s="189">
        <v>0.5519</v>
      </c>
      <c r="I224" s="98">
        <v>0.1597</v>
      </c>
      <c r="J224" s="98">
        <v>13.0</v>
      </c>
      <c r="K224" s="98">
        <v>293.0</v>
      </c>
      <c r="L224" s="189">
        <v>-0.11230000000000001</v>
      </c>
    </row>
    <row r="225" ht="22.5" customHeight="1">
      <c r="A225" s="187" t="s">
        <v>60</v>
      </c>
      <c r="B225" s="188">
        <v>46059.0</v>
      </c>
      <c r="C225" s="187">
        <v>490.0</v>
      </c>
      <c r="D225" s="187" t="s">
        <v>106</v>
      </c>
      <c r="E225" s="98">
        <v>3.05</v>
      </c>
      <c r="F225" s="98">
        <v>3.08</v>
      </c>
      <c r="G225" s="98">
        <v>3.1</v>
      </c>
      <c r="H225" s="189">
        <v>0.5522</v>
      </c>
      <c r="I225" s="98">
        <v>0.1472</v>
      </c>
      <c r="J225" s="98">
        <v>253.0</v>
      </c>
      <c r="K225" s="98">
        <v>2195.0</v>
      </c>
      <c r="L225" s="189">
        <v>-0.11800000000000001</v>
      </c>
    </row>
    <row r="226" ht="22.5" customHeight="1">
      <c r="A226" s="187" t="s">
        <v>60</v>
      </c>
      <c r="B226" s="188">
        <v>46059.0</v>
      </c>
      <c r="C226" s="187">
        <v>492.5</v>
      </c>
      <c r="D226" s="187" t="s">
        <v>106</v>
      </c>
      <c r="E226" s="98">
        <v>2.76</v>
      </c>
      <c r="F226" s="98">
        <v>2.78</v>
      </c>
      <c r="G226" s="98">
        <v>2.8</v>
      </c>
      <c r="H226" s="189">
        <v>0.552</v>
      </c>
      <c r="I226" s="98">
        <v>0.1352</v>
      </c>
      <c r="J226" s="98">
        <v>6.0</v>
      </c>
      <c r="K226" s="98">
        <v>98.0</v>
      </c>
      <c r="L226" s="189">
        <v>-0.12369999999999999</v>
      </c>
    </row>
    <row r="227" ht="22.5" customHeight="1">
      <c r="A227" s="187" t="s">
        <v>60</v>
      </c>
      <c r="B227" s="188">
        <v>46059.0</v>
      </c>
      <c r="C227" s="187">
        <v>495.0</v>
      </c>
      <c r="D227" s="187" t="s">
        <v>106</v>
      </c>
      <c r="E227" s="98">
        <v>2.5</v>
      </c>
      <c r="F227" s="98">
        <v>2.52</v>
      </c>
      <c r="G227" s="98">
        <v>2.54</v>
      </c>
      <c r="H227" s="189">
        <v>0.5536</v>
      </c>
      <c r="I227" s="98">
        <v>0.1248</v>
      </c>
      <c r="J227" s="98">
        <v>89.0</v>
      </c>
      <c r="K227" s="98">
        <v>831.0</v>
      </c>
      <c r="L227" s="189">
        <v>-0.1294</v>
      </c>
    </row>
    <row r="228" ht="22.5" customHeight="1">
      <c r="A228" s="187" t="s">
        <v>60</v>
      </c>
      <c r="B228" s="188">
        <v>46059.0</v>
      </c>
      <c r="C228" s="187">
        <v>497.5</v>
      </c>
      <c r="D228" s="187" t="s">
        <v>106</v>
      </c>
      <c r="E228" s="98">
        <v>2.26</v>
      </c>
      <c r="F228" s="98">
        <v>2.28</v>
      </c>
      <c r="G228" s="98">
        <v>2.3</v>
      </c>
      <c r="H228" s="189">
        <v>0.5545</v>
      </c>
      <c r="I228" s="98">
        <v>0.1148</v>
      </c>
      <c r="J228" s="98">
        <v>31.0</v>
      </c>
      <c r="K228" s="98">
        <v>225.0</v>
      </c>
      <c r="L228" s="189">
        <v>-0.1351</v>
      </c>
    </row>
    <row r="229" ht="22.5" customHeight="1">
      <c r="A229" s="187" t="s">
        <v>60</v>
      </c>
      <c r="B229" s="188">
        <v>46059.0</v>
      </c>
      <c r="C229" s="187">
        <v>500.0</v>
      </c>
      <c r="D229" s="187" t="s">
        <v>106</v>
      </c>
      <c r="E229" s="98">
        <v>2.05</v>
      </c>
      <c r="F229" s="98">
        <v>2.07</v>
      </c>
      <c r="G229" s="98">
        <v>2.08</v>
      </c>
      <c r="H229" s="189">
        <v>0.5554</v>
      </c>
      <c r="I229" s="98">
        <v>0.1054</v>
      </c>
      <c r="J229" s="98">
        <v>536.0</v>
      </c>
      <c r="K229" s="98">
        <v>3952.0</v>
      </c>
      <c r="L229" s="189">
        <v>-0.1408</v>
      </c>
    </row>
    <row r="230" ht="22.5" customHeight="1">
      <c r="A230" s="187" t="s">
        <v>60</v>
      </c>
      <c r="B230" s="188">
        <v>46059.0</v>
      </c>
      <c r="C230" s="187">
        <v>502.5</v>
      </c>
      <c r="D230" s="187" t="s">
        <v>106</v>
      </c>
      <c r="E230" s="98">
        <v>1.85</v>
      </c>
      <c r="F230" s="98">
        <v>1.87</v>
      </c>
      <c r="G230" s="98">
        <v>1.89</v>
      </c>
      <c r="H230" s="189">
        <v>0.557</v>
      </c>
      <c r="I230" s="98">
        <v>0.097</v>
      </c>
      <c r="J230" s="98">
        <v>16.0</v>
      </c>
      <c r="K230" s="98">
        <v>110.0</v>
      </c>
      <c r="L230" s="189">
        <v>-0.1465</v>
      </c>
    </row>
    <row r="231" ht="22.5" customHeight="1">
      <c r="A231" s="187" t="s">
        <v>60</v>
      </c>
      <c r="B231" s="188">
        <v>46059.0</v>
      </c>
      <c r="C231" s="187">
        <v>505.0</v>
      </c>
      <c r="D231" s="187" t="s">
        <v>106</v>
      </c>
      <c r="E231" s="98">
        <v>1.67</v>
      </c>
      <c r="F231" s="98">
        <v>1.69</v>
      </c>
      <c r="G231" s="98">
        <v>1.7</v>
      </c>
      <c r="H231" s="189">
        <v>0.5578</v>
      </c>
      <c r="I231" s="98">
        <v>0.0888</v>
      </c>
      <c r="J231" s="98">
        <v>49.0</v>
      </c>
      <c r="K231" s="98">
        <v>763.0</v>
      </c>
      <c r="L231" s="189">
        <v>-0.1522</v>
      </c>
    </row>
    <row r="232" ht="22.5" customHeight="1">
      <c r="A232" s="187" t="s">
        <v>60</v>
      </c>
      <c r="B232" s="188">
        <v>46059.0</v>
      </c>
      <c r="C232" s="187">
        <v>507.5</v>
      </c>
      <c r="D232" s="187" t="s">
        <v>106</v>
      </c>
      <c r="E232" s="98">
        <v>1.51</v>
      </c>
      <c r="F232" s="98">
        <v>1.53</v>
      </c>
      <c r="G232" s="98">
        <v>1.54</v>
      </c>
      <c r="H232" s="189">
        <v>0.5592</v>
      </c>
      <c r="I232" s="98">
        <v>0.0814</v>
      </c>
      <c r="J232" s="98">
        <v>66.0</v>
      </c>
      <c r="K232" s="98">
        <v>50.0</v>
      </c>
      <c r="L232" s="189">
        <v>-0.15789999999999998</v>
      </c>
    </row>
    <row r="233" ht="22.5" customHeight="1">
      <c r="A233" s="187" t="s">
        <v>60</v>
      </c>
      <c r="B233" s="188">
        <v>46059.0</v>
      </c>
      <c r="C233" s="187">
        <v>510.0</v>
      </c>
      <c r="D233" s="187" t="s">
        <v>106</v>
      </c>
      <c r="E233" s="98">
        <v>1.36</v>
      </c>
      <c r="F233" s="98">
        <v>1.38</v>
      </c>
      <c r="G233" s="98">
        <v>1.39</v>
      </c>
      <c r="H233" s="189">
        <v>0.5607</v>
      </c>
      <c r="I233" s="98">
        <v>0.0746</v>
      </c>
      <c r="J233" s="98">
        <v>55.0</v>
      </c>
      <c r="K233" s="98">
        <v>1439.0</v>
      </c>
      <c r="L233" s="189">
        <v>-0.1636</v>
      </c>
    </row>
    <row r="234" ht="22.5" customHeight="1">
      <c r="A234" s="187" t="s">
        <v>60</v>
      </c>
      <c r="B234" s="188">
        <v>46059.0</v>
      </c>
      <c r="C234" s="187">
        <v>512.5</v>
      </c>
      <c r="D234" s="187" t="s">
        <v>106</v>
      </c>
      <c r="E234" s="98">
        <v>1.23</v>
      </c>
      <c r="F234" s="98">
        <v>1.25</v>
      </c>
      <c r="G234" s="98">
        <v>1.26</v>
      </c>
      <c r="H234" s="189">
        <v>0.5619</v>
      </c>
      <c r="I234" s="98">
        <v>0.0683</v>
      </c>
      <c r="J234" s="98">
        <v>9.0</v>
      </c>
      <c r="K234" s="98">
        <v>25.0</v>
      </c>
      <c r="L234" s="189">
        <v>-0.1693</v>
      </c>
    </row>
    <row r="235" ht="22.5" customHeight="1">
      <c r="A235" s="187" t="s">
        <v>60</v>
      </c>
      <c r="B235" s="188">
        <v>46059.0</v>
      </c>
      <c r="C235" s="187">
        <v>515.0</v>
      </c>
      <c r="D235" s="187" t="s">
        <v>106</v>
      </c>
      <c r="E235" s="98">
        <v>1.11</v>
      </c>
      <c r="F235" s="98">
        <v>1.13</v>
      </c>
      <c r="G235" s="98">
        <v>1.14</v>
      </c>
      <c r="H235" s="189">
        <v>0.5634</v>
      </c>
      <c r="I235" s="98">
        <v>0.0625</v>
      </c>
      <c r="J235" s="98">
        <v>29.0</v>
      </c>
      <c r="K235" s="98">
        <v>484.0</v>
      </c>
      <c r="L235" s="189">
        <v>-0.175</v>
      </c>
    </row>
    <row r="236" ht="22.5" customHeight="1">
      <c r="A236" s="187" t="s">
        <v>60</v>
      </c>
      <c r="B236" s="188">
        <v>46059.0</v>
      </c>
      <c r="C236" s="187">
        <v>517.5</v>
      </c>
      <c r="D236" s="187" t="s">
        <v>106</v>
      </c>
      <c r="E236" s="98">
        <v>1.0</v>
      </c>
      <c r="F236" s="98">
        <v>1.02</v>
      </c>
      <c r="G236" s="98">
        <v>1.03</v>
      </c>
      <c r="H236" s="189">
        <v>0.5647</v>
      </c>
      <c r="I236" s="98">
        <v>0.0571</v>
      </c>
      <c r="J236" s="98">
        <v>10.0</v>
      </c>
      <c r="K236" s="98">
        <v>26.0</v>
      </c>
      <c r="L236" s="189">
        <v>-0.1807</v>
      </c>
    </row>
    <row r="237" ht="22.5" customHeight="1">
      <c r="A237" s="187" t="s">
        <v>60</v>
      </c>
      <c r="B237" s="188">
        <v>46059.0</v>
      </c>
      <c r="C237" s="187">
        <v>520.0</v>
      </c>
      <c r="D237" s="187" t="s">
        <v>106</v>
      </c>
      <c r="E237" s="98">
        <v>0.9</v>
      </c>
      <c r="F237" s="98">
        <v>0.92</v>
      </c>
      <c r="G237" s="98">
        <v>0.93</v>
      </c>
      <c r="H237" s="189">
        <v>0.5660000000000001</v>
      </c>
      <c r="I237" s="98">
        <v>0.0521</v>
      </c>
      <c r="J237" s="98">
        <v>145.0</v>
      </c>
      <c r="K237" s="98">
        <v>1207.0</v>
      </c>
      <c r="L237" s="189">
        <v>-0.1864</v>
      </c>
    </row>
    <row r="238" ht="22.5" customHeight="1">
      <c r="A238" s="187" t="s">
        <v>60</v>
      </c>
      <c r="B238" s="188">
        <v>46059.0</v>
      </c>
      <c r="C238" s="187">
        <v>522.5</v>
      </c>
      <c r="D238" s="187" t="s">
        <v>106</v>
      </c>
      <c r="E238" s="98">
        <v>0.81</v>
      </c>
      <c r="F238" s="98">
        <v>0.83</v>
      </c>
      <c r="G238" s="98">
        <v>0.84</v>
      </c>
      <c r="H238" s="189">
        <v>0.5674</v>
      </c>
      <c r="I238" s="98">
        <v>0.0475</v>
      </c>
      <c r="J238" s="98">
        <v>11.0</v>
      </c>
      <c r="K238" s="98">
        <v>57.0</v>
      </c>
      <c r="L238" s="189">
        <v>-0.19210000000000002</v>
      </c>
    </row>
    <row r="239" ht="22.5" customHeight="1">
      <c r="A239" s="187" t="s">
        <v>60</v>
      </c>
      <c r="B239" s="188">
        <v>46059.0</v>
      </c>
      <c r="C239" s="187">
        <v>525.0</v>
      </c>
      <c r="D239" s="187" t="s">
        <v>106</v>
      </c>
      <c r="E239" s="98">
        <v>0.73</v>
      </c>
      <c r="F239" s="98">
        <v>0.75</v>
      </c>
      <c r="G239" s="98">
        <v>0.76</v>
      </c>
      <c r="H239" s="189">
        <v>0.569</v>
      </c>
      <c r="I239" s="98">
        <v>0.0434</v>
      </c>
      <c r="J239" s="98">
        <v>42.0</v>
      </c>
      <c r="K239" s="98">
        <v>579.0</v>
      </c>
      <c r="L239" s="189">
        <v>-0.1978</v>
      </c>
    </row>
    <row r="240" ht="22.5" customHeight="1">
      <c r="A240" s="187" t="s">
        <v>60</v>
      </c>
      <c r="B240" s="188">
        <v>46059.0</v>
      </c>
      <c r="C240" s="187">
        <v>527.5</v>
      </c>
      <c r="D240" s="187" t="s">
        <v>106</v>
      </c>
      <c r="E240" s="98">
        <v>0.66</v>
      </c>
      <c r="F240" s="98">
        <v>0.68</v>
      </c>
      <c r="G240" s="98">
        <v>0.69</v>
      </c>
      <c r="H240" s="189">
        <v>0.5710000000000001</v>
      </c>
      <c r="I240" s="98">
        <v>0.0397</v>
      </c>
      <c r="J240" s="98">
        <v>0.0</v>
      </c>
      <c r="K240" s="98">
        <v>86.0</v>
      </c>
      <c r="L240" s="189">
        <v>-0.20350000000000001</v>
      </c>
    </row>
    <row r="241" ht="22.5" customHeight="1">
      <c r="A241" s="187" t="s">
        <v>60</v>
      </c>
      <c r="B241" s="188">
        <v>46059.0</v>
      </c>
      <c r="C241" s="187">
        <v>530.0</v>
      </c>
      <c r="D241" s="187" t="s">
        <v>106</v>
      </c>
      <c r="E241" s="98">
        <v>0.6</v>
      </c>
      <c r="F241" s="98">
        <v>0.61</v>
      </c>
      <c r="G241" s="98">
        <v>0.62</v>
      </c>
      <c r="H241" s="189">
        <v>0.5728</v>
      </c>
      <c r="I241" s="98">
        <v>0.0362</v>
      </c>
      <c r="J241" s="98">
        <v>221.0</v>
      </c>
      <c r="K241" s="98">
        <v>781.0</v>
      </c>
      <c r="L241" s="189">
        <v>-0.20920000000000002</v>
      </c>
    </row>
    <row r="242" ht="22.5" customHeight="1">
      <c r="A242" s="187" t="s">
        <v>60</v>
      </c>
      <c r="B242" s="188">
        <v>46059.0</v>
      </c>
      <c r="C242" s="187">
        <v>535.0</v>
      </c>
      <c r="D242" s="187" t="s">
        <v>106</v>
      </c>
      <c r="E242" s="98">
        <v>0.49</v>
      </c>
      <c r="F242" s="98">
        <v>0.5</v>
      </c>
      <c r="G242" s="98">
        <v>0.51</v>
      </c>
      <c r="H242" s="189">
        <v>0.5767</v>
      </c>
      <c r="I242" s="98">
        <v>0.0302</v>
      </c>
      <c r="J242" s="98">
        <v>74.0</v>
      </c>
      <c r="K242" s="98">
        <v>484.0</v>
      </c>
      <c r="L242" s="189">
        <v>-0.2206</v>
      </c>
    </row>
    <row r="243" ht="22.5" customHeight="1">
      <c r="A243" s="187" t="s">
        <v>60</v>
      </c>
      <c r="B243" s="188">
        <v>46059.0</v>
      </c>
      <c r="C243" s="187">
        <v>540.0</v>
      </c>
      <c r="D243" s="187" t="s">
        <v>106</v>
      </c>
      <c r="E243" s="98">
        <v>0.4</v>
      </c>
      <c r="F243" s="98">
        <v>0.42</v>
      </c>
      <c r="G243" s="98">
        <v>0.43</v>
      </c>
      <c r="H243" s="189">
        <v>0.5806</v>
      </c>
      <c r="I243" s="98">
        <v>0.0252</v>
      </c>
      <c r="J243" s="98">
        <v>122.0</v>
      </c>
      <c r="K243" s="98">
        <v>666.0</v>
      </c>
      <c r="L243" s="189">
        <v>-0.23199999999999998</v>
      </c>
    </row>
    <row r="244" ht="22.5" customHeight="1">
      <c r="A244" s="187" t="s">
        <v>60</v>
      </c>
      <c r="B244" s="188">
        <v>46059.0</v>
      </c>
      <c r="C244" s="187">
        <v>545.0</v>
      </c>
      <c r="D244" s="187" t="s">
        <v>106</v>
      </c>
      <c r="E244" s="98">
        <v>0.33</v>
      </c>
      <c r="F244" s="98">
        <v>0.35</v>
      </c>
      <c r="G244" s="98">
        <v>0.36</v>
      </c>
      <c r="H244" s="189">
        <v>0.5855</v>
      </c>
      <c r="I244" s="98">
        <v>0.0212</v>
      </c>
      <c r="J244" s="98">
        <v>5.0</v>
      </c>
      <c r="K244" s="98">
        <v>148.0</v>
      </c>
      <c r="L244" s="189">
        <v>-0.2434</v>
      </c>
    </row>
    <row r="245" ht="22.5" customHeight="1">
      <c r="A245" s="187" t="s">
        <v>60</v>
      </c>
      <c r="B245" s="188">
        <v>46059.0</v>
      </c>
      <c r="C245" s="187">
        <v>550.0</v>
      </c>
      <c r="D245" s="187" t="s">
        <v>106</v>
      </c>
      <c r="E245" s="98">
        <v>0.28</v>
      </c>
      <c r="F245" s="98">
        <v>0.29</v>
      </c>
      <c r="G245" s="98">
        <v>0.3</v>
      </c>
      <c r="H245" s="189">
        <v>0.5898</v>
      </c>
      <c r="I245" s="98">
        <v>0.0177</v>
      </c>
      <c r="J245" s="98">
        <v>22.0</v>
      </c>
      <c r="K245" s="98">
        <v>1774.0</v>
      </c>
      <c r="L245" s="189">
        <v>-0.2548</v>
      </c>
    </row>
    <row r="246" ht="22.5" customHeight="1">
      <c r="A246" s="187" t="s">
        <v>60</v>
      </c>
      <c r="B246" s="188">
        <v>46059.0</v>
      </c>
      <c r="C246" s="187">
        <v>555.0</v>
      </c>
      <c r="D246" s="187" t="s">
        <v>106</v>
      </c>
      <c r="E246" s="98">
        <v>0.23</v>
      </c>
      <c r="F246" s="98">
        <v>0.25</v>
      </c>
      <c r="G246" s="98">
        <v>0.26</v>
      </c>
      <c r="H246" s="189">
        <v>0.5972</v>
      </c>
      <c r="I246" s="98">
        <v>0.0153</v>
      </c>
      <c r="J246" s="98">
        <v>1.0</v>
      </c>
      <c r="K246" s="98">
        <v>284.0</v>
      </c>
      <c r="L246" s="189">
        <v>-0.2663</v>
      </c>
    </row>
    <row r="247" ht="22.5" customHeight="1">
      <c r="A247" s="187" t="s">
        <v>60</v>
      </c>
      <c r="B247" s="188">
        <v>46059.0</v>
      </c>
      <c r="C247" s="187">
        <v>560.0</v>
      </c>
      <c r="D247" s="187" t="s">
        <v>106</v>
      </c>
      <c r="E247" s="98">
        <v>0.2</v>
      </c>
      <c r="F247" s="98">
        <v>0.21</v>
      </c>
      <c r="G247" s="98">
        <v>0.22</v>
      </c>
      <c r="H247" s="189">
        <v>0.606</v>
      </c>
      <c r="I247" s="98">
        <v>0.0134</v>
      </c>
      <c r="J247" s="98">
        <v>102.0</v>
      </c>
      <c r="K247" s="98">
        <v>570.0</v>
      </c>
      <c r="L247" s="189">
        <v>-0.2777</v>
      </c>
    </row>
    <row r="248" ht="22.5" customHeight="1">
      <c r="A248" s="187" t="s">
        <v>60</v>
      </c>
      <c r="B248" s="188">
        <v>46059.0</v>
      </c>
      <c r="C248" s="187">
        <v>565.0</v>
      </c>
      <c r="D248" s="187" t="s">
        <v>106</v>
      </c>
      <c r="E248" s="98">
        <v>0.17</v>
      </c>
      <c r="F248" s="98">
        <v>0.18</v>
      </c>
      <c r="G248" s="98">
        <v>0.19</v>
      </c>
      <c r="H248" s="189">
        <v>0.6129</v>
      </c>
      <c r="I248" s="98">
        <v>0.0115</v>
      </c>
      <c r="J248" s="98">
        <v>4.0</v>
      </c>
      <c r="K248" s="98">
        <v>490.0</v>
      </c>
      <c r="L248" s="189">
        <v>-0.2891</v>
      </c>
    </row>
    <row r="249" ht="22.5" customHeight="1">
      <c r="A249" s="187" t="s">
        <v>60</v>
      </c>
      <c r="B249" s="188">
        <v>46059.0</v>
      </c>
      <c r="C249" s="187">
        <v>570.0</v>
      </c>
      <c r="D249" s="187" t="s">
        <v>106</v>
      </c>
      <c r="E249" s="98">
        <v>0.14</v>
      </c>
      <c r="F249" s="98">
        <v>0.15</v>
      </c>
      <c r="G249" s="98">
        <v>0.16</v>
      </c>
      <c r="H249" s="189">
        <v>0.6174000000000001</v>
      </c>
      <c r="I249" s="98">
        <v>0.0097</v>
      </c>
      <c r="J249" s="98">
        <v>76.0</v>
      </c>
      <c r="K249" s="98">
        <v>270.0</v>
      </c>
      <c r="L249" s="189">
        <v>-0.3005</v>
      </c>
    </row>
    <row r="250" ht="22.5" customHeight="1">
      <c r="A250" s="187" t="s">
        <v>60</v>
      </c>
      <c r="B250" s="188">
        <v>46059.0</v>
      </c>
      <c r="C250" s="187">
        <v>575.0</v>
      </c>
      <c r="D250" s="187" t="s">
        <v>106</v>
      </c>
      <c r="E250" s="98">
        <v>0.12</v>
      </c>
      <c r="F250" s="98">
        <v>0.13</v>
      </c>
      <c r="G250" s="98">
        <v>0.14</v>
      </c>
      <c r="H250" s="189">
        <v>0.6247</v>
      </c>
      <c r="I250" s="98">
        <v>0.0084</v>
      </c>
      <c r="J250" s="98">
        <v>12.0</v>
      </c>
      <c r="K250" s="98">
        <v>625.0</v>
      </c>
      <c r="L250" s="189">
        <v>-0.3119</v>
      </c>
    </row>
    <row r="251" ht="22.5" customHeight="1">
      <c r="A251" s="187" t="s">
        <v>60</v>
      </c>
      <c r="B251" s="188">
        <v>46059.0</v>
      </c>
      <c r="C251" s="187">
        <v>580.0</v>
      </c>
      <c r="D251" s="187" t="s">
        <v>106</v>
      </c>
      <c r="E251" s="98">
        <v>0.1</v>
      </c>
      <c r="F251" s="98">
        <v>0.11</v>
      </c>
      <c r="G251" s="98">
        <v>0.12</v>
      </c>
      <c r="H251" s="189">
        <v>0.63</v>
      </c>
      <c r="I251" s="98">
        <v>0.0072</v>
      </c>
      <c r="J251" s="98">
        <v>4.0</v>
      </c>
      <c r="K251" s="98">
        <v>716.0</v>
      </c>
      <c r="L251" s="189">
        <v>-0.3233</v>
      </c>
    </row>
    <row r="252" ht="22.5" customHeight="1">
      <c r="A252" s="187" t="s">
        <v>60</v>
      </c>
      <c r="B252" s="188">
        <v>46059.0</v>
      </c>
      <c r="C252" s="187">
        <v>585.0</v>
      </c>
      <c r="D252" s="187" t="s">
        <v>106</v>
      </c>
      <c r="E252" s="98">
        <v>0.09</v>
      </c>
      <c r="F252" s="98">
        <v>0.1</v>
      </c>
      <c r="G252" s="98">
        <v>0.11</v>
      </c>
      <c r="H252" s="189">
        <v>0.6402</v>
      </c>
      <c r="I252" s="98">
        <v>0.0065</v>
      </c>
      <c r="J252" s="98">
        <v>0.0</v>
      </c>
      <c r="K252" s="98">
        <v>186.0</v>
      </c>
      <c r="L252" s="189">
        <v>-0.3347</v>
      </c>
    </row>
    <row r="253" ht="22.5" customHeight="1">
      <c r="A253" s="187" t="s">
        <v>60</v>
      </c>
      <c r="B253" s="188">
        <v>46059.0</v>
      </c>
      <c r="C253" s="187">
        <v>590.0</v>
      </c>
      <c r="D253" s="187" t="s">
        <v>106</v>
      </c>
      <c r="E253" s="98">
        <v>0.08</v>
      </c>
      <c r="F253" s="98">
        <v>0.08</v>
      </c>
      <c r="G253" s="98">
        <v>0.09</v>
      </c>
      <c r="H253" s="189">
        <v>0.6495000000000001</v>
      </c>
      <c r="I253" s="98">
        <v>0.0058</v>
      </c>
      <c r="J253" s="98">
        <v>2.0</v>
      </c>
      <c r="K253" s="98">
        <v>244.0</v>
      </c>
      <c r="L253" s="189">
        <v>-0.3461</v>
      </c>
    </row>
    <row r="254" ht="22.5" customHeight="1">
      <c r="A254" s="187" t="s">
        <v>60</v>
      </c>
      <c r="B254" s="188">
        <v>46059.0</v>
      </c>
      <c r="C254" s="187">
        <v>595.0</v>
      </c>
      <c r="D254" s="187" t="s">
        <v>106</v>
      </c>
      <c r="E254" s="98">
        <v>0.07</v>
      </c>
      <c r="F254" s="98">
        <v>0.08</v>
      </c>
      <c r="G254" s="98">
        <v>0.08</v>
      </c>
      <c r="H254" s="189">
        <v>0.6531</v>
      </c>
      <c r="I254" s="98">
        <v>0.0049</v>
      </c>
      <c r="J254" s="98">
        <v>0.0</v>
      </c>
      <c r="K254" s="98">
        <v>372.0</v>
      </c>
      <c r="L254" s="189">
        <v>-0.3575</v>
      </c>
    </row>
    <row r="255" ht="22.5" customHeight="1">
      <c r="A255" s="187" t="s">
        <v>60</v>
      </c>
      <c r="B255" s="188">
        <v>46059.0</v>
      </c>
      <c r="C255" s="187">
        <v>600.0</v>
      </c>
      <c r="D255" s="187" t="s">
        <v>106</v>
      </c>
      <c r="E255" s="98">
        <v>0.06</v>
      </c>
      <c r="F255" s="98">
        <v>0.07</v>
      </c>
      <c r="G255" s="98">
        <v>0.08</v>
      </c>
      <c r="H255" s="189">
        <v>0.6643000000000001</v>
      </c>
      <c r="I255" s="98">
        <v>0.0045</v>
      </c>
      <c r="J255" s="98">
        <v>16.0</v>
      </c>
      <c r="K255" s="98">
        <v>1463.0</v>
      </c>
      <c r="L255" s="189">
        <v>-0.3689</v>
      </c>
    </row>
    <row r="256" ht="22.5" customHeight="1">
      <c r="A256" s="187" t="s">
        <v>60</v>
      </c>
      <c r="B256" s="188">
        <v>46059.0</v>
      </c>
      <c r="C256" s="187">
        <v>605.0</v>
      </c>
      <c r="D256" s="187" t="s">
        <v>106</v>
      </c>
      <c r="E256" s="98">
        <v>0.05</v>
      </c>
      <c r="F256" s="98">
        <v>0.06</v>
      </c>
      <c r="G256" s="98">
        <v>0.07</v>
      </c>
      <c r="H256" s="189">
        <v>0.6694</v>
      </c>
      <c r="I256" s="98">
        <v>0.0039</v>
      </c>
      <c r="J256" s="98">
        <v>0.0</v>
      </c>
      <c r="K256" s="98">
        <v>98.0</v>
      </c>
      <c r="L256" s="189">
        <v>-0.3803</v>
      </c>
    </row>
    <row r="257" ht="22.5" customHeight="1">
      <c r="A257" s="187" t="s">
        <v>60</v>
      </c>
      <c r="B257" s="188">
        <v>46059.0</v>
      </c>
      <c r="C257" s="187">
        <v>610.0</v>
      </c>
      <c r="D257" s="187" t="s">
        <v>106</v>
      </c>
      <c r="E257" s="98">
        <v>0.05</v>
      </c>
      <c r="F257" s="98">
        <v>0.06</v>
      </c>
      <c r="G257" s="98">
        <v>0.06</v>
      </c>
      <c r="H257" s="189">
        <v>0.6726000000000001</v>
      </c>
      <c r="I257" s="98">
        <v>0.0033</v>
      </c>
      <c r="J257" s="98">
        <v>14.0</v>
      </c>
      <c r="K257" s="98">
        <v>79.0</v>
      </c>
      <c r="L257" s="189">
        <v>-0.3917</v>
      </c>
    </row>
    <row r="258" ht="22.5" customHeight="1">
      <c r="A258" s="187" t="s">
        <v>60</v>
      </c>
      <c r="B258" s="188">
        <v>46059.0</v>
      </c>
      <c r="C258" s="187">
        <v>615.0</v>
      </c>
      <c r="D258" s="187" t="s">
        <v>106</v>
      </c>
      <c r="E258" s="98">
        <v>0.04</v>
      </c>
      <c r="F258" s="98">
        <v>0.05</v>
      </c>
      <c r="G258" s="98">
        <v>0.05</v>
      </c>
      <c r="H258" s="189">
        <v>0.6806</v>
      </c>
      <c r="I258" s="98">
        <v>0.003</v>
      </c>
      <c r="J258" s="98">
        <v>1.0</v>
      </c>
      <c r="K258" s="98">
        <v>81.0</v>
      </c>
      <c r="L258" s="189">
        <v>-0.4031</v>
      </c>
    </row>
    <row r="259" ht="22.5" customHeight="1">
      <c r="A259" s="187" t="s">
        <v>60</v>
      </c>
      <c r="B259" s="188">
        <v>46059.0</v>
      </c>
      <c r="C259" s="187">
        <v>620.0</v>
      </c>
      <c r="D259" s="187" t="s">
        <v>106</v>
      </c>
      <c r="E259" s="98">
        <v>0.03</v>
      </c>
      <c r="F259" s="98">
        <v>0.04</v>
      </c>
      <c r="G259" s="98">
        <v>0.05</v>
      </c>
      <c r="H259" s="189">
        <v>0.6876000000000001</v>
      </c>
      <c r="I259" s="98">
        <v>0.0026</v>
      </c>
      <c r="J259" s="98">
        <v>0.0</v>
      </c>
      <c r="K259" s="98">
        <v>49.0</v>
      </c>
      <c r="L259" s="189">
        <v>-0.4146</v>
      </c>
    </row>
    <row r="260" ht="22.5" customHeight="1">
      <c r="A260" s="187" t="s">
        <v>60</v>
      </c>
      <c r="B260" s="188">
        <v>46059.0</v>
      </c>
      <c r="C260" s="187">
        <v>625.0</v>
      </c>
      <c r="D260" s="187" t="s">
        <v>106</v>
      </c>
      <c r="E260" s="98">
        <v>0.03</v>
      </c>
      <c r="F260" s="98">
        <v>0.04</v>
      </c>
      <c r="G260" s="98">
        <v>0.04</v>
      </c>
      <c r="H260" s="189">
        <v>0.6934999999999999</v>
      </c>
      <c r="I260" s="98">
        <v>0.0023</v>
      </c>
      <c r="J260" s="98">
        <v>0.0</v>
      </c>
      <c r="K260" s="98">
        <v>233.0</v>
      </c>
      <c r="L260" s="189">
        <v>-0.426</v>
      </c>
    </row>
    <row r="261" ht="22.5" customHeight="1">
      <c r="A261" s="187" t="s">
        <v>60</v>
      </c>
      <c r="B261" s="188">
        <v>46059.0</v>
      </c>
      <c r="C261" s="187">
        <v>630.0</v>
      </c>
      <c r="D261" s="187" t="s">
        <v>106</v>
      </c>
      <c r="E261" s="98">
        <v>0.02</v>
      </c>
      <c r="F261" s="98">
        <v>0.03</v>
      </c>
      <c r="G261" s="98">
        <v>0.04</v>
      </c>
      <c r="H261" s="189">
        <v>0.6978</v>
      </c>
      <c r="I261" s="98">
        <v>0.002</v>
      </c>
      <c r="J261" s="98">
        <v>0.0</v>
      </c>
      <c r="K261" s="98">
        <v>625.0</v>
      </c>
      <c r="L261" s="189">
        <v>-0.4374</v>
      </c>
    </row>
    <row r="262" ht="22.5" customHeight="1">
      <c r="A262" s="187" t="s">
        <v>60</v>
      </c>
      <c r="B262" s="188">
        <v>46059.0</v>
      </c>
      <c r="C262" s="187">
        <v>640.0</v>
      </c>
      <c r="D262" s="187" t="s">
        <v>106</v>
      </c>
      <c r="E262" s="98">
        <v>0.02</v>
      </c>
      <c r="F262" s="98">
        <v>0.03</v>
      </c>
      <c r="G262" s="98">
        <v>0.04</v>
      </c>
      <c r="H262" s="189">
        <v>0.7254</v>
      </c>
      <c r="I262" s="98">
        <v>0.0019</v>
      </c>
      <c r="J262" s="98">
        <v>25.0</v>
      </c>
      <c r="K262" s="98">
        <v>2457.0</v>
      </c>
      <c r="L262" s="189">
        <v>-0.46020000000000005</v>
      </c>
    </row>
    <row r="263" ht="22.5" customHeight="1">
      <c r="A263" s="187" t="s">
        <v>60</v>
      </c>
      <c r="B263" s="188">
        <v>46059.0</v>
      </c>
      <c r="C263" s="187">
        <v>650.0</v>
      </c>
      <c r="D263" s="187" t="s">
        <v>106</v>
      </c>
      <c r="E263" s="98">
        <v>0.01</v>
      </c>
      <c r="F263" s="98">
        <v>0.02</v>
      </c>
      <c r="G263" s="98">
        <v>0.03</v>
      </c>
      <c r="H263" s="189">
        <v>0.7268000000000001</v>
      </c>
      <c r="I263" s="98">
        <v>0.0013</v>
      </c>
      <c r="J263" s="98">
        <v>0.0</v>
      </c>
      <c r="K263" s="98">
        <v>3148.0</v>
      </c>
      <c r="L263" s="189">
        <v>-0.483</v>
      </c>
    </row>
    <row r="264" ht="22.5" customHeight="1">
      <c r="A264" s="187" t="s">
        <v>60</v>
      </c>
      <c r="B264" s="188">
        <v>46059.0</v>
      </c>
      <c r="C264" s="187">
        <v>660.0</v>
      </c>
      <c r="D264" s="187" t="s">
        <v>106</v>
      </c>
      <c r="E264" s="98">
        <v>0.01</v>
      </c>
      <c r="F264" s="98">
        <v>0.02</v>
      </c>
      <c r="G264" s="98">
        <v>0.03</v>
      </c>
      <c r="H264" s="189">
        <v>0.7525</v>
      </c>
      <c r="I264" s="98">
        <v>0.0013</v>
      </c>
      <c r="J264" s="98">
        <v>0.0</v>
      </c>
      <c r="K264" s="98">
        <v>86.0</v>
      </c>
      <c r="L264" s="189">
        <v>-0.5058</v>
      </c>
    </row>
    <row r="265" ht="22.5" customHeight="1">
      <c r="A265" s="187" t="s">
        <v>60</v>
      </c>
      <c r="B265" s="188">
        <v>46059.0</v>
      </c>
      <c r="C265" s="187">
        <v>670.0</v>
      </c>
      <c r="D265" s="187" t="s">
        <v>106</v>
      </c>
      <c r="E265" s="98">
        <v>0.0</v>
      </c>
      <c r="F265" s="98">
        <v>0.02</v>
      </c>
      <c r="G265" s="98">
        <v>0.03</v>
      </c>
      <c r="H265" s="189">
        <v>0.7777</v>
      </c>
      <c r="I265" s="98">
        <v>0.0012</v>
      </c>
      <c r="J265" s="98">
        <v>1.0</v>
      </c>
      <c r="K265" s="98">
        <v>34.0</v>
      </c>
      <c r="L265" s="189">
        <v>-0.5286</v>
      </c>
    </row>
    <row r="266" ht="22.5" customHeight="1">
      <c r="A266" s="187" t="s">
        <v>60</v>
      </c>
      <c r="B266" s="188">
        <v>46059.0</v>
      </c>
      <c r="C266" s="187">
        <v>680.0</v>
      </c>
      <c r="D266" s="187" t="s">
        <v>106</v>
      </c>
      <c r="E266" s="98">
        <v>0.0</v>
      </c>
      <c r="F266" s="98">
        <v>0.01</v>
      </c>
      <c r="G266" s="98">
        <v>0.02</v>
      </c>
      <c r="H266" s="189">
        <v>0.8025</v>
      </c>
      <c r="I266" s="98">
        <v>0.0012</v>
      </c>
      <c r="J266" s="98">
        <v>0.0</v>
      </c>
      <c r="K266" s="98">
        <v>303.0</v>
      </c>
      <c r="L266" s="189">
        <v>-0.5514</v>
      </c>
    </row>
    <row r="267" ht="22.5" customHeight="1">
      <c r="A267" s="187" t="s">
        <v>60</v>
      </c>
      <c r="B267" s="188">
        <v>46059.0</v>
      </c>
      <c r="C267" s="187">
        <v>690.0</v>
      </c>
      <c r="D267" s="187" t="s">
        <v>106</v>
      </c>
      <c r="E267" s="98">
        <v>0.0</v>
      </c>
      <c r="F267" s="98">
        <v>0.01</v>
      </c>
      <c r="G267" s="98">
        <v>0.02</v>
      </c>
      <c r="H267" s="189">
        <v>0.8269</v>
      </c>
      <c r="I267" s="98">
        <v>0.0012</v>
      </c>
      <c r="J267" s="98">
        <v>0.0</v>
      </c>
      <c r="K267" s="98">
        <v>81.0</v>
      </c>
      <c r="L267" s="189">
        <v>-0.5743</v>
      </c>
    </row>
    <row r="268" ht="22.5" customHeight="1">
      <c r="A268" s="187" t="s">
        <v>60</v>
      </c>
      <c r="B268" s="188">
        <v>46059.0</v>
      </c>
      <c r="C268" s="187">
        <v>700.0</v>
      </c>
      <c r="D268" s="187" t="s">
        <v>106</v>
      </c>
      <c r="E268" s="98">
        <v>0.0</v>
      </c>
      <c r="F268" s="98">
        <v>0.01</v>
      </c>
      <c r="G268" s="98">
        <v>0.02</v>
      </c>
      <c r="H268" s="189">
        <v>0.8508</v>
      </c>
      <c r="I268" s="98">
        <v>0.0011</v>
      </c>
      <c r="J268" s="98">
        <v>100.0</v>
      </c>
      <c r="K268" s="98">
        <v>226.0</v>
      </c>
      <c r="L268" s="189">
        <v>-0.5971</v>
      </c>
    </row>
    <row r="269" ht="22.5" customHeight="1">
      <c r="A269" s="187" t="s">
        <v>60</v>
      </c>
      <c r="B269" s="188">
        <v>46059.0</v>
      </c>
      <c r="C269" s="187">
        <v>710.0</v>
      </c>
      <c r="D269" s="187" t="s">
        <v>106</v>
      </c>
      <c r="E269" s="98">
        <v>0.0</v>
      </c>
      <c r="F269" s="98">
        <v>0.01</v>
      </c>
      <c r="G269" s="98">
        <v>0.02</v>
      </c>
      <c r="H269" s="189">
        <v>0.8743000000000001</v>
      </c>
      <c r="I269" s="98">
        <v>0.0011</v>
      </c>
      <c r="J269" s="98">
        <v>0.0</v>
      </c>
      <c r="K269" s="98">
        <v>36.0</v>
      </c>
      <c r="L269" s="189">
        <v>-0.6199</v>
      </c>
    </row>
    <row r="270" ht="22.5" customHeight="1">
      <c r="A270" s="187" t="s">
        <v>60</v>
      </c>
      <c r="B270" s="188">
        <v>46059.0</v>
      </c>
      <c r="C270" s="187">
        <v>720.0</v>
      </c>
      <c r="D270" s="187" t="s">
        <v>106</v>
      </c>
      <c r="E270" s="98">
        <v>0.0</v>
      </c>
      <c r="F270" s="98">
        <v>0.01</v>
      </c>
      <c r="G270" s="98">
        <v>0.02</v>
      </c>
      <c r="H270" s="189">
        <v>0.8974</v>
      </c>
      <c r="I270" s="98">
        <v>0.0011</v>
      </c>
      <c r="J270" s="98">
        <v>0.0</v>
      </c>
      <c r="K270" s="98">
        <v>23.0</v>
      </c>
      <c r="L270" s="189">
        <v>-0.6426999999999999</v>
      </c>
    </row>
    <row r="271" ht="22.5" customHeight="1">
      <c r="A271" s="187" t="s">
        <v>60</v>
      </c>
      <c r="B271" s="188">
        <v>46059.0</v>
      </c>
      <c r="C271" s="187">
        <v>730.0</v>
      </c>
      <c r="D271" s="187" t="s">
        <v>106</v>
      </c>
      <c r="E271" s="98">
        <v>0.0</v>
      </c>
      <c r="F271" s="98">
        <v>0.01</v>
      </c>
      <c r="G271" s="98">
        <v>0.02</v>
      </c>
      <c r="H271" s="189">
        <v>0.9201</v>
      </c>
      <c r="I271" s="98">
        <v>0.0011</v>
      </c>
      <c r="J271" s="98">
        <v>0.0</v>
      </c>
      <c r="K271" s="98">
        <v>3.0</v>
      </c>
      <c r="L271" s="189">
        <v>-0.6655</v>
      </c>
    </row>
    <row r="272" ht="22.5" customHeight="1">
      <c r="A272" s="187" t="s">
        <v>60</v>
      </c>
      <c r="B272" s="188">
        <v>46059.0</v>
      </c>
      <c r="C272" s="187">
        <v>740.0</v>
      </c>
      <c r="D272" s="187" t="s">
        <v>106</v>
      </c>
      <c r="E272" s="98">
        <v>0.0</v>
      </c>
      <c r="F272" s="98">
        <v>0.01</v>
      </c>
      <c r="G272" s="98">
        <v>0.02</v>
      </c>
      <c r="H272" s="189">
        <v>0.9425</v>
      </c>
      <c r="I272" s="98">
        <v>0.001</v>
      </c>
      <c r="J272" s="98">
        <v>0.0</v>
      </c>
      <c r="K272" s="98">
        <v>9.0</v>
      </c>
      <c r="L272" s="189">
        <v>-0.6883</v>
      </c>
    </row>
    <row r="273" ht="22.5" customHeight="1">
      <c r="A273" s="187" t="s">
        <v>60</v>
      </c>
      <c r="B273" s="188">
        <v>46059.0</v>
      </c>
      <c r="C273" s="187">
        <v>750.0</v>
      </c>
      <c r="D273" s="187" t="s">
        <v>106</v>
      </c>
      <c r="E273" s="98">
        <v>0.0</v>
      </c>
      <c r="F273" s="98">
        <v>0.01</v>
      </c>
      <c r="G273" s="98">
        <v>0.02</v>
      </c>
      <c r="H273" s="189">
        <v>0.9645</v>
      </c>
      <c r="I273" s="98">
        <v>0.001</v>
      </c>
      <c r="J273" s="98">
        <v>0.0</v>
      </c>
      <c r="K273" s="98">
        <v>42.0</v>
      </c>
      <c r="L273" s="189">
        <v>-0.7112</v>
      </c>
    </row>
    <row r="274" ht="22.5" customHeight="1">
      <c r="A274" s="187" t="s">
        <v>60</v>
      </c>
      <c r="B274" s="188">
        <v>46059.0</v>
      </c>
      <c r="C274" s="187">
        <v>760.0</v>
      </c>
      <c r="D274" s="187" t="s">
        <v>106</v>
      </c>
      <c r="E274" s="98">
        <v>0.0</v>
      </c>
      <c r="F274" s="98">
        <v>0.01</v>
      </c>
      <c r="G274" s="98">
        <v>0.02</v>
      </c>
      <c r="H274" s="189">
        <v>0.9861</v>
      </c>
      <c r="I274" s="98">
        <v>0.001</v>
      </c>
      <c r="J274" s="98">
        <v>0.0</v>
      </c>
      <c r="K274" s="98">
        <v>9.0</v>
      </c>
      <c r="L274" s="189">
        <v>-0.7340000000000001</v>
      </c>
    </row>
    <row r="275" ht="22.5" customHeight="1">
      <c r="A275" s="187" t="s">
        <v>60</v>
      </c>
      <c r="B275" s="188">
        <v>46059.0</v>
      </c>
      <c r="C275" s="187">
        <v>770.0</v>
      </c>
      <c r="D275" s="187" t="s">
        <v>106</v>
      </c>
      <c r="E275" s="98">
        <v>0.0</v>
      </c>
      <c r="F275" s="98">
        <v>0.01</v>
      </c>
      <c r="G275" s="98">
        <v>0.02</v>
      </c>
      <c r="H275" s="189">
        <v>1.0073999999999999</v>
      </c>
      <c r="I275" s="98">
        <v>0.001</v>
      </c>
      <c r="J275" s="98">
        <v>0.0</v>
      </c>
      <c r="K275" s="98">
        <v>2.0</v>
      </c>
      <c r="L275" s="189">
        <v>-0.7568</v>
      </c>
    </row>
    <row r="276" ht="22.5" customHeight="1">
      <c r="A276" s="187" t="s">
        <v>60</v>
      </c>
      <c r="B276" s="188">
        <v>46059.0</v>
      </c>
      <c r="C276" s="187">
        <v>780.0</v>
      </c>
      <c r="D276" s="187" t="s">
        <v>106</v>
      </c>
      <c r="E276" s="98">
        <v>0.0</v>
      </c>
      <c r="F276" s="98">
        <v>0.01</v>
      </c>
      <c r="G276" s="98">
        <v>0.02</v>
      </c>
      <c r="H276" s="189">
        <v>1.0284</v>
      </c>
      <c r="I276" s="98">
        <v>0.001</v>
      </c>
      <c r="J276" s="98">
        <v>0.0</v>
      </c>
      <c r="K276" s="98">
        <v>5.0</v>
      </c>
      <c r="L276" s="189">
        <v>-0.7796</v>
      </c>
    </row>
    <row r="277" ht="22.5" customHeight="1">
      <c r="A277" s="187" t="s">
        <v>60</v>
      </c>
      <c r="B277" s="188">
        <v>46059.0</v>
      </c>
      <c r="C277" s="187">
        <v>790.0</v>
      </c>
      <c r="D277" s="187" t="s">
        <v>106</v>
      </c>
      <c r="E277" s="98">
        <v>0.0</v>
      </c>
      <c r="F277" s="98">
        <v>0.01</v>
      </c>
      <c r="G277" s="98">
        <v>0.02</v>
      </c>
      <c r="H277" s="189">
        <v>1.0491</v>
      </c>
      <c r="I277" s="98">
        <v>9.0E-4</v>
      </c>
      <c r="J277" s="98">
        <v>0.0</v>
      </c>
      <c r="K277" s="98">
        <v>5.0</v>
      </c>
      <c r="L277" s="189">
        <v>-0.8024</v>
      </c>
    </row>
    <row r="278" ht="22.5" customHeight="1">
      <c r="A278" s="187" t="s">
        <v>60</v>
      </c>
      <c r="B278" s="188">
        <v>46059.0</v>
      </c>
      <c r="C278" s="187">
        <v>800.0</v>
      </c>
      <c r="D278" s="187" t="s">
        <v>106</v>
      </c>
      <c r="E278" s="98">
        <v>0.0</v>
      </c>
      <c r="F278" s="98">
        <v>0.01</v>
      </c>
      <c r="G278" s="98">
        <v>0.02</v>
      </c>
      <c r="H278" s="189">
        <v>1.0694</v>
      </c>
      <c r="I278" s="98">
        <v>9.0E-4</v>
      </c>
      <c r="J278" s="98">
        <v>0.0</v>
      </c>
      <c r="K278" s="98">
        <v>53.0</v>
      </c>
      <c r="L278" s="189">
        <v>-0.8251999999999999</v>
      </c>
    </row>
    <row r="279" ht="22.5" customHeight="1">
      <c r="A279" s="187" t="s">
        <v>60</v>
      </c>
      <c r="B279" s="188">
        <v>46059.0</v>
      </c>
      <c r="C279" s="187">
        <v>810.0</v>
      </c>
      <c r="D279" s="187" t="s">
        <v>106</v>
      </c>
      <c r="E279" s="98">
        <v>0.0</v>
      </c>
      <c r="F279" s="98">
        <v>0.01</v>
      </c>
      <c r="G279" s="98">
        <v>0.02</v>
      </c>
      <c r="H279" s="189">
        <v>1.0895000000000001</v>
      </c>
      <c r="I279" s="98">
        <v>9.0E-4</v>
      </c>
      <c r="J279" s="98">
        <v>0.0</v>
      </c>
      <c r="K279" s="98">
        <v>23.0</v>
      </c>
      <c r="L279" s="189">
        <v>-0.848</v>
      </c>
    </row>
    <row r="280" ht="22.5" customHeight="1">
      <c r="A280" s="187" t="s">
        <v>60</v>
      </c>
      <c r="B280" s="188">
        <v>46059.0</v>
      </c>
      <c r="C280" s="187">
        <v>820.0</v>
      </c>
      <c r="D280" s="187" t="s">
        <v>106</v>
      </c>
      <c r="E280" s="98">
        <v>0.0</v>
      </c>
      <c r="F280" s="98">
        <v>0.01</v>
      </c>
      <c r="G280" s="98">
        <v>0.02</v>
      </c>
      <c r="H280" s="189">
        <v>1.1093000000000002</v>
      </c>
      <c r="I280" s="98">
        <v>9.0E-4</v>
      </c>
      <c r="J280" s="98">
        <v>0.0</v>
      </c>
      <c r="K280" s="98">
        <v>1078.0</v>
      </c>
      <c r="L280" s="189">
        <v>-0.8709</v>
      </c>
    </row>
    <row r="281" ht="22.5" customHeight="1">
      <c r="A281" s="187" t="s">
        <v>60</v>
      </c>
      <c r="B281" s="188">
        <v>46059.0</v>
      </c>
      <c r="C281" s="187">
        <v>830.0</v>
      </c>
      <c r="D281" s="187" t="s">
        <v>106</v>
      </c>
      <c r="E281" s="98">
        <v>0.0</v>
      </c>
      <c r="F281" s="98">
        <v>0.01</v>
      </c>
      <c r="G281" s="98">
        <v>0.02</v>
      </c>
      <c r="H281" s="189">
        <v>1.1288</v>
      </c>
      <c r="I281" s="98">
        <v>9.0E-4</v>
      </c>
      <c r="J281" s="98">
        <v>0.0</v>
      </c>
      <c r="K281" s="98">
        <v>4.0</v>
      </c>
      <c r="L281" s="189">
        <v>-0.8937</v>
      </c>
    </row>
    <row r="282" ht="22.5" customHeight="1">
      <c r="A282" s="187" t="s">
        <v>60</v>
      </c>
      <c r="B282" s="188">
        <v>46059.0</v>
      </c>
      <c r="C282" s="187">
        <v>840.0</v>
      </c>
      <c r="D282" s="187" t="s">
        <v>106</v>
      </c>
      <c r="E282" s="98">
        <v>0.0</v>
      </c>
      <c r="F282" s="98">
        <v>0.01</v>
      </c>
      <c r="G282" s="98">
        <v>0.02</v>
      </c>
      <c r="H282" s="189">
        <v>1.148</v>
      </c>
      <c r="I282" s="98">
        <v>9.0E-4</v>
      </c>
      <c r="J282" s="98">
        <v>0.0</v>
      </c>
      <c r="K282" s="98">
        <v>0.0</v>
      </c>
      <c r="L282" s="189">
        <v>-0.9165000000000001</v>
      </c>
    </row>
    <row r="283" ht="22.5" customHeight="1">
      <c r="A283" s="187" t="s">
        <v>60</v>
      </c>
      <c r="B283" s="188">
        <v>46059.0</v>
      </c>
      <c r="C283" s="187">
        <v>850.0</v>
      </c>
      <c r="D283" s="187" t="s">
        <v>106</v>
      </c>
      <c r="E283" s="98">
        <v>0.0</v>
      </c>
      <c r="F283" s="98">
        <v>0.01</v>
      </c>
      <c r="G283" s="98">
        <v>0.02</v>
      </c>
      <c r="H283" s="189">
        <v>1.1669</v>
      </c>
      <c r="I283" s="98">
        <v>9.0E-4</v>
      </c>
      <c r="J283" s="98">
        <v>0.0</v>
      </c>
      <c r="K283" s="98">
        <v>4.0</v>
      </c>
      <c r="L283" s="189">
        <v>-0.9393</v>
      </c>
    </row>
    <row r="284" ht="22.5" customHeight="1">
      <c r="A284" s="187" t="s">
        <v>60</v>
      </c>
      <c r="B284" s="188">
        <v>46059.0</v>
      </c>
      <c r="C284" s="187">
        <v>860.0</v>
      </c>
      <c r="D284" s="187" t="s">
        <v>106</v>
      </c>
      <c r="E284" s="98">
        <v>0.0</v>
      </c>
      <c r="F284" s="98">
        <v>0.01</v>
      </c>
      <c r="G284" s="98">
        <v>0.02</v>
      </c>
      <c r="H284" s="189">
        <v>1.1856</v>
      </c>
      <c r="I284" s="98">
        <v>8.0E-4</v>
      </c>
      <c r="J284" s="98">
        <v>0.0</v>
      </c>
      <c r="K284" s="98">
        <v>51.0</v>
      </c>
      <c r="L284" s="189">
        <v>-0.9621</v>
      </c>
    </row>
    <row r="285" ht="22.5" customHeight="1">
      <c r="A285" s="187" t="s">
        <v>60</v>
      </c>
      <c r="B285" s="188">
        <v>46059.0</v>
      </c>
      <c r="C285" s="187">
        <v>870.0</v>
      </c>
      <c r="D285" s="187" t="s">
        <v>106</v>
      </c>
      <c r="E285" s="98">
        <v>0.0</v>
      </c>
      <c r="F285" s="98">
        <v>0.01</v>
      </c>
      <c r="G285" s="98">
        <v>0.02</v>
      </c>
      <c r="H285" s="189">
        <v>1.2041</v>
      </c>
      <c r="I285" s="98">
        <v>8.0E-4</v>
      </c>
      <c r="J285" s="98">
        <v>0.0</v>
      </c>
      <c r="K285" s="98">
        <v>52.0</v>
      </c>
      <c r="L285" s="189">
        <v>-0.9849</v>
      </c>
    </row>
    <row r="286" ht="22.5" customHeight="1">
      <c r="A286" s="187" t="s">
        <v>60</v>
      </c>
      <c r="B286" s="188">
        <v>46059.0</v>
      </c>
      <c r="C286" s="187">
        <v>880.0</v>
      </c>
      <c r="D286" s="187" t="s">
        <v>106</v>
      </c>
      <c r="E286" s="98">
        <v>0.0</v>
      </c>
      <c r="F286" s="98">
        <v>0.01</v>
      </c>
      <c r="G286" s="98">
        <v>0.02</v>
      </c>
      <c r="H286" s="189">
        <v>1.2222</v>
      </c>
      <c r="I286" s="98">
        <v>8.0E-4</v>
      </c>
      <c r="J286" s="98">
        <v>0.0</v>
      </c>
      <c r="K286" s="98">
        <v>60.0</v>
      </c>
      <c r="L286" s="189">
        <v>-1.0078</v>
      </c>
    </row>
    <row r="287" ht="22.5" customHeight="1">
      <c r="A287" s="187" t="s">
        <v>60</v>
      </c>
      <c r="B287" s="188">
        <v>46059.0</v>
      </c>
      <c r="C287" s="187">
        <v>890.0</v>
      </c>
      <c r="D287" s="187" t="s">
        <v>106</v>
      </c>
      <c r="E287" s="98">
        <v>0.0</v>
      </c>
      <c r="F287" s="98">
        <v>0.01</v>
      </c>
      <c r="G287" s="98">
        <v>0.02</v>
      </c>
      <c r="H287" s="189">
        <v>1.2402</v>
      </c>
      <c r="I287" s="98">
        <v>8.0E-4</v>
      </c>
      <c r="J287" s="98">
        <v>0.0</v>
      </c>
      <c r="K287" s="98">
        <v>42.0</v>
      </c>
      <c r="L287" s="189">
        <v>-1.0306</v>
      </c>
    </row>
    <row r="288" ht="22.5" customHeight="1">
      <c r="A288" s="187" t="s">
        <v>60</v>
      </c>
      <c r="B288" s="188">
        <v>46059.0</v>
      </c>
      <c r="C288" s="187">
        <v>900.0</v>
      </c>
      <c r="D288" s="187" t="s">
        <v>106</v>
      </c>
      <c r="E288" s="98">
        <v>0.0</v>
      </c>
      <c r="F288" s="98">
        <v>0.01</v>
      </c>
      <c r="G288" s="98">
        <v>0.02</v>
      </c>
      <c r="H288" s="189">
        <v>1.2579</v>
      </c>
      <c r="I288" s="98">
        <v>8.0E-4</v>
      </c>
      <c r="J288" s="98">
        <v>0.0</v>
      </c>
      <c r="K288" s="98">
        <v>103.0</v>
      </c>
      <c r="L288" s="189">
        <v>-1.0534000000000001</v>
      </c>
    </row>
    <row r="289" ht="22.5" customHeight="1">
      <c r="A289" s="187" t="s">
        <v>60</v>
      </c>
      <c r="B289" s="188">
        <v>46059.0</v>
      </c>
      <c r="C289" s="187">
        <v>910.0</v>
      </c>
      <c r="D289" s="187" t="s">
        <v>106</v>
      </c>
      <c r="E289" s="98">
        <v>0.0</v>
      </c>
      <c r="F289" s="98">
        <v>0.01</v>
      </c>
      <c r="G289" s="98">
        <v>0.02</v>
      </c>
      <c r="H289" s="189">
        <v>1.2754</v>
      </c>
      <c r="I289" s="98">
        <v>8.0E-4</v>
      </c>
      <c r="J289" s="98">
        <v>0.0</v>
      </c>
      <c r="K289" s="98">
        <v>4.0</v>
      </c>
      <c r="L289" s="189">
        <v>-1.0762</v>
      </c>
    </row>
    <row r="290" ht="22.5" customHeight="1">
      <c r="A290" s="187" t="s">
        <v>60</v>
      </c>
      <c r="B290" s="188">
        <v>46059.0</v>
      </c>
      <c r="C290" s="187">
        <v>920.0</v>
      </c>
      <c r="D290" s="187" t="s">
        <v>106</v>
      </c>
      <c r="E290" s="98">
        <v>0.0</v>
      </c>
      <c r="F290" s="98">
        <v>0.01</v>
      </c>
      <c r="G290" s="98">
        <v>0.02</v>
      </c>
      <c r="H290" s="189">
        <v>1.2927000000000002</v>
      </c>
      <c r="I290" s="98">
        <v>8.0E-4</v>
      </c>
      <c r="J290" s="98">
        <v>0.0</v>
      </c>
      <c r="K290" s="98">
        <v>2.0</v>
      </c>
      <c r="L290" s="189">
        <v>-1.099</v>
      </c>
    </row>
    <row r="291" ht="22.5" customHeight="1">
      <c r="A291" s="187" t="s">
        <v>60</v>
      </c>
      <c r="B291" s="188">
        <v>46059.0</v>
      </c>
      <c r="C291" s="187">
        <v>930.0</v>
      </c>
      <c r="D291" s="187" t="s">
        <v>106</v>
      </c>
      <c r="E291" s="98">
        <v>0.0</v>
      </c>
      <c r="F291" s="98">
        <v>0.01</v>
      </c>
      <c r="G291" s="98">
        <v>0.02</v>
      </c>
      <c r="H291" s="189">
        <v>1.3097999999999999</v>
      </c>
      <c r="I291" s="98">
        <v>8.0E-4</v>
      </c>
      <c r="J291" s="98">
        <v>0.0</v>
      </c>
      <c r="K291" s="98">
        <v>2.0</v>
      </c>
      <c r="L291" s="189">
        <v>-1.1218000000000001</v>
      </c>
    </row>
    <row r="292" ht="22.5" customHeight="1">
      <c r="A292" s="187" t="s">
        <v>60</v>
      </c>
      <c r="B292" s="188">
        <v>46059.0</v>
      </c>
      <c r="C292" s="187">
        <v>940.0</v>
      </c>
      <c r="D292" s="187" t="s">
        <v>106</v>
      </c>
      <c r="E292" s="98">
        <v>0.0</v>
      </c>
      <c r="F292" s="98">
        <v>0.01</v>
      </c>
      <c r="G292" s="98">
        <v>0.02</v>
      </c>
      <c r="H292" s="189">
        <v>1.3266</v>
      </c>
      <c r="I292" s="98">
        <v>8.0E-4</v>
      </c>
      <c r="J292" s="98">
        <v>0.0</v>
      </c>
      <c r="K292" s="98">
        <v>1.0</v>
      </c>
      <c r="L292" s="189">
        <v>-1.1445999999999998</v>
      </c>
    </row>
    <row r="293" ht="22.5" customHeight="1">
      <c r="A293" s="187" t="s">
        <v>60</v>
      </c>
      <c r="B293" s="188">
        <v>46059.0</v>
      </c>
      <c r="C293" s="187">
        <v>950.0</v>
      </c>
      <c r="D293" s="187" t="s">
        <v>106</v>
      </c>
      <c r="E293" s="98">
        <v>0.0</v>
      </c>
      <c r="F293" s="98">
        <v>0.01</v>
      </c>
      <c r="G293" s="98">
        <v>0.01</v>
      </c>
      <c r="H293" s="189">
        <v>1.2783</v>
      </c>
      <c r="I293" s="98">
        <v>4.0E-4</v>
      </c>
      <c r="J293" s="98">
        <v>0.0</v>
      </c>
      <c r="K293" s="98">
        <v>2010.0</v>
      </c>
      <c r="L293" s="189">
        <v>-1.1675</v>
      </c>
    </row>
    <row r="294" ht="22.5" customHeight="1">
      <c r="A294" s="187" t="s">
        <v>60</v>
      </c>
      <c r="B294" s="188">
        <v>46059.0</v>
      </c>
      <c r="C294" s="187">
        <v>960.0</v>
      </c>
      <c r="D294" s="187" t="s">
        <v>106</v>
      </c>
      <c r="E294" s="98">
        <v>0.0</v>
      </c>
      <c r="F294" s="98">
        <v>0.01</v>
      </c>
      <c r="G294" s="98">
        <v>0.01</v>
      </c>
      <c r="H294" s="189">
        <v>1.2941</v>
      </c>
      <c r="I294" s="98">
        <v>4.0E-4</v>
      </c>
      <c r="J294" s="98">
        <v>0.0</v>
      </c>
      <c r="K294" s="98">
        <v>1.0</v>
      </c>
      <c r="L294" s="189">
        <v>-1.1903</v>
      </c>
    </row>
    <row r="295" ht="22.5" customHeight="1">
      <c r="A295" s="187" t="s">
        <v>60</v>
      </c>
      <c r="B295" s="188">
        <v>46059.0</v>
      </c>
      <c r="C295" s="187">
        <v>970.0</v>
      </c>
      <c r="D295" s="187" t="s">
        <v>106</v>
      </c>
      <c r="E295" s="98">
        <v>0.0</v>
      </c>
      <c r="F295" s="98">
        <v>0.01</v>
      </c>
      <c r="G295" s="98">
        <v>0.01</v>
      </c>
      <c r="H295" s="189">
        <v>1.3097</v>
      </c>
      <c r="I295" s="98">
        <v>4.0E-4</v>
      </c>
      <c r="J295" s="98">
        <v>0.0</v>
      </c>
      <c r="K295" s="98">
        <v>1.0</v>
      </c>
      <c r="L295" s="189">
        <v>-1.2131</v>
      </c>
    </row>
    <row r="296" ht="22.5" customHeight="1">
      <c r="A296" s="187" t="s">
        <v>60</v>
      </c>
      <c r="B296" s="188">
        <v>46059.0</v>
      </c>
      <c r="C296" s="187">
        <v>980.0</v>
      </c>
      <c r="D296" s="187" t="s">
        <v>106</v>
      </c>
      <c r="E296" s="98">
        <v>0.0</v>
      </c>
      <c r="F296" s="98">
        <v>0.01</v>
      </c>
      <c r="G296" s="98">
        <v>0.01</v>
      </c>
      <c r="H296" s="189">
        <v>1.3252000000000002</v>
      </c>
      <c r="I296" s="98">
        <v>4.0E-4</v>
      </c>
      <c r="J296" s="98">
        <v>0.0</v>
      </c>
      <c r="K296" s="98">
        <v>1132.0</v>
      </c>
      <c r="L296" s="189">
        <v>-1.2359</v>
      </c>
    </row>
    <row r="297" ht="22.5" customHeight="1">
      <c r="A297" s="187" t="s">
        <v>60</v>
      </c>
      <c r="B297" s="188">
        <v>46059.0</v>
      </c>
      <c r="C297" s="187">
        <v>80.0</v>
      </c>
      <c r="D297" s="187" t="s">
        <v>107</v>
      </c>
      <c r="E297" s="98">
        <v>0.0</v>
      </c>
      <c r="F297" s="98">
        <v>0.01</v>
      </c>
      <c r="G297" s="98">
        <v>0.01</v>
      </c>
      <c r="H297" s="189">
        <v>2.9387</v>
      </c>
      <c r="I297" s="98">
        <v>-2.0E-4</v>
      </c>
      <c r="J297" s="98">
        <v>0.0</v>
      </c>
      <c r="K297" s="98">
        <v>1.0</v>
      </c>
      <c r="L297" s="189">
        <v>-0.8175</v>
      </c>
    </row>
    <row r="298" ht="22.5" customHeight="1">
      <c r="A298" s="187" t="s">
        <v>60</v>
      </c>
      <c r="B298" s="188">
        <v>46059.0</v>
      </c>
      <c r="C298" s="187">
        <v>90.0</v>
      </c>
      <c r="D298" s="187" t="s">
        <v>107</v>
      </c>
      <c r="E298" s="98">
        <v>0.0</v>
      </c>
      <c r="F298" s="98">
        <v>0.01</v>
      </c>
      <c r="G298" s="98">
        <v>0.01</v>
      </c>
      <c r="H298" s="189">
        <v>2.7377</v>
      </c>
      <c r="I298" s="98">
        <v>-2.0E-4</v>
      </c>
      <c r="J298" s="98">
        <v>0.0</v>
      </c>
      <c r="K298" s="98">
        <v>1.0</v>
      </c>
      <c r="L298" s="189">
        <v>-0.7947</v>
      </c>
    </row>
    <row r="299" ht="22.5" customHeight="1">
      <c r="A299" s="187" t="s">
        <v>60</v>
      </c>
      <c r="B299" s="188">
        <v>46059.0</v>
      </c>
      <c r="C299" s="187">
        <v>100.0</v>
      </c>
      <c r="D299" s="187" t="s">
        <v>107</v>
      </c>
      <c r="E299" s="98">
        <v>0.0</v>
      </c>
      <c r="F299" s="98">
        <v>0.01</v>
      </c>
      <c r="G299" s="98">
        <v>0.01</v>
      </c>
      <c r="H299" s="189">
        <v>2.5586</v>
      </c>
      <c r="I299" s="98">
        <v>-2.0E-4</v>
      </c>
      <c r="J299" s="98">
        <v>0.0</v>
      </c>
      <c r="K299" s="98">
        <v>604.0</v>
      </c>
      <c r="L299" s="189">
        <v>-0.7718</v>
      </c>
    </row>
    <row r="300" ht="22.5" customHeight="1">
      <c r="A300" s="187" t="s">
        <v>60</v>
      </c>
      <c r="B300" s="188">
        <v>46059.0</v>
      </c>
      <c r="C300" s="187">
        <v>110.0</v>
      </c>
      <c r="D300" s="187" t="s">
        <v>107</v>
      </c>
      <c r="E300" s="98">
        <v>0.0</v>
      </c>
      <c r="F300" s="98">
        <v>0.01</v>
      </c>
      <c r="G300" s="98">
        <v>0.01</v>
      </c>
      <c r="H300" s="189">
        <v>2.397</v>
      </c>
      <c r="I300" s="98">
        <v>-2.0E-4</v>
      </c>
      <c r="J300" s="98">
        <v>0.0</v>
      </c>
      <c r="K300" s="98">
        <v>3.0</v>
      </c>
      <c r="L300" s="189">
        <v>-0.7490000000000001</v>
      </c>
    </row>
    <row r="301" ht="22.5" customHeight="1">
      <c r="A301" s="187" t="s">
        <v>60</v>
      </c>
      <c r="B301" s="188">
        <v>46059.0</v>
      </c>
      <c r="C301" s="187">
        <v>120.0</v>
      </c>
      <c r="D301" s="187" t="s">
        <v>107</v>
      </c>
      <c r="E301" s="98">
        <v>0.0</v>
      </c>
      <c r="F301" s="98">
        <v>0.01</v>
      </c>
      <c r="G301" s="98">
        <v>0.01</v>
      </c>
      <c r="H301" s="189">
        <v>2.2499000000000002</v>
      </c>
      <c r="I301" s="98">
        <v>-2.0E-4</v>
      </c>
      <c r="J301" s="98">
        <v>0.0</v>
      </c>
      <c r="K301" s="98">
        <v>35.0</v>
      </c>
      <c r="L301" s="189">
        <v>-0.7262000000000001</v>
      </c>
    </row>
    <row r="302" ht="22.5" customHeight="1">
      <c r="A302" s="187" t="s">
        <v>60</v>
      </c>
      <c r="B302" s="188">
        <v>46059.0</v>
      </c>
      <c r="C302" s="187">
        <v>130.0</v>
      </c>
      <c r="D302" s="187" t="s">
        <v>107</v>
      </c>
      <c r="E302" s="98">
        <v>0.0</v>
      </c>
      <c r="F302" s="98">
        <v>0.01</v>
      </c>
      <c r="G302" s="98">
        <v>0.02</v>
      </c>
      <c r="H302" s="189">
        <v>2.23</v>
      </c>
      <c r="I302" s="98">
        <v>-4.0E-4</v>
      </c>
      <c r="J302" s="98">
        <v>0.0</v>
      </c>
      <c r="K302" s="98">
        <v>0.0</v>
      </c>
      <c r="L302" s="189">
        <v>-0.7034</v>
      </c>
    </row>
    <row r="303" ht="22.5" customHeight="1">
      <c r="A303" s="187" t="s">
        <v>60</v>
      </c>
      <c r="B303" s="188">
        <v>46059.0</v>
      </c>
      <c r="C303" s="187">
        <v>140.0</v>
      </c>
      <c r="D303" s="187" t="s">
        <v>107</v>
      </c>
      <c r="E303" s="98">
        <v>0.0</v>
      </c>
      <c r="F303" s="98">
        <v>0.01</v>
      </c>
      <c r="G303" s="98">
        <v>0.02</v>
      </c>
      <c r="H303" s="189">
        <v>2.0987</v>
      </c>
      <c r="I303" s="98">
        <v>-4.0E-4</v>
      </c>
      <c r="J303" s="98">
        <v>0.0</v>
      </c>
      <c r="K303" s="98">
        <v>3.0</v>
      </c>
      <c r="L303" s="189">
        <v>-0.6806</v>
      </c>
    </row>
    <row r="304" ht="22.5" customHeight="1">
      <c r="A304" s="187" t="s">
        <v>60</v>
      </c>
      <c r="B304" s="188">
        <v>46059.0</v>
      </c>
      <c r="C304" s="187">
        <v>150.0</v>
      </c>
      <c r="D304" s="187" t="s">
        <v>107</v>
      </c>
      <c r="E304" s="98">
        <v>0.0</v>
      </c>
      <c r="F304" s="98">
        <v>0.01</v>
      </c>
      <c r="G304" s="98">
        <v>0.02</v>
      </c>
      <c r="H304" s="189">
        <v>1.9766</v>
      </c>
      <c r="I304" s="98">
        <v>-5.0E-4</v>
      </c>
      <c r="J304" s="98">
        <v>0.0</v>
      </c>
      <c r="K304" s="98">
        <v>21.0</v>
      </c>
      <c r="L304" s="189">
        <v>-0.6578</v>
      </c>
    </row>
    <row r="305" ht="22.5" customHeight="1">
      <c r="A305" s="187" t="s">
        <v>60</v>
      </c>
      <c r="B305" s="188">
        <v>46059.0</v>
      </c>
      <c r="C305" s="187">
        <v>160.0</v>
      </c>
      <c r="D305" s="187" t="s">
        <v>107</v>
      </c>
      <c r="E305" s="98">
        <v>0.0</v>
      </c>
      <c r="F305" s="98">
        <v>0.01</v>
      </c>
      <c r="G305" s="98">
        <v>0.01</v>
      </c>
      <c r="H305" s="189">
        <v>1.7655</v>
      </c>
      <c r="I305" s="98">
        <v>-3.0E-4</v>
      </c>
      <c r="J305" s="98">
        <v>0.0</v>
      </c>
      <c r="K305" s="98">
        <v>49.0</v>
      </c>
      <c r="L305" s="189">
        <v>-0.635</v>
      </c>
    </row>
    <row r="306" ht="22.5" customHeight="1">
      <c r="A306" s="187" t="s">
        <v>60</v>
      </c>
      <c r="B306" s="188">
        <v>46059.0</v>
      </c>
      <c r="C306" s="187">
        <v>170.0</v>
      </c>
      <c r="D306" s="187" t="s">
        <v>107</v>
      </c>
      <c r="E306" s="98">
        <v>0.0</v>
      </c>
      <c r="F306" s="98">
        <v>0.01</v>
      </c>
      <c r="G306" s="98">
        <v>0.02</v>
      </c>
      <c r="H306" s="189">
        <v>1.7553999999999998</v>
      </c>
      <c r="I306" s="98">
        <v>-5.0E-4</v>
      </c>
      <c r="J306" s="98">
        <v>0.0</v>
      </c>
      <c r="K306" s="98">
        <v>18.0</v>
      </c>
      <c r="L306" s="189">
        <v>-0.6121</v>
      </c>
    </row>
    <row r="307" ht="22.5" customHeight="1">
      <c r="A307" s="187" t="s">
        <v>60</v>
      </c>
      <c r="B307" s="188">
        <v>46059.0</v>
      </c>
      <c r="C307" s="187">
        <v>180.0</v>
      </c>
      <c r="D307" s="187" t="s">
        <v>107</v>
      </c>
      <c r="E307" s="98">
        <v>0.0</v>
      </c>
      <c r="F307" s="98">
        <v>0.02</v>
      </c>
      <c r="G307" s="98">
        <v>0.03</v>
      </c>
      <c r="H307" s="189">
        <v>1.7113999999999998</v>
      </c>
      <c r="I307" s="98">
        <v>-8.0E-4</v>
      </c>
      <c r="J307" s="98">
        <v>0.0</v>
      </c>
      <c r="K307" s="98">
        <v>86.0</v>
      </c>
      <c r="L307" s="189">
        <v>-0.5893</v>
      </c>
    </row>
    <row r="308" ht="22.5" customHeight="1">
      <c r="A308" s="187" t="s">
        <v>60</v>
      </c>
      <c r="B308" s="188">
        <v>46059.0</v>
      </c>
      <c r="C308" s="187">
        <v>190.0</v>
      </c>
      <c r="D308" s="187" t="s">
        <v>107</v>
      </c>
      <c r="E308" s="98">
        <v>0.0</v>
      </c>
      <c r="F308" s="98">
        <v>0.02</v>
      </c>
      <c r="G308" s="98">
        <v>0.03</v>
      </c>
      <c r="H308" s="189">
        <v>1.4768999999999999</v>
      </c>
      <c r="I308" s="98">
        <v>-3.0E-4</v>
      </c>
      <c r="J308" s="98">
        <v>17.0</v>
      </c>
      <c r="K308" s="98">
        <v>99.0</v>
      </c>
      <c r="L308" s="189">
        <v>-0.5665</v>
      </c>
    </row>
    <row r="309" ht="22.5" customHeight="1">
      <c r="A309" s="187" t="s">
        <v>60</v>
      </c>
      <c r="B309" s="188">
        <v>46059.0</v>
      </c>
      <c r="C309" s="187">
        <v>200.0</v>
      </c>
      <c r="D309" s="187" t="s">
        <v>107</v>
      </c>
      <c r="E309" s="98">
        <v>0.0</v>
      </c>
      <c r="F309" s="98">
        <v>0.02</v>
      </c>
      <c r="G309" s="98">
        <v>0.04</v>
      </c>
      <c r="H309" s="189">
        <v>1.5585</v>
      </c>
      <c r="I309" s="98">
        <v>-0.0011</v>
      </c>
      <c r="J309" s="98">
        <v>0.0</v>
      </c>
      <c r="K309" s="98">
        <v>72.0</v>
      </c>
      <c r="L309" s="189">
        <v>-0.5437</v>
      </c>
    </row>
    <row r="310" ht="22.5" customHeight="1">
      <c r="A310" s="187" t="s">
        <v>60</v>
      </c>
      <c r="B310" s="188">
        <v>46059.0</v>
      </c>
      <c r="C310" s="187">
        <v>210.0</v>
      </c>
      <c r="D310" s="187" t="s">
        <v>107</v>
      </c>
      <c r="E310" s="98">
        <v>0.02</v>
      </c>
      <c r="F310" s="98">
        <v>0.03</v>
      </c>
      <c r="G310" s="98">
        <v>0.04</v>
      </c>
      <c r="H310" s="189">
        <v>1.4674</v>
      </c>
      <c r="I310" s="98">
        <v>-0.0012</v>
      </c>
      <c r="J310" s="98">
        <v>10.0</v>
      </c>
      <c r="K310" s="98">
        <v>15.0</v>
      </c>
      <c r="L310" s="189">
        <v>-0.5209</v>
      </c>
    </row>
    <row r="311" ht="22.5" customHeight="1">
      <c r="A311" s="187" t="s">
        <v>60</v>
      </c>
      <c r="B311" s="188">
        <v>46059.0</v>
      </c>
      <c r="C311" s="187">
        <v>220.0</v>
      </c>
      <c r="D311" s="187" t="s">
        <v>107</v>
      </c>
      <c r="E311" s="98">
        <v>0.02</v>
      </c>
      <c r="F311" s="98">
        <v>0.03</v>
      </c>
      <c r="G311" s="98">
        <v>0.04</v>
      </c>
      <c r="H311" s="189">
        <v>1.3805</v>
      </c>
      <c r="I311" s="98">
        <v>-0.0013</v>
      </c>
      <c r="J311" s="98">
        <v>5.0</v>
      </c>
      <c r="K311" s="98">
        <v>79.0</v>
      </c>
      <c r="L311" s="189">
        <v>-0.49810000000000004</v>
      </c>
    </row>
    <row r="312" ht="22.5" customHeight="1">
      <c r="A312" s="187" t="s">
        <v>60</v>
      </c>
      <c r="B312" s="188">
        <v>46059.0</v>
      </c>
      <c r="C312" s="187">
        <v>230.0</v>
      </c>
      <c r="D312" s="187" t="s">
        <v>107</v>
      </c>
      <c r="E312" s="98">
        <v>0.03</v>
      </c>
      <c r="F312" s="98">
        <v>0.04</v>
      </c>
      <c r="G312" s="98">
        <v>0.05</v>
      </c>
      <c r="H312" s="189">
        <v>1.2974</v>
      </c>
      <c r="I312" s="98">
        <v>-0.0013</v>
      </c>
      <c r="J312" s="98">
        <v>10.0</v>
      </c>
      <c r="K312" s="98">
        <v>217.0</v>
      </c>
      <c r="L312" s="189">
        <v>-0.4752</v>
      </c>
    </row>
    <row r="313" ht="22.5" customHeight="1">
      <c r="A313" s="187" t="s">
        <v>60</v>
      </c>
      <c r="B313" s="188">
        <v>46059.0</v>
      </c>
      <c r="C313" s="187">
        <v>240.0</v>
      </c>
      <c r="D313" s="187" t="s">
        <v>107</v>
      </c>
      <c r="E313" s="98">
        <v>0.04</v>
      </c>
      <c r="F313" s="98">
        <v>0.05</v>
      </c>
      <c r="G313" s="98">
        <v>0.06</v>
      </c>
      <c r="H313" s="189">
        <v>1.2435</v>
      </c>
      <c r="I313" s="98">
        <v>-0.0017</v>
      </c>
      <c r="J313" s="98">
        <v>30.0</v>
      </c>
      <c r="K313" s="98">
        <v>1278.0</v>
      </c>
      <c r="L313" s="189">
        <v>-0.4524</v>
      </c>
    </row>
    <row r="314" ht="22.5" customHeight="1">
      <c r="A314" s="187" t="s">
        <v>60</v>
      </c>
      <c r="B314" s="188">
        <v>46059.0</v>
      </c>
      <c r="C314" s="187">
        <v>250.0</v>
      </c>
      <c r="D314" s="187" t="s">
        <v>107</v>
      </c>
      <c r="E314" s="98">
        <v>0.05</v>
      </c>
      <c r="F314" s="98">
        <v>0.06</v>
      </c>
      <c r="G314" s="98">
        <v>0.07</v>
      </c>
      <c r="H314" s="189">
        <v>1.1654</v>
      </c>
      <c r="I314" s="98">
        <v>-0.0018</v>
      </c>
      <c r="J314" s="98">
        <v>3.0</v>
      </c>
      <c r="K314" s="98">
        <v>4942.0</v>
      </c>
      <c r="L314" s="189">
        <v>-0.4296</v>
      </c>
    </row>
    <row r="315" ht="22.5" customHeight="1">
      <c r="A315" s="187" t="s">
        <v>60</v>
      </c>
      <c r="B315" s="188">
        <v>46059.0</v>
      </c>
      <c r="C315" s="187">
        <v>255.0</v>
      </c>
      <c r="D315" s="187" t="s">
        <v>107</v>
      </c>
      <c r="E315" s="98">
        <v>0.06</v>
      </c>
      <c r="F315" s="98">
        <v>0.07</v>
      </c>
      <c r="G315" s="98">
        <v>0.07</v>
      </c>
      <c r="H315" s="189">
        <v>1.1478</v>
      </c>
      <c r="I315" s="98">
        <v>-0.0022</v>
      </c>
      <c r="J315" s="98">
        <v>10.0</v>
      </c>
      <c r="K315" s="98">
        <v>401.0</v>
      </c>
      <c r="L315" s="189">
        <v>-0.4182</v>
      </c>
    </row>
    <row r="316" ht="22.5" customHeight="1">
      <c r="A316" s="187" t="s">
        <v>60</v>
      </c>
      <c r="B316" s="188">
        <v>46059.0</v>
      </c>
      <c r="C316" s="187">
        <v>260.0</v>
      </c>
      <c r="D316" s="187" t="s">
        <v>107</v>
      </c>
      <c r="E316" s="98">
        <v>0.05</v>
      </c>
      <c r="F316" s="98">
        <v>0.07</v>
      </c>
      <c r="G316" s="98">
        <v>0.09</v>
      </c>
      <c r="H316" s="189">
        <v>1.1274</v>
      </c>
      <c r="I316" s="98">
        <v>-0.0026</v>
      </c>
      <c r="J316" s="98">
        <v>0.0</v>
      </c>
      <c r="K316" s="98">
        <v>431.0</v>
      </c>
      <c r="L316" s="189">
        <v>-0.4068</v>
      </c>
    </row>
    <row r="317" ht="22.5" customHeight="1">
      <c r="A317" s="187" t="s">
        <v>60</v>
      </c>
      <c r="B317" s="188">
        <v>46059.0</v>
      </c>
      <c r="C317" s="187">
        <v>265.0</v>
      </c>
      <c r="D317" s="187" t="s">
        <v>107</v>
      </c>
      <c r="E317" s="98">
        <v>0.07</v>
      </c>
      <c r="F317" s="98">
        <v>0.08</v>
      </c>
      <c r="G317" s="98">
        <v>0.09</v>
      </c>
      <c r="H317" s="189">
        <v>1.1049</v>
      </c>
      <c r="I317" s="98">
        <v>-0.003</v>
      </c>
      <c r="J317" s="98">
        <v>21.0</v>
      </c>
      <c r="K317" s="98">
        <v>542.0</v>
      </c>
      <c r="L317" s="189">
        <v>-0.3954</v>
      </c>
    </row>
    <row r="318" ht="22.5" customHeight="1">
      <c r="A318" s="187" t="s">
        <v>60</v>
      </c>
      <c r="B318" s="188">
        <v>46059.0</v>
      </c>
      <c r="C318" s="187">
        <v>270.0</v>
      </c>
      <c r="D318" s="187" t="s">
        <v>107</v>
      </c>
      <c r="E318" s="98">
        <v>0.08</v>
      </c>
      <c r="F318" s="98">
        <v>0.09</v>
      </c>
      <c r="G318" s="98">
        <v>0.1</v>
      </c>
      <c r="H318" s="189">
        <v>1.0809</v>
      </c>
      <c r="I318" s="98">
        <v>-0.0034</v>
      </c>
      <c r="J318" s="98">
        <v>13.0</v>
      </c>
      <c r="K318" s="98">
        <v>1347.0</v>
      </c>
      <c r="L318" s="189">
        <v>-0.384</v>
      </c>
    </row>
    <row r="319" ht="22.5" customHeight="1">
      <c r="A319" s="187" t="s">
        <v>60</v>
      </c>
      <c r="B319" s="188">
        <v>46059.0</v>
      </c>
      <c r="C319" s="187">
        <v>275.0</v>
      </c>
      <c r="D319" s="187" t="s">
        <v>107</v>
      </c>
      <c r="E319" s="98">
        <v>0.09</v>
      </c>
      <c r="F319" s="98">
        <v>0.11</v>
      </c>
      <c r="G319" s="98">
        <v>0.12</v>
      </c>
      <c r="H319" s="189">
        <v>1.0772</v>
      </c>
      <c r="I319" s="98">
        <v>-0.0044</v>
      </c>
      <c r="J319" s="98">
        <v>1.0</v>
      </c>
      <c r="K319" s="98">
        <v>289.0</v>
      </c>
      <c r="L319" s="189">
        <v>-0.3726</v>
      </c>
    </row>
    <row r="320" ht="22.5" customHeight="1">
      <c r="A320" s="187" t="s">
        <v>60</v>
      </c>
      <c r="B320" s="188">
        <v>46059.0</v>
      </c>
      <c r="C320" s="187">
        <v>280.0</v>
      </c>
      <c r="D320" s="187" t="s">
        <v>107</v>
      </c>
      <c r="E320" s="98">
        <v>0.1</v>
      </c>
      <c r="F320" s="98">
        <v>0.12</v>
      </c>
      <c r="G320" s="98">
        <v>0.13</v>
      </c>
      <c r="H320" s="189">
        <v>1.0395999999999999</v>
      </c>
      <c r="I320" s="98">
        <v>-0.0046</v>
      </c>
      <c r="J320" s="98">
        <v>138.0</v>
      </c>
      <c r="K320" s="98">
        <v>1221.0</v>
      </c>
      <c r="L320" s="189">
        <v>-0.36119999999999997</v>
      </c>
    </row>
    <row r="321" ht="22.5" customHeight="1">
      <c r="A321" s="187" t="s">
        <v>60</v>
      </c>
      <c r="B321" s="188">
        <v>46059.0</v>
      </c>
      <c r="C321" s="187">
        <v>285.0</v>
      </c>
      <c r="D321" s="187" t="s">
        <v>107</v>
      </c>
      <c r="E321" s="98">
        <v>0.11</v>
      </c>
      <c r="F321" s="98">
        <v>0.13</v>
      </c>
      <c r="G321" s="98">
        <v>0.14</v>
      </c>
      <c r="H321" s="189">
        <v>1.0119</v>
      </c>
      <c r="I321" s="98">
        <v>-0.005</v>
      </c>
      <c r="J321" s="98">
        <v>2.0</v>
      </c>
      <c r="K321" s="98">
        <v>89.0</v>
      </c>
      <c r="L321" s="189">
        <v>-0.34979999999999994</v>
      </c>
    </row>
    <row r="322" ht="22.5" customHeight="1">
      <c r="A322" s="187" t="s">
        <v>60</v>
      </c>
      <c r="B322" s="188">
        <v>46059.0</v>
      </c>
      <c r="C322" s="187">
        <v>290.0</v>
      </c>
      <c r="D322" s="187" t="s">
        <v>107</v>
      </c>
      <c r="E322" s="98">
        <v>0.13</v>
      </c>
      <c r="F322" s="98">
        <v>0.14</v>
      </c>
      <c r="G322" s="98">
        <v>0.15</v>
      </c>
      <c r="H322" s="189">
        <v>0.9836</v>
      </c>
      <c r="I322" s="98">
        <v>-0.0055</v>
      </c>
      <c r="J322" s="98">
        <v>16.0</v>
      </c>
      <c r="K322" s="98">
        <v>165.0</v>
      </c>
      <c r="L322" s="189">
        <v>-0.33840000000000003</v>
      </c>
    </row>
    <row r="323" ht="22.5" customHeight="1">
      <c r="A323" s="187" t="s">
        <v>60</v>
      </c>
      <c r="B323" s="188">
        <v>46059.0</v>
      </c>
      <c r="C323" s="187">
        <v>295.0</v>
      </c>
      <c r="D323" s="187" t="s">
        <v>107</v>
      </c>
      <c r="E323" s="98">
        <v>0.14</v>
      </c>
      <c r="F323" s="98">
        <v>0.15</v>
      </c>
      <c r="G323" s="98">
        <v>0.16</v>
      </c>
      <c r="H323" s="189">
        <v>0.9625</v>
      </c>
      <c r="I323" s="98">
        <v>-0.0064</v>
      </c>
      <c r="J323" s="98">
        <v>10.0</v>
      </c>
      <c r="K323" s="98">
        <v>239.0</v>
      </c>
      <c r="L323" s="189">
        <v>-0.32689999999999997</v>
      </c>
    </row>
    <row r="324" ht="22.5" customHeight="1">
      <c r="A324" s="187" t="s">
        <v>60</v>
      </c>
      <c r="B324" s="188">
        <v>46059.0</v>
      </c>
      <c r="C324" s="187">
        <v>300.0</v>
      </c>
      <c r="D324" s="187" t="s">
        <v>107</v>
      </c>
      <c r="E324" s="98">
        <v>0.16</v>
      </c>
      <c r="F324" s="98">
        <v>0.17</v>
      </c>
      <c r="G324" s="98">
        <v>0.18</v>
      </c>
      <c r="H324" s="189">
        <v>0.9396</v>
      </c>
      <c r="I324" s="98">
        <v>-0.0073</v>
      </c>
      <c r="J324" s="98">
        <v>419.0</v>
      </c>
      <c r="K324" s="98">
        <v>1323.0</v>
      </c>
      <c r="L324" s="189">
        <v>-0.3155</v>
      </c>
    </row>
    <row r="325" ht="22.5" customHeight="1">
      <c r="A325" s="187" t="s">
        <v>60</v>
      </c>
      <c r="B325" s="188">
        <v>46059.0</v>
      </c>
      <c r="C325" s="187">
        <v>305.0</v>
      </c>
      <c r="D325" s="187" t="s">
        <v>107</v>
      </c>
      <c r="E325" s="98">
        <v>0.18</v>
      </c>
      <c r="F325" s="98">
        <v>0.19</v>
      </c>
      <c r="G325" s="98">
        <v>0.2</v>
      </c>
      <c r="H325" s="189">
        <v>0.9033</v>
      </c>
      <c r="I325" s="98">
        <v>-0.0075</v>
      </c>
      <c r="J325" s="98">
        <v>42.0</v>
      </c>
      <c r="K325" s="98">
        <v>242.0</v>
      </c>
      <c r="L325" s="189">
        <v>-0.3041</v>
      </c>
    </row>
    <row r="326" ht="22.5" customHeight="1">
      <c r="A326" s="187" t="s">
        <v>60</v>
      </c>
      <c r="B326" s="188">
        <v>46059.0</v>
      </c>
      <c r="C326" s="187">
        <v>310.0</v>
      </c>
      <c r="D326" s="187" t="s">
        <v>107</v>
      </c>
      <c r="E326" s="98">
        <v>0.2</v>
      </c>
      <c r="F326" s="98">
        <v>0.21</v>
      </c>
      <c r="G326" s="98">
        <v>0.22</v>
      </c>
      <c r="H326" s="189">
        <v>0.8901</v>
      </c>
      <c r="I326" s="98">
        <v>-0.0092</v>
      </c>
      <c r="J326" s="98">
        <v>30.0</v>
      </c>
      <c r="K326" s="98">
        <v>876.0</v>
      </c>
      <c r="L326" s="189">
        <v>-0.2927</v>
      </c>
    </row>
    <row r="327" ht="22.5" customHeight="1">
      <c r="A327" s="187" t="s">
        <v>60</v>
      </c>
      <c r="B327" s="188">
        <v>46059.0</v>
      </c>
      <c r="C327" s="187">
        <v>315.0</v>
      </c>
      <c r="D327" s="187" t="s">
        <v>107</v>
      </c>
      <c r="E327" s="98">
        <v>0.23</v>
      </c>
      <c r="F327" s="98">
        <v>0.24</v>
      </c>
      <c r="G327" s="98">
        <v>0.25</v>
      </c>
      <c r="H327" s="189">
        <v>0.8640000000000001</v>
      </c>
      <c r="I327" s="98">
        <v>-0.0102</v>
      </c>
      <c r="J327" s="98">
        <v>14.0</v>
      </c>
      <c r="K327" s="98">
        <v>624.0</v>
      </c>
      <c r="L327" s="189">
        <v>-0.2813</v>
      </c>
    </row>
    <row r="328" ht="22.5" customHeight="1">
      <c r="A328" s="187" t="s">
        <v>60</v>
      </c>
      <c r="B328" s="188">
        <v>46059.0</v>
      </c>
      <c r="C328" s="187">
        <v>320.0</v>
      </c>
      <c r="D328" s="187" t="s">
        <v>107</v>
      </c>
      <c r="E328" s="98">
        <v>0.25</v>
      </c>
      <c r="F328" s="98">
        <v>0.26</v>
      </c>
      <c r="G328" s="98">
        <v>0.27</v>
      </c>
      <c r="H328" s="189">
        <v>0.8414</v>
      </c>
      <c r="I328" s="98">
        <v>-0.0116</v>
      </c>
      <c r="J328" s="98">
        <v>146.0</v>
      </c>
      <c r="K328" s="98">
        <v>1522.0</v>
      </c>
      <c r="L328" s="189">
        <v>-0.2699</v>
      </c>
    </row>
    <row r="329" ht="22.5" customHeight="1">
      <c r="A329" s="187" t="s">
        <v>60</v>
      </c>
      <c r="B329" s="188">
        <v>46059.0</v>
      </c>
      <c r="C329" s="187">
        <v>325.0</v>
      </c>
      <c r="D329" s="187" t="s">
        <v>107</v>
      </c>
      <c r="E329" s="98">
        <v>0.28</v>
      </c>
      <c r="F329" s="98">
        <v>0.3</v>
      </c>
      <c r="G329" s="98">
        <v>0.31</v>
      </c>
      <c r="H329" s="189">
        <v>0.8212999999999999</v>
      </c>
      <c r="I329" s="98">
        <v>-0.0134</v>
      </c>
      <c r="J329" s="98">
        <v>40.0</v>
      </c>
      <c r="K329" s="98">
        <v>1538.0</v>
      </c>
      <c r="L329" s="189">
        <v>-0.2585</v>
      </c>
    </row>
    <row r="330" ht="22.5" customHeight="1">
      <c r="A330" s="187" t="s">
        <v>60</v>
      </c>
      <c r="B330" s="188">
        <v>46059.0</v>
      </c>
      <c r="C330" s="187">
        <v>330.0</v>
      </c>
      <c r="D330" s="187" t="s">
        <v>107</v>
      </c>
      <c r="E330" s="98">
        <v>0.33</v>
      </c>
      <c r="F330" s="98">
        <v>0.34</v>
      </c>
      <c r="G330" s="98">
        <v>0.34</v>
      </c>
      <c r="H330" s="189">
        <v>0.794</v>
      </c>
      <c r="I330" s="98">
        <v>-0.0149</v>
      </c>
      <c r="J330" s="98">
        <v>136.0</v>
      </c>
      <c r="K330" s="98">
        <v>1369.0</v>
      </c>
      <c r="L330" s="189">
        <v>-0.24710000000000001</v>
      </c>
    </row>
    <row r="331" ht="22.5" customHeight="1">
      <c r="A331" s="187" t="s">
        <v>60</v>
      </c>
      <c r="B331" s="188">
        <v>46059.0</v>
      </c>
      <c r="C331" s="187">
        <v>335.0</v>
      </c>
      <c r="D331" s="187" t="s">
        <v>107</v>
      </c>
      <c r="E331" s="98">
        <v>0.37</v>
      </c>
      <c r="F331" s="98">
        <v>0.38</v>
      </c>
      <c r="G331" s="98">
        <v>0.39</v>
      </c>
      <c r="H331" s="189">
        <v>0.7755</v>
      </c>
      <c r="I331" s="98">
        <v>-0.0174</v>
      </c>
      <c r="J331" s="98">
        <v>3.0</v>
      </c>
      <c r="K331" s="98">
        <v>419.0</v>
      </c>
      <c r="L331" s="189">
        <v>-0.2357</v>
      </c>
    </row>
    <row r="332" ht="22.5" customHeight="1">
      <c r="A332" s="187" t="s">
        <v>60</v>
      </c>
      <c r="B332" s="188">
        <v>46059.0</v>
      </c>
      <c r="C332" s="187">
        <v>340.0</v>
      </c>
      <c r="D332" s="187" t="s">
        <v>107</v>
      </c>
      <c r="E332" s="98">
        <v>0.42</v>
      </c>
      <c r="F332" s="98">
        <v>0.43</v>
      </c>
      <c r="G332" s="98">
        <v>0.44</v>
      </c>
      <c r="H332" s="189">
        <v>0.7505</v>
      </c>
      <c r="I332" s="98">
        <v>-0.0196</v>
      </c>
      <c r="J332" s="98">
        <v>36.0</v>
      </c>
      <c r="K332" s="98">
        <v>1464.0</v>
      </c>
      <c r="L332" s="189">
        <v>-0.2243</v>
      </c>
    </row>
    <row r="333" ht="22.5" customHeight="1">
      <c r="A333" s="187" t="s">
        <v>60</v>
      </c>
      <c r="B333" s="188">
        <v>46059.0</v>
      </c>
      <c r="C333" s="187">
        <v>342.5</v>
      </c>
      <c r="D333" s="187" t="s">
        <v>107</v>
      </c>
      <c r="E333" s="98">
        <v>0.45</v>
      </c>
      <c r="F333" s="98">
        <v>0.46</v>
      </c>
      <c r="G333" s="98">
        <v>0.47</v>
      </c>
      <c r="H333" s="189">
        <v>0.7401000000000001</v>
      </c>
      <c r="I333" s="98">
        <v>-0.021</v>
      </c>
      <c r="J333" s="98">
        <v>0.0</v>
      </c>
      <c r="K333" s="98">
        <v>25.0</v>
      </c>
      <c r="L333" s="189">
        <v>-0.2186</v>
      </c>
    </row>
    <row r="334" ht="22.5" customHeight="1">
      <c r="A334" s="187" t="s">
        <v>60</v>
      </c>
      <c r="B334" s="188">
        <v>46059.0</v>
      </c>
      <c r="C334" s="187">
        <v>345.0</v>
      </c>
      <c r="D334" s="187" t="s">
        <v>107</v>
      </c>
      <c r="E334" s="98">
        <v>0.48</v>
      </c>
      <c r="F334" s="98">
        <v>0.49</v>
      </c>
      <c r="G334" s="98">
        <v>0.5</v>
      </c>
      <c r="H334" s="189">
        <v>0.7293000000000001</v>
      </c>
      <c r="I334" s="98">
        <v>-0.0225</v>
      </c>
      <c r="J334" s="98">
        <v>11.0</v>
      </c>
      <c r="K334" s="98">
        <v>221.0</v>
      </c>
      <c r="L334" s="189">
        <v>-0.21289999999999998</v>
      </c>
    </row>
    <row r="335" ht="22.5" customHeight="1">
      <c r="A335" s="187" t="s">
        <v>60</v>
      </c>
      <c r="B335" s="188">
        <v>46059.0</v>
      </c>
      <c r="C335" s="187">
        <v>347.5</v>
      </c>
      <c r="D335" s="187" t="s">
        <v>107</v>
      </c>
      <c r="E335" s="98">
        <v>0.51</v>
      </c>
      <c r="F335" s="98">
        <v>0.53</v>
      </c>
      <c r="G335" s="98">
        <v>0.54</v>
      </c>
      <c r="H335" s="189">
        <v>0.7191</v>
      </c>
      <c r="I335" s="98">
        <v>-0.0243</v>
      </c>
      <c r="J335" s="98">
        <v>0.0</v>
      </c>
      <c r="K335" s="98">
        <v>6.0</v>
      </c>
      <c r="L335" s="189">
        <v>-0.2072</v>
      </c>
    </row>
    <row r="336" ht="22.5" customHeight="1">
      <c r="A336" s="187" t="s">
        <v>60</v>
      </c>
      <c r="B336" s="188">
        <v>46059.0</v>
      </c>
      <c r="C336" s="187">
        <v>350.0</v>
      </c>
      <c r="D336" s="187" t="s">
        <v>107</v>
      </c>
      <c r="E336" s="98">
        <v>0.55</v>
      </c>
      <c r="F336" s="98">
        <v>0.57</v>
      </c>
      <c r="G336" s="98">
        <v>0.58</v>
      </c>
      <c r="H336" s="189">
        <v>0.7094</v>
      </c>
      <c r="I336" s="98">
        <v>-0.0262</v>
      </c>
      <c r="J336" s="98">
        <v>275.0</v>
      </c>
      <c r="K336" s="98">
        <v>4308.0</v>
      </c>
      <c r="L336" s="189">
        <v>-0.20149999999999998</v>
      </c>
    </row>
    <row r="337" ht="22.5" customHeight="1">
      <c r="A337" s="187" t="s">
        <v>60</v>
      </c>
      <c r="B337" s="188">
        <v>46059.0</v>
      </c>
      <c r="C337" s="187">
        <v>352.5</v>
      </c>
      <c r="D337" s="187" t="s">
        <v>107</v>
      </c>
      <c r="E337" s="98">
        <v>0.6</v>
      </c>
      <c r="F337" s="98">
        <v>0.61</v>
      </c>
      <c r="G337" s="98">
        <v>0.62</v>
      </c>
      <c r="H337" s="189">
        <v>0.7001000000000001</v>
      </c>
      <c r="I337" s="98">
        <v>-0.0284</v>
      </c>
      <c r="J337" s="98">
        <v>0.0</v>
      </c>
      <c r="K337" s="98">
        <v>44.0</v>
      </c>
      <c r="L337" s="189">
        <v>-0.19579999999999997</v>
      </c>
    </row>
    <row r="338" ht="22.5" customHeight="1">
      <c r="A338" s="187" t="s">
        <v>60</v>
      </c>
      <c r="B338" s="188">
        <v>46059.0</v>
      </c>
      <c r="C338" s="187">
        <v>355.0</v>
      </c>
      <c r="D338" s="187" t="s">
        <v>107</v>
      </c>
      <c r="E338" s="98">
        <v>0.64</v>
      </c>
      <c r="F338" s="98">
        <v>0.66</v>
      </c>
      <c r="G338" s="98">
        <v>0.67</v>
      </c>
      <c r="H338" s="189">
        <v>0.6892</v>
      </c>
      <c r="I338" s="98">
        <v>-0.0304</v>
      </c>
      <c r="J338" s="98">
        <v>27.0</v>
      </c>
      <c r="K338" s="98">
        <v>386.0</v>
      </c>
      <c r="L338" s="189">
        <v>-0.19010000000000002</v>
      </c>
    </row>
    <row r="339" ht="22.5" customHeight="1">
      <c r="A339" s="187" t="s">
        <v>60</v>
      </c>
      <c r="B339" s="188">
        <v>46059.0</v>
      </c>
      <c r="C339" s="187">
        <v>357.5</v>
      </c>
      <c r="D339" s="187" t="s">
        <v>107</v>
      </c>
      <c r="E339" s="98">
        <v>0.69</v>
      </c>
      <c r="F339" s="98">
        <v>0.71</v>
      </c>
      <c r="G339" s="98">
        <v>0.72</v>
      </c>
      <c r="H339" s="189">
        <v>0.6804000000000001</v>
      </c>
      <c r="I339" s="98">
        <v>-0.033</v>
      </c>
      <c r="J339" s="98">
        <v>0.0</v>
      </c>
      <c r="K339" s="98">
        <v>4.0</v>
      </c>
      <c r="L339" s="189">
        <v>-0.1843</v>
      </c>
    </row>
    <row r="340" ht="22.5" customHeight="1">
      <c r="A340" s="187" t="s">
        <v>60</v>
      </c>
      <c r="B340" s="188">
        <v>46059.0</v>
      </c>
      <c r="C340" s="187">
        <v>360.0</v>
      </c>
      <c r="D340" s="187" t="s">
        <v>107</v>
      </c>
      <c r="E340" s="98">
        <v>0.75</v>
      </c>
      <c r="F340" s="98">
        <v>0.77</v>
      </c>
      <c r="G340" s="98">
        <v>0.78</v>
      </c>
      <c r="H340" s="189">
        <v>0.6717</v>
      </c>
      <c r="I340" s="98">
        <v>-0.0359</v>
      </c>
      <c r="J340" s="98">
        <v>76.0</v>
      </c>
      <c r="K340" s="98">
        <v>831.0</v>
      </c>
      <c r="L340" s="189">
        <v>-0.17859999999999998</v>
      </c>
    </row>
    <row r="341" ht="22.5" customHeight="1">
      <c r="A341" s="187" t="s">
        <v>60</v>
      </c>
      <c r="B341" s="188">
        <v>46059.0</v>
      </c>
      <c r="C341" s="187">
        <v>362.5</v>
      </c>
      <c r="D341" s="187" t="s">
        <v>107</v>
      </c>
      <c r="E341" s="98">
        <v>0.82</v>
      </c>
      <c r="F341" s="98">
        <v>0.84</v>
      </c>
      <c r="G341" s="98">
        <v>0.85</v>
      </c>
      <c r="H341" s="189">
        <v>0.6637000000000001</v>
      </c>
      <c r="I341" s="98">
        <v>-0.0392</v>
      </c>
      <c r="J341" s="98">
        <v>1.0</v>
      </c>
      <c r="K341" s="98">
        <v>18.0</v>
      </c>
      <c r="L341" s="189">
        <v>-0.1729</v>
      </c>
    </row>
    <row r="342" ht="22.5" customHeight="1">
      <c r="A342" s="187" t="s">
        <v>60</v>
      </c>
      <c r="B342" s="188">
        <v>46059.0</v>
      </c>
      <c r="C342" s="187">
        <v>365.0</v>
      </c>
      <c r="D342" s="187" t="s">
        <v>107</v>
      </c>
      <c r="E342" s="98">
        <v>0.89</v>
      </c>
      <c r="F342" s="98">
        <v>0.91</v>
      </c>
      <c r="G342" s="98">
        <v>0.92</v>
      </c>
      <c r="H342" s="189">
        <v>0.6548</v>
      </c>
      <c r="I342" s="98">
        <v>-0.0425</v>
      </c>
      <c r="J342" s="98">
        <v>38.0</v>
      </c>
      <c r="K342" s="98">
        <v>610.0</v>
      </c>
      <c r="L342" s="189">
        <v>-0.1672</v>
      </c>
    </row>
    <row r="343" ht="22.5" customHeight="1">
      <c r="A343" s="187" t="s">
        <v>60</v>
      </c>
      <c r="B343" s="188">
        <v>46059.0</v>
      </c>
      <c r="C343" s="187">
        <v>367.5</v>
      </c>
      <c r="D343" s="187" t="s">
        <v>107</v>
      </c>
      <c r="E343" s="98">
        <v>0.97</v>
      </c>
      <c r="F343" s="98">
        <v>0.99</v>
      </c>
      <c r="G343" s="98">
        <v>1.0</v>
      </c>
      <c r="H343" s="189">
        <v>0.6465000000000001</v>
      </c>
      <c r="I343" s="98">
        <v>-0.0462</v>
      </c>
      <c r="J343" s="98">
        <v>4.0</v>
      </c>
      <c r="K343" s="98">
        <v>165.0</v>
      </c>
      <c r="L343" s="189">
        <v>-0.16149999999999998</v>
      </c>
    </row>
    <row r="344" ht="22.5" customHeight="1">
      <c r="A344" s="187" t="s">
        <v>60</v>
      </c>
      <c r="B344" s="188">
        <v>46059.0</v>
      </c>
      <c r="C344" s="187">
        <v>370.0</v>
      </c>
      <c r="D344" s="187" t="s">
        <v>107</v>
      </c>
      <c r="E344" s="98">
        <v>1.06</v>
      </c>
      <c r="F344" s="98">
        <v>1.08</v>
      </c>
      <c r="G344" s="98">
        <v>1.09</v>
      </c>
      <c r="H344" s="189">
        <v>0.6385000000000001</v>
      </c>
      <c r="I344" s="98">
        <v>-0.0504</v>
      </c>
      <c r="J344" s="98">
        <v>74.0</v>
      </c>
      <c r="K344" s="98">
        <v>1112.0</v>
      </c>
      <c r="L344" s="189">
        <v>-0.1558</v>
      </c>
    </row>
    <row r="345" ht="22.5" customHeight="1">
      <c r="A345" s="187" t="s">
        <v>60</v>
      </c>
      <c r="B345" s="188">
        <v>46059.0</v>
      </c>
      <c r="C345" s="187">
        <v>372.5</v>
      </c>
      <c r="D345" s="187" t="s">
        <v>107</v>
      </c>
      <c r="E345" s="98">
        <v>1.17</v>
      </c>
      <c r="F345" s="98">
        <v>1.19</v>
      </c>
      <c r="G345" s="98">
        <v>1.2</v>
      </c>
      <c r="H345" s="189">
        <v>0.6319</v>
      </c>
      <c r="I345" s="98">
        <v>-0.0553</v>
      </c>
      <c r="J345" s="98">
        <v>6.0</v>
      </c>
      <c r="K345" s="98">
        <v>55.0</v>
      </c>
      <c r="L345" s="189">
        <v>-0.1501</v>
      </c>
    </row>
    <row r="346" ht="22.5" customHeight="1">
      <c r="A346" s="187" t="s">
        <v>60</v>
      </c>
      <c r="B346" s="188">
        <v>46059.0</v>
      </c>
      <c r="C346" s="187">
        <v>375.0</v>
      </c>
      <c r="D346" s="187" t="s">
        <v>107</v>
      </c>
      <c r="E346" s="98">
        <v>1.28</v>
      </c>
      <c r="F346" s="98">
        <v>1.29</v>
      </c>
      <c r="G346" s="98">
        <v>1.3</v>
      </c>
      <c r="H346" s="189">
        <v>0.6236</v>
      </c>
      <c r="I346" s="98">
        <v>-0.0602</v>
      </c>
      <c r="J346" s="98">
        <v>56.0</v>
      </c>
      <c r="K346" s="98">
        <v>833.0</v>
      </c>
      <c r="L346" s="189">
        <v>-0.1444</v>
      </c>
    </row>
    <row r="347" ht="22.5" customHeight="1">
      <c r="A347" s="187" t="s">
        <v>60</v>
      </c>
      <c r="B347" s="188">
        <v>46059.0</v>
      </c>
      <c r="C347" s="187">
        <v>377.5</v>
      </c>
      <c r="D347" s="187" t="s">
        <v>107</v>
      </c>
      <c r="E347" s="98">
        <v>1.41</v>
      </c>
      <c r="F347" s="98">
        <v>1.42</v>
      </c>
      <c r="G347" s="98">
        <v>1.44</v>
      </c>
      <c r="H347" s="189">
        <v>0.6174000000000001</v>
      </c>
      <c r="I347" s="98">
        <v>-0.066</v>
      </c>
      <c r="J347" s="98">
        <v>3.0</v>
      </c>
      <c r="K347" s="98">
        <v>30.0</v>
      </c>
      <c r="L347" s="189">
        <v>-0.1387</v>
      </c>
    </row>
    <row r="348" ht="22.5" customHeight="1">
      <c r="A348" s="187" t="s">
        <v>60</v>
      </c>
      <c r="B348" s="188">
        <v>46059.0</v>
      </c>
      <c r="C348" s="187">
        <v>380.0</v>
      </c>
      <c r="D348" s="187" t="s">
        <v>107</v>
      </c>
      <c r="E348" s="98">
        <v>1.55</v>
      </c>
      <c r="F348" s="98">
        <v>1.57</v>
      </c>
      <c r="G348" s="98">
        <v>1.58</v>
      </c>
      <c r="H348" s="189">
        <v>0.6109</v>
      </c>
      <c r="I348" s="98">
        <v>-0.0723</v>
      </c>
      <c r="J348" s="98">
        <v>236.0</v>
      </c>
      <c r="K348" s="98">
        <v>1470.0</v>
      </c>
      <c r="L348" s="189">
        <v>-0.133</v>
      </c>
    </row>
    <row r="349" ht="22.5" customHeight="1">
      <c r="A349" s="187" t="s">
        <v>60</v>
      </c>
      <c r="B349" s="188">
        <v>46059.0</v>
      </c>
      <c r="C349" s="187">
        <v>382.5</v>
      </c>
      <c r="D349" s="187" t="s">
        <v>107</v>
      </c>
      <c r="E349" s="98">
        <v>1.71</v>
      </c>
      <c r="F349" s="98">
        <v>1.73</v>
      </c>
      <c r="G349" s="98">
        <v>1.75</v>
      </c>
      <c r="H349" s="189">
        <v>0.6045</v>
      </c>
      <c r="I349" s="98">
        <v>-0.0792</v>
      </c>
      <c r="J349" s="98">
        <v>16.0</v>
      </c>
      <c r="K349" s="98">
        <v>52.0</v>
      </c>
      <c r="L349" s="189">
        <v>-0.1273</v>
      </c>
    </row>
    <row r="350" ht="22.5" customHeight="1">
      <c r="A350" s="187" t="s">
        <v>60</v>
      </c>
      <c r="B350" s="188">
        <v>46059.0</v>
      </c>
      <c r="C350" s="187">
        <v>385.0</v>
      </c>
      <c r="D350" s="187" t="s">
        <v>107</v>
      </c>
      <c r="E350" s="98">
        <v>1.9</v>
      </c>
      <c r="F350" s="98">
        <v>1.91</v>
      </c>
      <c r="G350" s="98">
        <v>1.92</v>
      </c>
      <c r="H350" s="189">
        <v>0.5985</v>
      </c>
      <c r="I350" s="98">
        <v>-0.0868</v>
      </c>
      <c r="J350" s="98">
        <v>57.0</v>
      </c>
      <c r="K350" s="98">
        <v>889.0</v>
      </c>
      <c r="L350" s="189">
        <v>-0.1216</v>
      </c>
    </row>
    <row r="351" ht="22.5" customHeight="1">
      <c r="A351" s="187" t="s">
        <v>60</v>
      </c>
      <c r="B351" s="188">
        <v>46059.0</v>
      </c>
      <c r="C351" s="187">
        <v>387.5</v>
      </c>
      <c r="D351" s="187" t="s">
        <v>107</v>
      </c>
      <c r="E351" s="98">
        <v>2.1</v>
      </c>
      <c r="F351" s="98">
        <v>2.12</v>
      </c>
      <c r="G351" s="98">
        <v>2.14</v>
      </c>
      <c r="H351" s="189">
        <v>0.5928</v>
      </c>
      <c r="I351" s="98">
        <v>-0.0951</v>
      </c>
      <c r="J351" s="98">
        <v>23.0</v>
      </c>
      <c r="K351" s="98">
        <v>201.0</v>
      </c>
      <c r="L351" s="189">
        <v>-0.1159</v>
      </c>
    </row>
    <row r="352" ht="22.5" customHeight="1">
      <c r="A352" s="187" t="s">
        <v>60</v>
      </c>
      <c r="B352" s="188">
        <v>46059.0</v>
      </c>
      <c r="C352" s="187">
        <v>390.0</v>
      </c>
      <c r="D352" s="187" t="s">
        <v>107</v>
      </c>
      <c r="E352" s="98">
        <v>2.33</v>
      </c>
      <c r="F352" s="98">
        <v>2.34</v>
      </c>
      <c r="G352" s="98">
        <v>2.36</v>
      </c>
      <c r="H352" s="189">
        <v>0.5881000000000001</v>
      </c>
      <c r="I352" s="98">
        <v>-0.1045</v>
      </c>
      <c r="J352" s="98">
        <v>42.0</v>
      </c>
      <c r="K352" s="98">
        <v>1322.0</v>
      </c>
      <c r="L352" s="189">
        <v>-0.11019999999999999</v>
      </c>
    </row>
    <row r="353" ht="22.5" customHeight="1">
      <c r="A353" s="187" t="s">
        <v>60</v>
      </c>
      <c r="B353" s="188">
        <v>46059.0</v>
      </c>
      <c r="C353" s="187">
        <v>392.5</v>
      </c>
      <c r="D353" s="187" t="s">
        <v>107</v>
      </c>
      <c r="E353" s="98">
        <v>2.58</v>
      </c>
      <c r="F353" s="98">
        <v>2.61</v>
      </c>
      <c r="G353" s="98">
        <v>2.63</v>
      </c>
      <c r="H353" s="189">
        <v>0.5832999999999999</v>
      </c>
      <c r="I353" s="98">
        <v>-0.1145</v>
      </c>
      <c r="J353" s="98">
        <v>13.0</v>
      </c>
      <c r="K353" s="98">
        <v>61.0</v>
      </c>
      <c r="L353" s="189">
        <v>-0.1045</v>
      </c>
    </row>
    <row r="354" ht="22.5" customHeight="1">
      <c r="A354" s="187" t="s">
        <v>60</v>
      </c>
      <c r="B354" s="188">
        <v>46059.0</v>
      </c>
      <c r="C354" s="187">
        <v>395.0</v>
      </c>
      <c r="D354" s="187" t="s">
        <v>107</v>
      </c>
      <c r="E354" s="98">
        <v>2.87</v>
      </c>
      <c r="F354" s="98">
        <v>2.89</v>
      </c>
      <c r="G354" s="98">
        <v>2.91</v>
      </c>
      <c r="H354" s="189">
        <v>0.5792</v>
      </c>
      <c r="I354" s="98">
        <v>-0.1256</v>
      </c>
      <c r="J354" s="98">
        <v>47.0</v>
      </c>
      <c r="K354" s="98">
        <v>919.0</v>
      </c>
      <c r="L354" s="189">
        <v>-0.09880000000000001</v>
      </c>
    </row>
    <row r="355" ht="22.5" customHeight="1">
      <c r="A355" s="187" t="s">
        <v>60</v>
      </c>
      <c r="B355" s="188">
        <v>46059.0</v>
      </c>
      <c r="C355" s="187">
        <v>397.5</v>
      </c>
      <c r="D355" s="187" t="s">
        <v>107</v>
      </c>
      <c r="E355" s="98">
        <v>3.15</v>
      </c>
      <c r="F355" s="98">
        <v>3.2</v>
      </c>
      <c r="G355" s="98">
        <v>3.25</v>
      </c>
      <c r="H355" s="189">
        <v>0.5776</v>
      </c>
      <c r="I355" s="98">
        <v>-0.1384</v>
      </c>
      <c r="J355" s="98">
        <v>33.0</v>
      </c>
      <c r="K355" s="98">
        <v>48.0</v>
      </c>
      <c r="L355" s="189">
        <v>-0.0931</v>
      </c>
    </row>
    <row r="356" ht="22.5" customHeight="1">
      <c r="A356" s="187" t="s">
        <v>60</v>
      </c>
      <c r="B356" s="188">
        <v>46059.0</v>
      </c>
      <c r="C356" s="187">
        <v>400.0</v>
      </c>
      <c r="D356" s="187" t="s">
        <v>107</v>
      </c>
      <c r="E356" s="98">
        <v>3.55</v>
      </c>
      <c r="F356" s="98">
        <v>3.58</v>
      </c>
      <c r="G356" s="98">
        <v>3.6</v>
      </c>
      <c r="H356" s="189">
        <v>0.5707</v>
      </c>
      <c r="I356" s="98">
        <v>-0.1501</v>
      </c>
      <c r="J356" s="98">
        <v>660.0</v>
      </c>
      <c r="K356" s="98">
        <v>3871.0</v>
      </c>
      <c r="L356" s="189">
        <v>-0.0874</v>
      </c>
    </row>
    <row r="357" ht="22.5" customHeight="1">
      <c r="A357" s="187" t="s">
        <v>60</v>
      </c>
      <c r="B357" s="188">
        <v>46059.0</v>
      </c>
      <c r="C357" s="187">
        <v>402.5</v>
      </c>
      <c r="D357" s="187" t="s">
        <v>107</v>
      </c>
      <c r="E357" s="98">
        <v>3.9</v>
      </c>
      <c r="F357" s="98">
        <v>3.95</v>
      </c>
      <c r="G357" s="98">
        <v>4.0</v>
      </c>
      <c r="H357" s="189">
        <v>0.5678</v>
      </c>
      <c r="I357" s="98">
        <v>-0.1641</v>
      </c>
      <c r="J357" s="98">
        <v>9.0</v>
      </c>
      <c r="K357" s="98">
        <v>82.0</v>
      </c>
      <c r="L357" s="189">
        <v>-0.0817</v>
      </c>
    </row>
    <row r="358" ht="22.5" customHeight="1">
      <c r="A358" s="187" t="s">
        <v>60</v>
      </c>
      <c r="B358" s="188">
        <v>46059.0</v>
      </c>
      <c r="C358" s="187">
        <v>405.0</v>
      </c>
      <c r="D358" s="187" t="s">
        <v>107</v>
      </c>
      <c r="E358" s="98">
        <v>4.35</v>
      </c>
      <c r="F358" s="98">
        <v>4.4</v>
      </c>
      <c r="G358" s="98">
        <v>4.45</v>
      </c>
      <c r="H358" s="189">
        <v>0.5655</v>
      </c>
      <c r="I358" s="98">
        <v>-0.1793</v>
      </c>
      <c r="J358" s="98">
        <v>115.0</v>
      </c>
      <c r="K358" s="98">
        <v>1335.0</v>
      </c>
      <c r="L358" s="189">
        <v>-0.076</v>
      </c>
    </row>
    <row r="359" ht="22.5" customHeight="1">
      <c r="A359" s="187" t="s">
        <v>60</v>
      </c>
      <c r="B359" s="188">
        <v>46059.0</v>
      </c>
      <c r="C359" s="187">
        <v>407.5</v>
      </c>
      <c r="D359" s="187" t="s">
        <v>107</v>
      </c>
      <c r="E359" s="98">
        <v>4.85</v>
      </c>
      <c r="F359" s="98">
        <v>4.9</v>
      </c>
      <c r="G359" s="98">
        <v>4.95</v>
      </c>
      <c r="H359" s="189">
        <v>0.5637</v>
      </c>
      <c r="I359" s="98">
        <v>-0.1955</v>
      </c>
      <c r="J359" s="98">
        <v>30.0</v>
      </c>
      <c r="K359" s="98">
        <v>63.0</v>
      </c>
      <c r="L359" s="189">
        <v>-0.0703</v>
      </c>
    </row>
    <row r="360" ht="22.5" customHeight="1">
      <c r="A360" s="187" t="s">
        <v>60</v>
      </c>
      <c r="B360" s="188">
        <v>46059.0</v>
      </c>
      <c r="C360" s="187">
        <v>410.0</v>
      </c>
      <c r="D360" s="187" t="s">
        <v>107</v>
      </c>
      <c r="E360" s="98">
        <v>5.35</v>
      </c>
      <c r="F360" s="98">
        <v>5.4</v>
      </c>
      <c r="G360" s="98">
        <v>5.45</v>
      </c>
      <c r="H360" s="189">
        <v>0.56</v>
      </c>
      <c r="I360" s="98">
        <v>-0.2119</v>
      </c>
      <c r="J360" s="98">
        <v>168.0</v>
      </c>
      <c r="K360" s="98">
        <v>1932.0</v>
      </c>
      <c r="L360" s="189">
        <v>-0.0646</v>
      </c>
    </row>
    <row r="361" ht="22.5" customHeight="1">
      <c r="A361" s="187" t="s">
        <v>60</v>
      </c>
      <c r="B361" s="188">
        <v>46059.0</v>
      </c>
      <c r="C361" s="187">
        <v>412.5</v>
      </c>
      <c r="D361" s="187" t="s">
        <v>107</v>
      </c>
      <c r="E361" s="98">
        <v>5.95</v>
      </c>
      <c r="F361" s="98">
        <v>6.0</v>
      </c>
      <c r="G361" s="98">
        <v>6.05</v>
      </c>
      <c r="H361" s="189">
        <v>0.5589</v>
      </c>
      <c r="I361" s="98">
        <v>-0.2301</v>
      </c>
      <c r="J361" s="98">
        <v>46.0</v>
      </c>
      <c r="K361" s="98">
        <v>167.0</v>
      </c>
      <c r="L361" s="189">
        <v>-0.058899999999999994</v>
      </c>
    </row>
    <row r="362" ht="22.5" customHeight="1">
      <c r="A362" s="187" t="s">
        <v>60</v>
      </c>
      <c r="B362" s="188">
        <v>46059.0</v>
      </c>
      <c r="C362" s="187">
        <v>415.0</v>
      </c>
      <c r="D362" s="187" t="s">
        <v>107</v>
      </c>
      <c r="E362" s="98">
        <v>6.6</v>
      </c>
      <c r="F362" s="98">
        <v>6.65</v>
      </c>
      <c r="G362" s="98">
        <v>6.7</v>
      </c>
      <c r="H362" s="189">
        <v>0.5586</v>
      </c>
      <c r="I362" s="98">
        <v>-0.2493</v>
      </c>
      <c r="J362" s="98">
        <v>149.0</v>
      </c>
      <c r="K362" s="98">
        <v>1413.0</v>
      </c>
      <c r="L362" s="189">
        <v>-0.053200000000000004</v>
      </c>
    </row>
    <row r="363" ht="22.5" customHeight="1">
      <c r="A363" s="187" t="s">
        <v>60</v>
      </c>
      <c r="B363" s="188">
        <v>46059.0</v>
      </c>
      <c r="C363" s="187">
        <v>417.5</v>
      </c>
      <c r="D363" s="187" t="s">
        <v>107</v>
      </c>
      <c r="E363" s="98">
        <v>7.25</v>
      </c>
      <c r="F363" s="98">
        <v>7.33</v>
      </c>
      <c r="G363" s="98">
        <v>7.4</v>
      </c>
      <c r="H363" s="189">
        <v>0.5587</v>
      </c>
      <c r="I363" s="98">
        <v>-0.2694</v>
      </c>
      <c r="J363" s="98">
        <v>87.0</v>
      </c>
      <c r="K363" s="98">
        <v>241.0</v>
      </c>
      <c r="L363" s="189">
        <v>-0.0475</v>
      </c>
    </row>
    <row r="364" ht="22.5" customHeight="1">
      <c r="A364" s="187" t="s">
        <v>60</v>
      </c>
      <c r="B364" s="188">
        <v>46059.0</v>
      </c>
      <c r="C364" s="187">
        <v>420.0</v>
      </c>
      <c r="D364" s="187" t="s">
        <v>107</v>
      </c>
      <c r="E364" s="98">
        <v>8.0</v>
      </c>
      <c r="F364" s="98">
        <v>8.05</v>
      </c>
      <c r="G364" s="98">
        <v>8.1</v>
      </c>
      <c r="H364" s="189">
        <v>0.5544</v>
      </c>
      <c r="I364" s="98">
        <v>-0.289</v>
      </c>
      <c r="J364" s="98">
        <v>297.0</v>
      </c>
      <c r="K364" s="98">
        <v>2797.0</v>
      </c>
      <c r="L364" s="189">
        <v>-0.0418</v>
      </c>
    </row>
    <row r="365" ht="22.5" customHeight="1">
      <c r="A365" s="187" t="s">
        <v>60</v>
      </c>
      <c r="B365" s="188">
        <v>46059.0</v>
      </c>
      <c r="C365" s="187">
        <v>422.5</v>
      </c>
      <c r="D365" s="187" t="s">
        <v>107</v>
      </c>
      <c r="E365" s="98">
        <v>8.8</v>
      </c>
      <c r="F365" s="98">
        <v>8.88</v>
      </c>
      <c r="G365" s="98">
        <v>8.95</v>
      </c>
      <c r="H365" s="189">
        <v>0.555</v>
      </c>
      <c r="I365" s="98">
        <v>-0.3106</v>
      </c>
      <c r="J365" s="98">
        <v>67.0</v>
      </c>
      <c r="K365" s="98">
        <v>211.0</v>
      </c>
      <c r="L365" s="189">
        <v>-0.036000000000000004</v>
      </c>
    </row>
    <row r="366" ht="22.5" customHeight="1">
      <c r="A366" s="187" t="s">
        <v>60</v>
      </c>
      <c r="B366" s="188">
        <v>46059.0</v>
      </c>
      <c r="C366" s="187">
        <v>425.0</v>
      </c>
      <c r="D366" s="187" t="s">
        <v>107</v>
      </c>
      <c r="E366" s="98">
        <v>9.7</v>
      </c>
      <c r="F366" s="98">
        <v>9.75</v>
      </c>
      <c r="G366" s="98">
        <v>9.8</v>
      </c>
      <c r="H366" s="189">
        <v>0.5528</v>
      </c>
      <c r="I366" s="98">
        <v>-0.3321</v>
      </c>
      <c r="J366" s="98">
        <v>192.0</v>
      </c>
      <c r="K366" s="98">
        <v>1372.0</v>
      </c>
      <c r="L366" s="189">
        <v>-0.030299999999999997</v>
      </c>
    </row>
    <row r="367" ht="22.5" customHeight="1">
      <c r="A367" s="187" t="s">
        <v>60</v>
      </c>
      <c r="B367" s="188">
        <v>46059.0</v>
      </c>
      <c r="C367" s="187">
        <v>427.5</v>
      </c>
      <c r="D367" s="187" t="s">
        <v>107</v>
      </c>
      <c r="E367" s="98">
        <v>10.6</v>
      </c>
      <c r="F367" s="98">
        <v>10.65</v>
      </c>
      <c r="G367" s="98">
        <v>10.7</v>
      </c>
      <c r="H367" s="189">
        <v>0.5511</v>
      </c>
      <c r="I367" s="98">
        <v>-0.3542</v>
      </c>
      <c r="J367" s="98">
        <v>112.0</v>
      </c>
      <c r="K367" s="98">
        <v>267.0</v>
      </c>
      <c r="L367" s="189">
        <v>-0.0246</v>
      </c>
    </row>
    <row r="368" ht="22.5" customHeight="1">
      <c r="A368" s="187" t="s">
        <v>60</v>
      </c>
      <c r="B368" s="188">
        <v>46059.0</v>
      </c>
      <c r="C368" s="187">
        <v>430.0</v>
      </c>
      <c r="D368" s="187" t="s">
        <v>107</v>
      </c>
      <c r="E368" s="98">
        <v>11.55</v>
      </c>
      <c r="F368" s="98">
        <v>11.63</v>
      </c>
      <c r="G368" s="98">
        <v>11.7</v>
      </c>
      <c r="H368" s="189">
        <v>0.5489</v>
      </c>
      <c r="I368" s="98">
        <v>-0.3769</v>
      </c>
      <c r="J368" s="98">
        <v>293.0</v>
      </c>
      <c r="K368" s="98">
        <v>1874.0</v>
      </c>
      <c r="L368" s="189">
        <v>-0.0189</v>
      </c>
    </row>
    <row r="369" ht="22.5" customHeight="1">
      <c r="A369" s="187" t="s">
        <v>60</v>
      </c>
      <c r="B369" s="188">
        <v>46059.0</v>
      </c>
      <c r="C369" s="187">
        <v>432.5</v>
      </c>
      <c r="D369" s="187" t="s">
        <v>107</v>
      </c>
      <c r="E369" s="98">
        <v>12.6</v>
      </c>
      <c r="F369" s="98">
        <v>12.68</v>
      </c>
      <c r="G369" s="98">
        <v>12.75</v>
      </c>
      <c r="H369" s="189">
        <v>0.5497</v>
      </c>
      <c r="I369" s="98">
        <v>-0.4003</v>
      </c>
      <c r="J369" s="98">
        <v>129.0</v>
      </c>
      <c r="K369" s="98">
        <v>732.0</v>
      </c>
      <c r="L369" s="189">
        <v>-0.0132</v>
      </c>
    </row>
    <row r="370" ht="22.5" customHeight="1">
      <c r="A370" s="187" t="s">
        <v>60</v>
      </c>
      <c r="B370" s="188">
        <v>46059.0</v>
      </c>
      <c r="C370" s="187">
        <v>435.0</v>
      </c>
      <c r="D370" s="187" t="s">
        <v>107</v>
      </c>
      <c r="E370" s="98">
        <v>13.7</v>
      </c>
      <c r="F370" s="98">
        <v>13.77</v>
      </c>
      <c r="G370" s="98">
        <v>13.85</v>
      </c>
      <c r="H370" s="189">
        <v>0.5489</v>
      </c>
      <c r="I370" s="98">
        <v>-0.4238</v>
      </c>
      <c r="J370" s="98">
        <v>301.0</v>
      </c>
      <c r="K370" s="98">
        <v>1549.0</v>
      </c>
      <c r="L370" s="189">
        <v>-0.0075</v>
      </c>
    </row>
    <row r="371" ht="22.5" customHeight="1">
      <c r="A371" s="187" t="s">
        <v>60</v>
      </c>
      <c r="B371" s="188">
        <v>46059.0</v>
      </c>
      <c r="C371" s="187">
        <v>437.5</v>
      </c>
      <c r="D371" s="187" t="s">
        <v>107</v>
      </c>
      <c r="E371" s="98">
        <v>14.9</v>
      </c>
      <c r="F371" s="98">
        <v>14.95</v>
      </c>
      <c r="G371" s="98">
        <v>15.0</v>
      </c>
      <c r="H371" s="189">
        <v>0.5487</v>
      </c>
      <c r="I371" s="98">
        <v>-0.4475</v>
      </c>
      <c r="J371" s="98">
        <v>96.0</v>
      </c>
      <c r="K371" s="98">
        <v>190.0</v>
      </c>
      <c r="L371" s="189">
        <v>-0.0018</v>
      </c>
    </row>
    <row r="372" ht="22.5" customHeight="1">
      <c r="A372" s="187" t="s">
        <v>60</v>
      </c>
      <c r="B372" s="188">
        <v>46059.0</v>
      </c>
      <c r="C372" s="187">
        <v>440.0</v>
      </c>
      <c r="D372" s="187" t="s">
        <v>107</v>
      </c>
      <c r="E372" s="98">
        <v>16.1</v>
      </c>
      <c r="F372" s="98">
        <v>16.18</v>
      </c>
      <c r="G372" s="98">
        <v>16.25</v>
      </c>
      <c r="H372" s="189">
        <v>0.5499</v>
      </c>
      <c r="I372" s="98">
        <v>-0.4713</v>
      </c>
      <c r="J372" s="98">
        <v>430.0</v>
      </c>
      <c r="K372" s="98">
        <v>1980.0</v>
      </c>
      <c r="L372" s="189">
        <v>0.0039000000000000003</v>
      </c>
    </row>
    <row r="373" ht="22.5" customHeight="1">
      <c r="A373" s="187" t="s">
        <v>60</v>
      </c>
      <c r="B373" s="188">
        <v>46059.0</v>
      </c>
      <c r="C373" s="187">
        <v>442.5</v>
      </c>
      <c r="D373" s="187" t="s">
        <v>107</v>
      </c>
      <c r="E373" s="98">
        <v>17.4</v>
      </c>
      <c r="F373" s="98">
        <v>17.48</v>
      </c>
      <c r="G373" s="98">
        <v>17.55</v>
      </c>
      <c r="H373" s="189">
        <v>0.5489</v>
      </c>
      <c r="I373" s="98">
        <v>-0.4951</v>
      </c>
      <c r="J373" s="98">
        <v>216.0</v>
      </c>
      <c r="K373" s="98">
        <v>189.0</v>
      </c>
      <c r="L373" s="189">
        <v>0.0096</v>
      </c>
    </row>
    <row r="374" ht="22.5" customHeight="1">
      <c r="A374" s="187" t="s">
        <v>60</v>
      </c>
      <c r="B374" s="188">
        <v>46059.0</v>
      </c>
      <c r="C374" s="187">
        <v>445.0</v>
      </c>
      <c r="D374" s="187" t="s">
        <v>107</v>
      </c>
      <c r="E374" s="98">
        <v>18.75</v>
      </c>
      <c r="F374" s="98">
        <v>18.83</v>
      </c>
      <c r="G374" s="98">
        <v>18.9</v>
      </c>
      <c r="H374" s="189">
        <v>0.5477000000000001</v>
      </c>
      <c r="I374" s="98">
        <v>-0.5189</v>
      </c>
      <c r="J374" s="98">
        <v>455.0</v>
      </c>
      <c r="K374" s="98">
        <v>2282.0</v>
      </c>
      <c r="L374" s="189">
        <v>0.015300000000000001</v>
      </c>
    </row>
    <row r="375" ht="22.5" customHeight="1">
      <c r="A375" s="187" t="s">
        <v>60</v>
      </c>
      <c r="B375" s="188">
        <v>46059.0</v>
      </c>
      <c r="C375" s="187">
        <v>447.5</v>
      </c>
      <c r="D375" s="187" t="s">
        <v>107</v>
      </c>
      <c r="E375" s="98">
        <v>20.2</v>
      </c>
      <c r="F375" s="98">
        <v>20.25</v>
      </c>
      <c r="G375" s="98">
        <v>20.3</v>
      </c>
      <c r="H375" s="189">
        <v>0.5462</v>
      </c>
      <c r="I375" s="98">
        <v>-0.5426</v>
      </c>
      <c r="J375" s="98">
        <v>235.0</v>
      </c>
      <c r="K375" s="98">
        <v>327.0</v>
      </c>
      <c r="L375" s="189">
        <v>0.021</v>
      </c>
    </row>
    <row r="376" ht="22.5" customHeight="1">
      <c r="A376" s="187" t="s">
        <v>60</v>
      </c>
      <c r="B376" s="188">
        <v>46059.0</v>
      </c>
      <c r="C376" s="187">
        <v>450.0</v>
      </c>
      <c r="D376" s="187" t="s">
        <v>107</v>
      </c>
      <c r="E376" s="98">
        <v>21.65</v>
      </c>
      <c r="F376" s="98">
        <v>21.73</v>
      </c>
      <c r="G376" s="98">
        <v>21.8</v>
      </c>
      <c r="H376" s="189">
        <v>0.5478000000000001</v>
      </c>
      <c r="I376" s="98">
        <v>-0.5656</v>
      </c>
      <c r="J376" s="98">
        <v>1432.0</v>
      </c>
      <c r="K376" s="98">
        <v>1610.0</v>
      </c>
      <c r="L376" s="189">
        <v>0.026699999999999998</v>
      </c>
    </row>
    <row r="377" ht="22.5" customHeight="1">
      <c r="A377" s="187" t="s">
        <v>60</v>
      </c>
      <c r="B377" s="188">
        <v>46059.0</v>
      </c>
      <c r="C377" s="187">
        <v>452.5</v>
      </c>
      <c r="D377" s="187" t="s">
        <v>107</v>
      </c>
      <c r="E377" s="98">
        <v>23.2</v>
      </c>
      <c r="F377" s="98">
        <v>23.28</v>
      </c>
      <c r="G377" s="98">
        <v>23.35</v>
      </c>
      <c r="H377" s="189">
        <v>0.5492</v>
      </c>
      <c r="I377" s="98">
        <v>-0.5882</v>
      </c>
      <c r="J377" s="98">
        <v>638.0</v>
      </c>
      <c r="K377" s="98">
        <v>178.0</v>
      </c>
      <c r="L377" s="189">
        <v>0.032400000000000005</v>
      </c>
    </row>
    <row r="378" ht="22.5" customHeight="1">
      <c r="A378" s="187" t="s">
        <v>60</v>
      </c>
      <c r="B378" s="188">
        <v>46059.0</v>
      </c>
      <c r="C378" s="187">
        <v>455.0</v>
      </c>
      <c r="D378" s="187" t="s">
        <v>107</v>
      </c>
      <c r="E378" s="98">
        <v>24.75</v>
      </c>
      <c r="F378" s="98">
        <v>24.83</v>
      </c>
      <c r="G378" s="98">
        <v>24.9</v>
      </c>
      <c r="H378" s="189">
        <v>0.547</v>
      </c>
      <c r="I378" s="98">
        <v>-0.6112</v>
      </c>
      <c r="J378" s="98">
        <v>81.0</v>
      </c>
      <c r="K378" s="98">
        <v>402.0</v>
      </c>
      <c r="L378" s="189">
        <v>0.0381</v>
      </c>
    </row>
    <row r="379" ht="22.5" customHeight="1">
      <c r="A379" s="187" t="s">
        <v>60</v>
      </c>
      <c r="B379" s="188">
        <v>46059.0</v>
      </c>
      <c r="C379" s="187">
        <v>457.5</v>
      </c>
      <c r="D379" s="187" t="s">
        <v>107</v>
      </c>
      <c r="E379" s="98">
        <v>26.4</v>
      </c>
      <c r="F379" s="98">
        <v>26.48</v>
      </c>
      <c r="G379" s="98">
        <v>26.55</v>
      </c>
      <c r="H379" s="189">
        <v>0.5464</v>
      </c>
      <c r="I379" s="98">
        <v>-0.6334</v>
      </c>
      <c r="J379" s="98">
        <v>77.0</v>
      </c>
      <c r="K379" s="98">
        <v>186.0</v>
      </c>
      <c r="L379" s="189">
        <v>0.0438</v>
      </c>
    </row>
    <row r="380" ht="22.5" customHeight="1">
      <c r="A380" s="187" t="s">
        <v>60</v>
      </c>
      <c r="B380" s="188">
        <v>46059.0</v>
      </c>
      <c r="C380" s="187">
        <v>460.0</v>
      </c>
      <c r="D380" s="187" t="s">
        <v>107</v>
      </c>
      <c r="E380" s="98">
        <v>28.1</v>
      </c>
      <c r="F380" s="98">
        <v>28.18</v>
      </c>
      <c r="G380" s="98">
        <v>28.25</v>
      </c>
      <c r="H380" s="189">
        <v>0.5475</v>
      </c>
      <c r="I380" s="98">
        <v>-0.6546</v>
      </c>
      <c r="J380" s="98">
        <v>72.0</v>
      </c>
      <c r="K380" s="98">
        <v>515.0</v>
      </c>
      <c r="L380" s="189">
        <v>0.0495</v>
      </c>
    </row>
    <row r="381" ht="22.5" customHeight="1">
      <c r="A381" s="187" t="s">
        <v>60</v>
      </c>
      <c r="B381" s="188">
        <v>46059.0</v>
      </c>
      <c r="C381" s="187">
        <v>462.5</v>
      </c>
      <c r="D381" s="187" t="s">
        <v>107</v>
      </c>
      <c r="E381" s="98">
        <v>29.85</v>
      </c>
      <c r="F381" s="98">
        <v>29.95</v>
      </c>
      <c r="G381" s="98">
        <v>30.05</v>
      </c>
      <c r="H381" s="189">
        <v>0.5485</v>
      </c>
      <c r="I381" s="98">
        <v>-0.6752</v>
      </c>
      <c r="J381" s="98">
        <v>47.0</v>
      </c>
      <c r="K381" s="98">
        <v>46.0</v>
      </c>
      <c r="L381" s="189">
        <v>0.0552</v>
      </c>
    </row>
    <row r="382" ht="22.5" customHeight="1">
      <c r="A382" s="187" t="s">
        <v>60</v>
      </c>
      <c r="B382" s="188">
        <v>46059.0</v>
      </c>
      <c r="C382" s="187">
        <v>465.0</v>
      </c>
      <c r="D382" s="187" t="s">
        <v>107</v>
      </c>
      <c r="E382" s="98">
        <v>31.65</v>
      </c>
      <c r="F382" s="98">
        <v>31.75</v>
      </c>
      <c r="G382" s="98">
        <v>31.85</v>
      </c>
      <c r="H382" s="189">
        <v>0.5487</v>
      </c>
      <c r="I382" s="98">
        <v>-0.6954</v>
      </c>
      <c r="J382" s="98">
        <v>55.0</v>
      </c>
      <c r="K382" s="98">
        <v>354.0</v>
      </c>
      <c r="L382" s="189">
        <v>0.060899999999999996</v>
      </c>
    </row>
    <row r="383" ht="22.5" customHeight="1">
      <c r="A383" s="187" t="s">
        <v>60</v>
      </c>
      <c r="B383" s="188">
        <v>46059.0</v>
      </c>
      <c r="C383" s="187">
        <v>467.5</v>
      </c>
      <c r="D383" s="187" t="s">
        <v>107</v>
      </c>
      <c r="E383" s="98">
        <v>33.5</v>
      </c>
      <c r="F383" s="98">
        <v>33.6</v>
      </c>
      <c r="G383" s="98">
        <v>33.7</v>
      </c>
      <c r="H383" s="189">
        <v>0.5490999999999999</v>
      </c>
      <c r="I383" s="98">
        <v>-0.7148</v>
      </c>
      <c r="J383" s="98">
        <v>22.0</v>
      </c>
      <c r="K383" s="98">
        <v>44.0</v>
      </c>
      <c r="L383" s="189">
        <v>0.0666</v>
      </c>
    </row>
    <row r="384" ht="22.5" customHeight="1">
      <c r="A384" s="187" t="s">
        <v>60</v>
      </c>
      <c r="B384" s="188">
        <v>46059.0</v>
      </c>
      <c r="C384" s="187">
        <v>470.0</v>
      </c>
      <c r="D384" s="187" t="s">
        <v>107</v>
      </c>
      <c r="E384" s="98">
        <v>35.4</v>
      </c>
      <c r="F384" s="98">
        <v>35.5</v>
      </c>
      <c r="G384" s="98">
        <v>35.6</v>
      </c>
      <c r="H384" s="189">
        <v>0.5496</v>
      </c>
      <c r="I384" s="98">
        <v>-0.7334</v>
      </c>
      <c r="J384" s="98">
        <v>36.0</v>
      </c>
      <c r="K384" s="98">
        <v>322.0</v>
      </c>
      <c r="L384" s="189">
        <v>0.0723</v>
      </c>
    </row>
    <row r="385" ht="22.5" customHeight="1">
      <c r="A385" s="187" t="s">
        <v>60</v>
      </c>
      <c r="B385" s="188">
        <v>46059.0</v>
      </c>
      <c r="C385" s="187">
        <v>472.5</v>
      </c>
      <c r="D385" s="187" t="s">
        <v>107</v>
      </c>
      <c r="E385" s="98">
        <v>37.35</v>
      </c>
      <c r="F385" s="98">
        <v>37.45</v>
      </c>
      <c r="G385" s="98">
        <v>37.55</v>
      </c>
      <c r="H385" s="189">
        <v>0.5484</v>
      </c>
      <c r="I385" s="98">
        <v>-0.752</v>
      </c>
      <c r="J385" s="98">
        <v>178.0</v>
      </c>
      <c r="K385" s="98">
        <v>68.0</v>
      </c>
      <c r="L385" s="189">
        <v>0.078</v>
      </c>
    </row>
    <row r="386" ht="22.5" customHeight="1">
      <c r="A386" s="187" t="s">
        <v>60</v>
      </c>
      <c r="B386" s="188">
        <v>46059.0</v>
      </c>
      <c r="C386" s="187">
        <v>475.0</v>
      </c>
      <c r="D386" s="187" t="s">
        <v>107</v>
      </c>
      <c r="E386" s="98">
        <v>39.35</v>
      </c>
      <c r="F386" s="98">
        <v>39.45</v>
      </c>
      <c r="G386" s="98">
        <v>39.55</v>
      </c>
      <c r="H386" s="189">
        <v>0.5496</v>
      </c>
      <c r="I386" s="98">
        <v>-0.769</v>
      </c>
      <c r="J386" s="98">
        <v>74.0</v>
      </c>
      <c r="K386" s="98">
        <v>209.0</v>
      </c>
      <c r="L386" s="189">
        <v>0.0837</v>
      </c>
    </row>
    <row r="387" ht="22.5" customHeight="1">
      <c r="A387" s="187" t="s">
        <v>60</v>
      </c>
      <c r="B387" s="188">
        <v>46059.0</v>
      </c>
      <c r="C387" s="187">
        <v>477.5</v>
      </c>
      <c r="D387" s="187" t="s">
        <v>107</v>
      </c>
      <c r="E387" s="98">
        <v>41.35</v>
      </c>
      <c r="F387" s="98">
        <v>41.48</v>
      </c>
      <c r="G387" s="98">
        <v>41.6</v>
      </c>
      <c r="H387" s="189">
        <v>0.5525</v>
      </c>
      <c r="I387" s="98">
        <v>-0.7842</v>
      </c>
      <c r="J387" s="98">
        <v>164.0</v>
      </c>
      <c r="K387" s="98">
        <v>67.0</v>
      </c>
      <c r="L387" s="189">
        <v>0.0894</v>
      </c>
    </row>
    <row r="388" ht="22.5" customHeight="1">
      <c r="A388" s="187" t="s">
        <v>60</v>
      </c>
      <c r="B388" s="188">
        <v>46059.0</v>
      </c>
      <c r="C388" s="187">
        <v>480.0</v>
      </c>
      <c r="D388" s="187" t="s">
        <v>107</v>
      </c>
      <c r="E388" s="98">
        <v>43.4</v>
      </c>
      <c r="F388" s="98">
        <v>43.58</v>
      </c>
      <c r="G388" s="98">
        <v>43.75</v>
      </c>
      <c r="H388" s="189">
        <v>0.5609000000000001</v>
      </c>
      <c r="I388" s="98">
        <v>-0.796</v>
      </c>
      <c r="J388" s="98">
        <v>329.0</v>
      </c>
      <c r="K388" s="98">
        <v>428.0</v>
      </c>
      <c r="L388" s="189">
        <v>0.0951</v>
      </c>
    </row>
    <row r="389" ht="22.5" customHeight="1">
      <c r="A389" s="187" t="s">
        <v>60</v>
      </c>
      <c r="B389" s="188">
        <v>46059.0</v>
      </c>
      <c r="C389" s="187">
        <v>482.5</v>
      </c>
      <c r="D389" s="187" t="s">
        <v>107</v>
      </c>
      <c r="E389" s="98">
        <v>44.85</v>
      </c>
      <c r="F389" s="98">
        <v>45.63</v>
      </c>
      <c r="G389" s="98">
        <v>46.4</v>
      </c>
      <c r="H389" s="189">
        <v>0.5538000000000001</v>
      </c>
      <c r="I389" s="98">
        <v>-0.8144</v>
      </c>
      <c r="J389" s="98">
        <v>8.0</v>
      </c>
      <c r="K389" s="98">
        <v>38.0</v>
      </c>
      <c r="L389" s="189">
        <v>0.1008</v>
      </c>
    </row>
    <row r="390" ht="22.5" customHeight="1">
      <c r="A390" s="187" t="s">
        <v>60</v>
      </c>
      <c r="B390" s="188">
        <v>46059.0</v>
      </c>
      <c r="C390" s="187">
        <v>485.0</v>
      </c>
      <c r="D390" s="187" t="s">
        <v>107</v>
      </c>
      <c r="E390" s="98">
        <v>47.65</v>
      </c>
      <c r="F390" s="98">
        <v>47.78</v>
      </c>
      <c r="G390" s="98">
        <v>47.9</v>
      </c>
      <c r="H390" s="189">
        <v>0.5557</v>
      </c>
      <c r="I390" s="98">
        <v>-0.8278</v>
      </c>
      <c r="J390" s="98">
        <v>324.0</v>
      </c>
      <c r="K390" s="98">
        <v>485.0</v>
      </c>
      <c r="L390" s="189">
        <v>0.1065</v>
      </c>
    </row>
    <row r="391" ht="22.5" customHeight="1">
      <c r="A391" s="187" t="s">
        <v>60</v>
      </c>
      <c r="B391" s="188">
        <v>46059.0</v>
      </c>
      <c r="C391" s="187">
        <v>487.5</v>
      </c>
      <c r="D391" s="187" t="s">
        <v>107</v>
      </c>
      <c r="E391" s="98">
        <v>49.05</v>
      </c>
      <c r="F391" s="98">
        <v>49.9</v>
      </c>
      <c r="G391" s="98">
        <v>50.75</v>
      </c>
      <c r="H391" s="189">
        <v>0.5548</v>
      </c>
      <c r="I391" s="98">
        <v>-0.8418</v>
      </c>
      <c r="J391" s="98">
        <v>0.0</v>
      </c>
      <c r="K391" s="98">
        <v>1.0</v>
      </c>
      <c r="L391" s="189">
        <v>0.11230000000000001</v>
      </c>
    </row>
    <row r="392" ht="22.5" customHeight="1">
      <c r="A392" s="187" t="s">
        <v>60</v>
      </c>
      <c r="B392" s="188">
        <v>46059.0</v>
      </c>
      <c r="C392" s="187">
        <v>490.0</v>
      </c>
      <c r="D392" s="187" t="s">
        <v>107</v>
      </c>
      <c r="E392" s="98">
        <v>52.0</v>
      </c>
      <c r="F392" s="98">
        <v>52.15</v>
      </c>
      <c r="G392" s="98">
        <v>52.3</v>
      </c>
      <c r="H392" s="189">
        <v>0.5592</v>
      </c>
      <c r="I392" s="98">
        <v>-0.8525</v>
      </c>
      <c r="J392" s="98">
        <v>8.0</v>
      </c>
      <c r="K392" s="98">
        <v>61.0</v>
      </c>
      <c r="L392" s="189">
        <v>0.11800000000000001</v>
      </c>
    </row>
    <row r="393" ht="22.5" customHeight="1">
      <c r="A393" s="187" t="s">
        <v>60</v>
      </c>
      <c r="B393" s="188">
        <v>46059.0</v>
      </c>
      <c r="C393" s="187">
        <v>492.5</v>
      </c>
      <c r="D393" s="187" t="s">
        <v>107</v>
      </c>
      <c r="E393" s="98">
        <v>53.4</v>
      </c>
      <c r="F393" s="98">
        <v>54.3</v>
      </c>
      <c r="G393" s="98">
        <v>55.2</v>
      </c>
      <c r="H393" s="189">
        <v>0.5564</v>
      </c>
      <c r="I393" s="98">
        <v>-0.8659</v>
      </c>
      <c r="J393" s="98">
        <v>0.0</v>
      </c>
      <c r="K393" s="98">
        <v>4.0</v>
      </c>
      <c r="L393" s="189">
        <v>0.12369999999999999</v>
      </c>
    </row>
    <row r="394" ht="22.5" customHeight="1">
      <c r="A394" s="187" t="s">
        <v>60</v>
      </c>
      <c r="B394" s="188">
        <v>46059.0</v>
      </c>
      <c r="C394" s="187">
        <v>495.0</v>
      </c>
      <c r="D394" s="187" t="s">
        <v>107</v>
      </c>
      <c r="E394" s="98">
        <v>55.75</v>
      </c>
      <c r="F394" s="98">
        <v>56.63</v>
      </c>
      <c r="G394" s="98">
        <v>57.5</v>
      </c>
      <c r="H394" s="189">
        <v>0.5972</v>
      </c>
      <c r="I394" s="98">
        <v>-0.8584</v>
      </c>
      <c r="J394" s="98">
        <v>4.0</v>
      </c>
      <c r="K394" s="98">
        <v>81.0</v>
      </c>
      <c r="L394" s="189">
        <v>0.1294</v>
      </c>
    </row>
    <row r="395" ht="22.5" customHeight="1">
      <c r="A395" s="187" t="s">
        <v>60</v>
      </c>
      <c r="B395" s="188">
        <v>46059.0</v>
      </c>
      <c r="C395" s="187">
        <v>497.5</v>
      </c>
      <c r="D395" s="187" t="s">
        <v>107</v>
      </c>
      <c r="E395" s="98">
        <v>58.35</v>
      </c>
      <c r="F395" s="98">
        <v>59.08</v>
      </c>
      <c r="G395" s="98">
        <v>59.8</v>
      </c>
      <c r="H395" s="189">
        <v>0.5765</v>
      </c>
      <c r="I395" s="98">
        <v>-0.8786</v>
      </c>
      <c r="J395" s="98">
        <v>0.0</v>
      </c>
      <c r="K395" s="98">
        <v>9.0</v>
      </c>
      <c r="L395" s="189">
        <v>0.1351</v>
      </c>
    </row>
    <row r="396" ht="22.5" customHeight="1">
      <c r="A396" s="187" t="s">
        <v>60</v>
      </c>
      <c r="B396" s="188">
        <v>46059.0</v>
      </c>
      <c r="C396" s="187">
        <v>500.0</v>
      </c>
      <c r="D396" s="187" t="s">
        <v>107</v>
      </c>
      <c r="E396" s="98">
        <v>60.15</v>
      </c>
      <c r="F396" s="98">
        <v>61.15</v>
      </c>
      <c r="G396" s="98">
        <v>62.15</v>
      </c>
      <c r="H396" s="189">
        <v>0.564</v>
      </c>
      <c r="I396" s="98">
        <v>-0.8942</v>
      </c>
      <c r="J396" s="98">
        <v>1.0</v>
      </c>
      <c r="K396" s="98">
        <v>167.0</v>
      </c>
      <c r="L396" s="189">
        <v>0.1408</v>
      </c>
    </row>
    <row r="397" ht="22.5" customHeight="1">
      <c r="A397" s="187" t="s">
        <v>60</v>
      </c>
      <c r="B397" s="188">
        <v>46059.0</v>
      </c>
      <c r="C397" s="187">
        <v>502.5</v>
      </c>
      <c r="D397" s="187" t="s">
        <v>107</v>
      </c>
      <c r="E397" s="98">
        <v>62.45</v>
      </c>
      <c r="F397" s="98">
        <v>63.4</v>
      </c>
      <c r="G397" s="98">
        <v>64.35</v>
      </c>
      <c r="H397" s="189">
        <v>0.5611999999999999</v>
      </c>
      <c r="I397" s="98">
        <v>-0.9053</v>
      </c>
      <c r="J397" s="98">
        <v>1.0</v>
      </c>
      <c r="K397" s="98">
        <v>1.0</v>
      </c>
      <c r="L397" s="189">
        <v>0.1465</v>
      </c>
    </row>
    <row r="398" ht="22.5" customHeight="1">
      <c r="A398" s="187" t="s">
        <v>60</v>
      </c>
      <c r="B398" s="188">
        <v>46059.0</v>
      </c>
      <c r="C398" s="187">
        <v>505.0</v>
      </c>
      <c r="D398" s="187" t="s">
        <v>107</v>
      </c>
      <c r="E398" s="98">
        <v>65.35</v>
      </c>
      <c r="F398" s="98">
        <v>66.05</v>
      </c>
      <c r="G398" s="98">
        <v>66.75</v>
      </c>
      <c r="H398" s="189">
        <v>0.5882999999999999</v>
      </c>
      <c r="I398" s="98">
        <v>-0.9018</v>
      </c>
      <c r="J398" s="98">
        <v>0.0</v>
      </c>
      <c r="K398" s="98">
        <v>66.0</v>
      </c>
      <c r="L398" s="189">
        <v>0.1522</v>
      </c>
    </row>
    <row r="399" ht="22.5" customHeight="1">
      <c r="A399" s="187" t="s">
        <v>60</v>
      </c>
      <c r="B399" s="188">
        <v>46059.0</v>
      </c>
      <c r="C399" s="187">
        <v>507.5</v>
      </c>
      <c r="D399" s="187" t="s">
        <v>107</v>
      </c>
      <c r="E399" s="98">
        <v>67.55</v>
      </c>
      <c r="F399" s="98">
        <v>68.32</v>
      </c>
      <c r="G399" s="98">
        <v>69.1</v>
      </c>
      <c r="H399" s="189">
        <v>0.5858</v>
      </c>
      <c r="I399" s="98">
        <v>-0.9121</v>
      </c>
      <c r="J399" s="98">
        <v>0.0</v>
      </c>
      <c r="K399" s="98">
        <v>0.0</v>
      </c>
      <c r="L399" s="189">
        <v>0.15789999999999998</v>
      </c>
    </row>
    <row r="400" ht="22.5" customHeight="1">
      <c r="A400" s="187" t="s">
        <v>60</v>
      </c>
      <c r="B400" s="188">
        <v>46059.0</v>
      </c>
      <c r="C400" s="187">
        <v>510.0</v>
      </c>
      <c r="D400" s="187" t="s">
        <v>107</v>
      </c>
      <c r="E400" s="98">
        <v>69.25</v>
      </c>
      <c r="F400" s="98">
        <v>70.35</v>
      </c>
      <c r="G400" s="98">
        <v>71.45</v>
      </c>
      <c r="H400" s="189">
        <v>0.5579</v>
      </c>
      <c r="I400" s="98">
        <v>-0.9305</v>
      </c>
      <c r="J400" s="98">
        <v>2.0</v>
      </c>
      <c r="K400" s="98">
        <v>29.0</v>
      </c>
      <c r="L400" s="189">
        <v>0.1636</v>
      </c>
    </row>
    <row r="401" ht="22.5" customHeight="1">
      <c r="A401" s="187" t="s">
        <v>60</v>
      </c>
      <c r="B401" s="188">
        <v>46059.0</v>
      </c>
      <c r="C401" s="187">
        <v>512.5</v>
      </c>
      <c r="D401" s="187" t="s">
        <v>107</v>
      </c>
      <c r="E401" s="98">
        <v>71.8</v>
      </c>
      <c r="F401" s="98">
        <v>72.8</v>
      </c>
      <c r="G401" s="98">
        <v>73.8</v>
      </c>
      <c r="H401" s="189">
        <v>0.5671</v>
      </c>
      <c r="I401" s="98">
        <v>-0.9337</v>
      </c>
      <c r="J401" s="98">
        <v>0.0</v>
      </c>
      <c r="K401" s="98">
        <v>1.0</v>
      </c>
      <c r="L401" s="189">
        <v>0.1693</v>
      </c>
    </row>
    <row r="402" ht="22.5" customHeight="1">
      <c r="A402" s="187" t="s">
        <v>60</v>
      </c>
      <c r="B402" s="188">
        <v>46059.0</v>
      </c>
      <c r="C402" s="187">
        <v>515.0</v>
      </c>
      <c r="D402" s="187" t="s">
        <v>107</v>
      </c>
      <c r="E402" s="98">
        <v>74.15</v>
      </c>
      <c r="F402" s="98">
        <v>75.25</v>
      </c>
      <c r="G402" s="98">
        <v>76.35</v>
      </c>
      <c r="H402" s="189">
        <v>0.5759000000000001</v>
      </c>
      <c r="I402" s="98">
        <v>-0.9373</v>
      </c>
      <c r="J402" s="98">
        <v>0.0</v>
      </c>
      <c r="K402" s="98">
        <v>44.0</v>
      </c>
      <c r="L402" s="189">
        <v>0.175</v>
      </c>
    </row>
    <row r="403" ht="22.5" customHeight="1">
      <c r="A403" s="187" t="s">
        <v>60</v>
      </c>
      <c r="B403" s="188">
        <v>46059.0</v>
      </c>
      <c r="C403" s="187">
        <v>517.5</v>
      </c>
      <c r="D403" s="187" t="s">
        <v>107</v>
      </c>
      <c r="E403" s="98">
        <v>76.55</v>
      </c>
      <c r="F403" s="98">
        <v>77.6</v>
      </c>
      <c r="G403" s="98">
        <v>78.65</v>
      </c>
      <c r="H403" s="189">
        <v>0.5727</v>
      </c>
      <c r="I403" s="98">
        <v>-0.945</v>
      </c>
      <c r="J403" s="98">
        <v>0.0</v>
      </c>
      <c r="K403" s="98">
        <v>0.0</v>
      </c>
      <c r="L403" s="189">
        <v>0.1807</v>
      </c>
    </row>
    <row r="404" ht="22.5" customHeight="1">
      <c r="A404" s="187" t="s">
        <v>60</v>
      </c>
      <c r="B404" s="188">
        <v>46059.0</v>
      </c>
      <c r="C404" s="187">
        <v>520.0</v>
      </c>
      <c r="D404" s="187" t="s">
        <v>107</v>
      </c>
      <c r="E404" s="98">
        <v>78.95</v>
      </c>
      <c r="F404" s="98">
        <v>80.0</v>
      </c>
      <c r="G404" s="98">
        <v>81.05</v>
      </c>
      <c r="H404" s="189">
        <v>0.5736</v>
      </c>
      <c r="I404" s="98">
        <v>-0.9503</v>
      </c>
      <c r="J404" s="98">
        <v>2.0</v>
      </c>
      <c r="K404" s="98">
        <v>21.0</v>
      </c>
      <c r="L404" s="189">
        <v>0.1864</v>
      </c>
    </row>
    <row r="405" ht="22.5" customHeight="1">
      <c r="A405" s="187" t="s">
        <v>60</v>
      </c>
      <c r="B405" s="188">
        <v>46059.0</v>
      </c>
      <c r="C405" s="187">
        <v>522.5</v>
      </c>
      <c r="D405" s="187" t="s">
        <v>107</v>
      </c>
      <c r="E405" s="98">
        <v>81.55</v>
      </c>
      <c r="F405" s="98">
        <v>82.6</v>
      </c>
      <c r="G405" s="98">
        <v>83.65</v>
      </c>
      <c r="H405" s="189">
        <v>0.5993999999999999</v>
      </c>
      <c r="I405" s="98">
        <v>-0.947</v>
      </c>
      <c r="J405" s="98">
        <v>0.0</v>
      </c>
      <c r="K405" s="98">
        <v>20.0</v>
      </c>
      <c r="L405" s="189">
        <v>0.19210000000000002</v>
      </c>
    </row>
    <row r="406" ht="22.5" customHeight="1">
      <c r="A406" s="187" t="s">
        <v>60</v>
      </c>
      <c r="B406" s="188">
        <v>46059.0</v>
      </c>
      <c r="C406" s="187">
        <v>525.0</v>
      </c>
      <c r="D406" s="187" t="s">
        <v>107</v>
      </c>
      <c r="E406" s="98">
        <v>83.75</v>
      </c>
      <c r="F406" s="98">
        <v>84.88</v>
      </c>
      <c r="G406" s="98">
        <v>86.0</v>
      </c>
      <c r="H406" s="189">
        <v>0.5822999999999999</v>
      </c>
      <c r="I406" s="98">
        <v>-0.9578</v>
      </c>
      <c r="J406" s="98">
        <v>0.0</v>
      </c>
      <c r="K406" s="98">
        <v>7.0</v>
      </c>
      <c r="L406" s="189">
        <v>0.1978</v>
      </c>
    </row>
    <row r="407" ht="22.5" customHeight="1">
      <c r="A407" s="187" t="s">
        <v>60</v>
      </c>
      <c r="B407" s="188">
        <v>46059.0</v>
      </c>
      <c r="C407" s="187">
        <v>527.5</v>
      </c>
      <c r="D407" s="187" t="s">
        <v>107</v>
      </c>
      <c r="E407" s="98">
        <v>86.2</v>
      </c>
      <c r="F407" s="98">
        <v>87.2</v>
      </c>
      <c r="G407" s="98">
        <v>88.2</v>
      </c>
      <c r="H407" s="189">
        <v>0.5660000000000001</v>
      </c>
      <c r="I407" s="98">
        <v>-0.9676</v>
      </c>
      <c r="J407" s="98">
        <v>2.0</v>
      </c>
      <c r="K407" s="98">
        <v>1.0</v>
      </c>
      <c r="L407" s="189">
        <v>0.20350000000000001</v>
      </c>
    </row>
    <row r="408" ht="22.5" customHeight="1">
      <c r="A408" s="187" t="s">
        <v>60</v>
      </c>
      <c r="B408" s="188">
        <v>46059.0</v>
      </c>
      <c r="C408" s="187">
        <v>530.0</v>
      </c>
      <c r="D408" s="187" t="s">
        <v>107</v>
      </c>
      <c r="E408" s="98">
        <v>88.6</v>
      </c>
      <c r="F408" s="98">
        <v>89.8</v>
      </c>
      <c r="G408" s="98">
        <v>91.0</v>
      </c>
      <c r="H408" s="189">
        <v>0.7136</v>
      </c>
      <c r="I408" s="98">
        <v>-0.9259</v>
      </c>
      <c r="J408" s="98">
        <v>1.0</v>
      </c>
      <c r="K408" s="98">
        <v>57.0</v>
      </c>
      <c r="L408" s="189">
        <v>0.20920000000000002</v>
      </c>
    </row>
    <row r="409" ht="22.5" customHeight="1">
      <c r="A409" s="187" t="s">
        <v>60</v>
      </c>
      <c r="B409" s="188">
        <v>46059.0</v>
      </c>
      <c r="C409" s="187">
        <v>535.0</v>
      </c>
      <c r="D409" s="187" t="s">
        <v>107</v>
      </c>
      <c r="E409" s="98">
        <v>93.55</v>
      </c>
      <c r="F409" s="98">
        <v>94.68</v>
      </c>
      <c r="G409" s="98">
        <v>95.8</v>
      </c>
      <c r="H409" s="189">
        <v>0.5971</v>
      </c>
      <c r="I409" s="98">
        <v>-0.9703</v>
      </c>
      <c r="J409" s="98">
        <v>1.0</v>
      </c>
      <c r="K409" s="98">
        <v>17.0</v>
      </c>
      <c r="L409" s="189">
        <v>0.2206</v>
      </c>
    </row>
    <row r="410" ht="22.5" customHeight="1">
      <c r="A410" s="187" t="s">
        <v>60</v>
      </c>
      <c r="B410" s="188">
        <v>46059.0</v>
      </c>
      <c r="C410" s="187">
        <v>540.0</v>
      </c>
      <c r="D410" s="187" t="s">
        <v>107</v>
      </c>
      <c r="E410" s="98">
        <v>98.45</v>
      </c>
      <c r="F410" s="98">
        <v>99.6</v>
      </c>
      <c r="G410" s="98">
        <v>100.75</v>
      </c>
      <c r="H410" s="189">
        <v>0.6042000000000001</v>
      </c>
      <c r="I410" s="98">
        <v>-0.9758</v>
      </c>
      <c r="J410" s="98">
        <v>0.0</v>
      </c>
      <c r="K410" s="98">
        <v>4.0</v>
      </c>
      <c r="L410" s="189">
        <v>0.23199999999999998</v>
      </c>
    </row>
    <row r="411" ht="22.5" customHeight="1">
      <c r="A411" s="187" t="s">
        <v>60</v>
      </c>
      <c r="B411" s="188">
        <v>46059.0</v>
      </c>
      <c r="C411" s="187">
        <v>545.0</v>
      </c>
      <c r="D411" s="187" t="s">
        <v>107</v>
      </c>
      <c r="E411" s="98">
        <v>103.4</v>
      </c>
      <c r="F411" s="98">
        <v>104.6</v>
      </c>
      <c r="G411" s="98">
        <v>105.8</v>
      </c>
      <c r="H411" s="189">
        <v>0.6268</v>
      </c>
      <c r="I411" s="98">
        <v>-0.9766</v>
      </c>
      <c r="J411" s="98">
        <v>0.0</v>
      </c>
      <c r="K411" s="98">
        <v>0.0</v>
      </c>
      <c r="L411" s="189">
        <v>0.2434</v>
      </c>
    </row>
    <row r="412" ht="22.5" customHeight="1">
      <c r="A412" s="187" t="s">
        <v>60</v>
      </c>
      <c r="B412" s="188">
        <v>46059.0</v>
      </c>
      <c r="C412" s="187">
        <v>550.0</v>
      </c>
      <c r="D412" s="187" t="s">
        <v>107</v>
      </c>
      <c r="E412" s="98">
        <v>108.35</v>
      </c>
      <c r="F412" s="98">
        <v>109.57</v>
      </c>
      <c r="G412" s="98">
        <v>110.8</v>
      </c>
      <c r="H412" s="189">
        <v>0.6428</v>
      </c>
      <c r="I412" s="98">
        <v>-0.9783</v>
      </c>
      <c r="J412" s="98">
        <v>8.0</v>
      </c>
      <c r="K412" s="98">
        <v>1.0</v>
      </c>
      <c r="L412" s="189">
        <v>0.2548</v>
      </c>
    </row>
    <row r="413" ht="22.5" customHeight="1">
      <c r="A413" s="187" t="s">
        <v>60</v>
      </c>
      <c r="B413" s="188">
        <v>46059.0</v>
      </c>
      <c r="C413" s="187">
        <v>555.0</v>
      </c>
      <c r="D413" s="187" t="s">
        <v>107</v>
      </c>
      <c r="E413" s="98">
        <v>113.4</v>
      </c>
      <c r="F413" s="98">
        <v>114.6</v>
      </c>
      <c r="G413" s="98">
        <v>115.8</v>
      </c>
      <c r="H413" s="189">
        <v>0.6711</v>
      </c>
      <c r="I413" s="98">
        <v>-0.9778</v>
      </c>
      <c r="J413" s="98">
        <v>0.0</v>
      </c>
      <c r="K413" s="98">
        <v>1.0</v>
      </c>
      <c r="L413" s="189">
        <v>0.2663</v>
      </c>
    </row>
    <row r="414" ht="22.5" customHeight="1">
      <c r="A414" s="187" t="s">
        <v>60</v>
      </c>
      <c r="B414" s="188">
        <v>46059.0</v>
      </c>
      <c r="C414" s="187">
        <v>560.0</v>
      </c>
      <c r="D414" s="187" t="s">
        <v>107</v>
      </c>
      <c r="E414" s="98">
        <v>118.45</v>
      </c>
      <c r="F414" s="98">
        <v>119.6</v>
      </c>
      <c r="G414" s="98">
        <v>120.75</v>
      </c>
      <c r="H414" s="189">
        <v>0.6928</v>
      </c>
      <c r="I414" s="98">
        <v>-0.9784</v>
      </c>
      <c r="J414" s="98">
        <v>0.0</v>
      </c>
      <c r="K414" s="98">
        <v>0.0</v>
      </c>
      <c r="L414" s="189">
        <v>0.2777</v>
      </c>
    </row>
    <row r="415" ht="22.5" customHeight="1">
      <c r="A415" s="187" t="s">
        <v>60</v>
      </c>
      <c r="B415" s="188">
        <v>46059.0</v>
      </c>
      <c r="C415" s="187">
        <v>565.0</v>
      </c>
      <c r="D415" s="187" t="s">
        <v>107</v>
      </c>
      <c r="E415" s="98">
        <v>123.15</v>
      </c>
      <c r="F415" s="98">
        <v>124.75</v>
      </c>
      <c r="G415" s="98">
        <v>126.35</v>
      </c>
      <c r="H415" s="189">
        <v>0.7486</v>
      </c>
      <c r="I415" s="98">
        <v>-0.9717</v>
      </c>
      <c r="J415" s="98">
        <v>0.0</v>
      </c>
      <c r="K415" s="98">
        <v>0.0</v>
      </c>
      <c r="L415" s="189">
        <v>0.2891</v>
      </c>
    </row>
    <row r="416" ht="22.5" customHeight="1">
      <c r="A416" s="187" t="s">
        <v>60</v>
      </c>
      <c r="B416" s="188">
        <v>46059.0</v>
      </c>
      <c r="C416" s="187">
        <v>570.0</v>
      </c>
      <c r="D416" s="187" t="s">
        <v>107</v>
      </c>
      <c r="E416" s="98">
        <v>128.0</v>
      </c>
      <c r="F416" s="98">
        <v>129.65</v>
      </c>
      <c r="G416" s="98">
        <v>131.3</v>
      </c>
      <c r="H416" s="189">
        <v>0.748</v>
      </c>
      <c r="I416" s="98">
        <v>-0.9764</v>
      </c>
      <c r="J416" s="98">
        <v>0.0</v>
      </c>
      <c r="K416" s="98">
        <v>0.0</v>
      </c>
      <c r="L416" s="189">
        <v>0.3005</v>
      </c>
    </row>
    <row r="417" ht="22.5" customHeight="1">
      <c r="A417" s="187" t="s">
        <v>60</v>
      </c>
      <c r="B417" s="188">
        <v>46059.0</v>
      </c>
      <c r="C417" s="187">
        <v>575.0</v>
      </c>
      <c r="D417" s="187" t="s">
        <v>107</v>
      </c>
      <c r="E417" s="98">
        <v>133.1</v>
      </c>
      <c r="F417" s="98">
        <v>134.6</v>
      </c>
      <c r="G417" s="98">
        <v>136.1</v>
      </c>
      <c r="H417" s="189">
        <v>0.7559999999999999</v>
      </c>
      <c r="I417" s="98">
        <v>-0.9798</v>
      </c>
      <c r="J417" s="98">
        <v>0.0</v>
      </c>
      <c r="K417" s="98">
        <v>0.0</v>
      </c>
      <c r="L417" s="189">
        <v>0.3119</v>
      </c>
    </row>
    <row r="418" ht="22.5" customHeight="1">
      <c r="A418" s="187" t="s">
        <v>60</v>
      </c>
      <c r="B418" s="188">
        <v>46059.0</v>
      </c>
      <c r="C418" s="187">
        <v>580.0</v>
      </c>
      <c r="D418" s="187" t="s">
        <v>107</v>
      </c>
      <c r="E418" s="98">
        <v>138.1</v>
      </c>
      <c r="F418" s="98">
        <v>139.7</v>
      </c>
      <c r="G418" s="98">
        <v>141.3</v>
      </c>
      <c r="H418" s="189">
        <v>0.8019</v>
      </c>
      <c r="I418" s="98">
        <v>-0.9756</v>
      </c>
      <c r="J418" s="98">
        <v>0.0</v>
      </c>
      <c r="K418" s="98">
        <v>0.0</v>
      </c>
      <c r="L418" s="189">
        <v>0.3233</v>
      </c>
    </row>
    <row r="419" ht="22.5" customHeight="1">
      <c r="A419" s="187" t="s">
        <v>60</v>
      </c>
      <c r="B419" s="188">
        <v>46059.0</v>
      </c>
      <c r="C419" s="187">
        <v>585.0</v>
      </c>
      <c r="D419" s="187" t="s">
        <v>107</v>
      </c>
      <c r="E419" s="98">
        <v>142.7</v>
      </c>
      <c r="F419" s="98">
        <v>144.5</v>
      </c>
      <c r="G419" s="98">
        <v>146.3</v>
      </c>
      <c r="H419" s="189">
        <v>0.7648</v>
      </c>
      <c r="I419" s="98">
        <v>-0.9853</v>
      </c>
      <c r="J419" s="98">
        <v>0.0</v>
      </c>
      <c r="K419" s="98">
        <v>0.0</v>
      </c>
      <c r="L419" s="189">
        <v>0.3347</v>
      </c>
    </row>
    <row r="420" ht="22.5" customHeight="1">
      <c r="A420" s="187" t="s">
        <v>60</v>
      </c>
      <c r="B420" s="188">
        <v>46059.0</v>
      </c>
      <c r="C420" s="187">
        <v>590.0</v>
      </c>
      <c r="D420" s="187" t="s">
        <v>107</v>
      </c>
      <c r="E420" s="98">
        <v>147.65</v>
      </c>
      <c r="F420" s="98">
        <v>149.1</v>
      </c>
      <c r="G420" s="98">
        <v>150.55</v>
      </c>
      <c r="H420" s="189">
        <v>0.0</v>
      </c>
      <c r="I420" s="98">
        <v>0.0</v>
      </c>
      <c r="J420" s="98">
        <v>0.0</v>
      </c>
      <c r="K420" s="98">
        <v>0.0</v>
      </c>
      <c r="L420" s="189">
        <v>0.3461</v>
      </c>
    </row>
    <row r="421" ht="22.5" customHeight="1">
      <c r="A421" s="187" t="s">
        <v>60</v>
      </c>
      <c r="B421" s="188">
        <v>46059.0</v>
      </c>
      <c r="C421" s="187">
        <v>595.0</v>
      </c>
      <c r="D421" s="187" t="s">
        <v>107</v>
      </c>
      <c r="E421" s="98">
        <v>152.7</v>
      </c>
      <c r="F421" s="98">
        <v>154.25</v>
      </c>
      <c r="G421" s="98">
        <v>155.8</v>
      </c>
      <c r="H421" s="189">
        <v>0.0</v>
      </c>
      <c r="I421" s="98">
        <v>0.0</v>
      </c>
      <c r="J421" s="98">
        <v>0.0</v>
      </c>
      <c r="K421" s="98">
        <v>0.0</v>
      </c>
      <c r="L421" s="189">
        <v>0.3575</v>
      </c>
    </row>
    <row r="422" ht="22.5" customHeight="1">
      <c r="A422" s="187" t="s">
        <v>60</v>
      </c>
      <c r="B422" s="188">
        <v>46059.0</v>
      </c>
      <c r="C422" s="187">
        <v>600.0</v>
      </c>
      <c r="D422" s="187" t="s">
        <v>107</v>
      </c>
      <c r="E422" s="98">
        <v>158.1</v>
      </c>
      <c r="F422" s="98">
        <v>159.6</v>
      </c>
      <c r="G422" s="98">
        <v>161.1</v>
      </c>
      <c r="H422" s="189">
        <v>0.8563</v>
      </c>
      <c r="I422" s="98">
        <v>-0.9817</v>
      </c>
      <c r="J422" s="98">
        <v>0.0</v>
      </c>
      <c r="K422" s="98">
        <v>0.0</v>
      </c>
      <c r="L422" s="189">
        <v>0.3689</v>
      </c>
    </row>
    <row r="423" ht="22.5" customHeight="1">
      <c r="A423" s="187" t="s">
        <v>60</v>
      </c>
      <c r="B423" s="188">
        <v>46059.0</v>
      </c>
      <c r="C423" s="187">
        <v>605.0</v>
      </c>
      <c r="D423" s="187" t="s">
        <v>107</v>
      </c>
      <c r="E423" s="98">
        <v>162.85</v>
      </c>
      <c r="F423" s="98">
        <v>164.23</v>
      </c>
      <c r="G423" s="98">
        <v>165.6</v>
      </c>
      <c r="H423" s="189">
        <v>0.0</v>
      </c>
      <c r="I423" s="98">
        <v>0.0</v>
      </c>
      <c r="J423" s="98">
        <v>0.0</v>
      </c>
      <c r="K423" s="98">
        <v>0.0</v>
      </c>
      <c r="L423" s="189">
        <v>0.3803</v>
      </c>
    </row>
    <row r="424" ht="22.5" customHeight="1">
      <c r="A424" s="187" t="s">
        <v>60</v>
      </c>
      <c r="B424" s="188">
        <v>46059.0</v>
      </c>
      <c r="C424" s="187">
        <v>610.0</v>
      </c>
      <c r="D424" s="187" t="s">
        <v>107</v>
      </c>
      <c r="E424" s="98">
        <v>167.8</v>
      </c>
      <c r="F424" s="98">
        <v>169.23</v>
      </c>
      <c r="G424" s="98">
        <v>170.65</v>
      </c>
      <c r="H424" s="189">
        <v>0.0</v>
      </c>
      <c r="I424" s="98">
        <v>0.0</v>
      </c>
      <c r="J424" s="98">
        <v>0.0</v>
      </c>
      <c r="K424" s="98">
        <v>0.0</v>
      </c>
      <c r="L424" s="189">
        <v>0.3917</v>
      </c>
    </row>
    <row r="425" ht="22.5" customHeight="1">
      <c r="A425" s="187" t="s">
        <v>60</v>
      </c>
      <c r="B425" s="188">
        <v>46059.0</v>
      </c>
      <c r="C425" s="187">
        <v>615.0</v>
      </c>
      <c r="D425" s="187" t="s">
        <v>107</v>
      </c>
      <c r="E425" s="98">
        <v>173.15</v>
      </c>
      <c r="F425" s="98">
        <v>174.48</v>
      </c>
      <c r="G425" s="98">
        <v>175.8</v>
      </c>
      <c r="H425" s="189">
        <v>0.8678</v>
      </c>
      <c r="I425" s="98">
        <v>-0.9892</v>
      </c>
      <c r="J425" s="98">
        <v>0.0</v>
      </c>
      <c r="K425" s="98">
        <v>0.0</v>
      </c>
      <c r="L425" s="189">
        <v>0.4031</v>
      </c>
    </row>
    <row r="426" ht="22.5" customHeight="1">
      <c r="A426" s="187" t="s">
        <v>60</v>
      </c>
      <c r="B426" s="188">
        <v>46059.0</v>
      </c>
      <c r="C426" s="187">
        <v>620.0</v>
      </c>
      <c r="D426" s="187" t="s">
        <v>107</v>
      </c>
      <c r="E426" s="98">
        <v>177.6</v>
      </c>
      <c r="F426" s="98">
        <v>179.5</v>
      </c>
      <c r="G426" s="98">
        <v>181.4</v>
      </c>
      <c r="H426" s="189">
        <v>0.8969</v>
      </c>
      <c r="I426" s="98">
        <v>-0.9872</v>
      </c>
      <c r="J426" s="98">
        <v>0.0</v>
      </c>
      <c r="K426" s="98">
        <v>0.0</v>
      </c>
      <c r="L426" s="189">
        <v>0.4146</v>
      </c>
    </row>
    <row r="427" ht="22.5" customHeight="1">
      <c r="A427" s="187" t="s">
        <v>60</v>
      </c>
      <c r="B427" s="188">
        <v>46059.0</v>
      </c>
      <c r="C427" s="187">
        <v>625.0</v>
      </c>
      <c r="D427" s="187" t="s">
        <v>107</v>
      </c>
      <c r="E427" s="98">
        <v>182.8</v>
      </c>
      <c r="F427" s="98">
        <v>184.5</v>
      </c>
      <c r="G427" s="98">
        <v>186.2</v>
      </c>
      <c r="H427" s="189">
        <v>0.9148999999999999</v>
      </c>
      <c r="I427" s="98">
        <v>-0.9874</v>
      </c>
      <c r="J427" s="98">
        <v>0.0</v>
      </c>
      <c r="K427" s="98">
        <v>0.0</v>
      </c>
      <c r="L427" s="189">
        <v>0.426</v>
      </c>
    </row>
    <row r="428" ht="22.5" customHeight="1">
      <c r="A428" s="187" t="s">
        <v>60</v>
      </c>
      <c r="B428" s="188">
        <v>46059.0</v>
      </c>
      <c r="C428" s="187">
        <v>630.0</v>
      </c>
      <c r="D428" s="187" t="s">
        <v>107</v>
      </c>
      <c r="E428" s="98">
        <v>188.2</v>
      </c>
      <c r="F428" s="98">
        <v>189.18</v>
      </c>
      <c r="G428" s="98">
        <v>190.15</v>
      </c>
      <c r="H428" s="189">
        <v>0.0</v>
      </c>
      <c r="I428" s="98">
        <v>0.0</v>
      </c>
      <c r="J428" s="98">
        <v>0.0</v>
      </c>
      <c r="K428" s="98">
        <v>0.0</v>
      </c>
      <c r="L428" s="189">
        <v>0.4374</v>
      </c>
    </row>
    <row r="429" ht="22.5" customHeight="1">
      <c r="A429" s="187" t="s">
        <v>60</v>
      </c>
      <c r="B429" s="188">
        <v>46059.0</v>
      </c>
      <c r="C429" s="187">
        <v>640.0</v>
      </c>
      <c r="D429" s="187" t="s">
        <v>107</v>
      </c>
      <c r="E429" s="98">
        <v>197.7</v>
      </c>
      <c r="F429" s="98">
        <v>199.2</v>
      </c>
      <c r="G429" s="98">
        <v>200.7</v>
      </c>
      <c r="H429" s="189">
        <v>0.0</v>
      </c>
      <c r="I429" s="98">
        <v>0.0</v>
      </c>
      <c r="J429" s="98">
        <v>0.0</v>
      </c>
      <c r="K429" s="98">
        <v>0.0</v>
      </c>
      <c r="L429" s="189">
        <v>0.46020000000000005</v>
      </c>
    </row>
    <row r="430" ht="22.5" customHeight="1">
      <c r="A430" s="187" t="s">
        <v>60</v>
      </c>
      <c r="B430" s="188">
        <v>46059.0</v>
      </c>
      <c r="C430" s="187">
        <v>650.0</v>
      </c>
      <c r="D430" s="187" t="s">
        <v>107</v>
      </c>
      <c r="E430" s="98">
        <v>207.8</v>
      </c>
      <c r="F430" s="98">
        <v>209.5</v>
      </c>
      <c r="G430" s="98">
        <v>211.2</v>
      </c>
      <c r="H430" s="189">
        <v>1.0025</v>
      </c>
      <c r="I430" s="98">
        <v>-0.9881</v>
      </c>
      <c r="J430" s="98">
        <v>0.0</v>
      </c>
      <c r="K430" s="98">
        <v>0.0</v>
      </c>
      <c r="L430" s="189">
        <v>0.483</v>
      </c>
    </row>
    <row r="431" ht="22.5" customHeight="1">
      <c r="A431" s="187" t="s">
        <v>60</v>
      </c>
      <c r="B431" s="188">
        <v>46059.0</v>
      </c>
      <c r="C431" s="187">
        <v>660.0</v>
      </c>
      <c r="D431" s="187" t="s">
        <v>107</v>
      </c>
      <c r="E431" s="98">
        <v>217.55</v>
      </c>
      <c r="F431" s="98">
        <v>219.43</v>
      </c>
      <c r="G431" s="98">
        <v>221.3</v>
      </c>
      <c r="H431" s="189">
        <v>0.9943000000000001</v>
      </c>
      <c r="I431" s="98">
        <v>-0.9927</v>
      </c>
      <c r="J431" s="98">
        <v>0.0</v>
      </c>
      <c r="K431" s="98">
        <v>0.0</v>
      </c>
      <c r="L431" s="189">
        <v>0.5058</v>
      </c>
    </row>
    <row r="432" ht="22.5" customHeight="1">
      <c r="A432" s="187" t="s">
        <v>60</v>
      </c>
      <c r="B432" s="188">
        <v>46059.0</v>
      </c>
      <c r="C432" s="187">
        <v>670.0</v>
      </c>
      <c r="D432" s="187" t="s">
        <v>107</v>
      </c>
      <c r="E432" s="98">
        <v>227.55</v>
      </c>
      <c r="F432" s="98">
        <v>229.43</v>
      </c>
      <c r="G432" s="98">
        <v>231.3</v>
      </c>
      <c r="H432" s="189">
        <v>1.0266</v>
      </c>
      <c r="I432" s="98">
        <v>-0.9929</v>
      </c>
      <c r="J432" s="98">
        <v>0.0</v>
      </c>
      <c r="K432" s="98">
        <v>0.0</v>
      </c>
      <c r="L432" s="189">
        <v>0.5286</v>
      </c>
    </row>
    <row r="433" ht="22.5" customHeight="1">
      <c r="A433" s="187" t="s">
        <v>60</v>
      </c>
      <c r="B433" s="188">
        <v>46059.0</v>
      </c>
      <c r="C433" s="187">
        <v>680.0</v>
      </c>
      <c r="D433" s="187" t="s">
        <v>107</v>
      </c>
      <c r="E433" s="98">
        <v>237.55</v>
      </c>
      <c r="F433" s="98">
        <v>239.43</v>
      </c>
      <c r="G433" s="98">
        <v>241.3</v>
      </c>
      <c r="H433" s="189">
        <v>1.0583</v>
      </c>
      <c r="I433" s="98">
        <v>-0.993</v>
      </c>
      <c r="J433" s="98">
        <v>0.0</v>
      </c>
      <c r="K433" s="98">
        <v>0.0</v>
      </c>
      <c r="L433" s="189">
        <v>0.5514</v>
      </c>
    </row>
    <row r="434" ht="22.5" customHeight="1">
      <c r="A434" s="187" t="s">
        <v>60</v>
      </c>
      <c r="B434" s="188">
        <v>46059.0</v>
      </c>
      <c r="C434" s="187">
        <v>690.0</v>
      </c>
      <c r="D434" s="187" t="s">
        <v>107</v>
      </c>
      <c r="E434" s="98">
        <v>247.55</v>
      </c>
      <c r="F434" s="98">
        <v>249.43</v>
      </c>
      <c r="G434" s="98">
        <v>251.3</v>
      </c>
      <c r="H434" s="189">
        <v>1.0895000000000001</v>
      </c>
      <c r="I434" s="98">
        <v>-0.9931</v>
      </c>
      <c r="J434" s="98">
        <v>0.0</v>
      </c>
      <c r="K434" s="98">
        <v>0.0</v>
      </c>
      <c r="L434" s="189">
        <v>0.5743</v>
      </c>
    </row>
    <row r="435" ht="22.5" customHeight="1">
      <c r="A435" s="187" t="s">
        <v>60</v>
      </c>
      <c r="B435" s="188">
        <v>46059.0</v>
      </c>
      <c r="C435" s="187">
        <v>700.0</v>
      </c>
      <c r="D435" s="187" t="s">
        <v>107</v>
      </c>
      <c r="E435" s="98">
        <v>257.75</v>
      </c>
      <c r="F435" s="98">
        <v>259.43</v>
      </c>
      <c r="G435" s="98">
        <v>261.1</v>
      </c>
      <c r="H435" s="189">
        <v>1.1201</v>
      </c>
      <c r="I435" s="98">
        <v>-0.9933</v>
      </c>
      <c r="J435" s="98">
        <v>0.0</v>
      </c>
      <c r="K435" s="98">
        <v>0.0</v>
      </c>
      <c r="L435" s="189">
        <v>0.5971</v>
      </c>
    </row>
    <row r="436" ht="22.5" customHeight="1">
      <c r="A436" s="187" t="s">
        <v>60</v>
      </c>
      <c r="B436" s="188">
        <v>46059.0</v>
      </c>
      <c r="C436" s="187">
        <v>710.0</v>
      </c>
      <c r="D436" s="187" t="s">
        <v>107</v>
      </c>
      <c r="E436" s="98">
        <v>267.55</v>
      </c>
      <c r="F436" s="98">
        <v>269.43</v>
      </c>
      <c r="G436" s="98">
        <v>271.3</v>
      </c>
      <c r="H436" s="189">
        <v>1.1502</v>
      </c>
      <c r="I436" s="98">
        <v>-0.9934</v>
      </c>
      <c r="J436" s="98">
        <v>0.0</v>
      </c>
      <c r="K436" s="98">
        <v>0.0</v>
      </c>
      <c r="L436" s="189">
        <v>0.6199</v>
      </c>
    </row>
    <row r="437" ht="22.5" customHeight="1">
      <c r="A437" s="187" t="s">
        <v>60</v>
      </c>
      <c r="B437" s="188">
        <v>46059.0</v>
      </c>
      <c r="C437" s="187">
        <v>720.0</v>
      </c>
      <c r="D437" s="187" t="s">
        <v>107</v>
      </c>
      <c r="E437" s="98">
        <v>277.55</v>
      </c>
      <c r="F437" s="98">
        <v>279.43</v>
      </c>
      <c r="G437" s="98">
        <v>281.3</v>
      </c>
      <c r="H437" s="189">
        <v>1.1798</v>
      </c>
      <c r="I437" s="98">
        <v>-0.9935</v>
      </c>
      <c r="J437" s="98">
        <v>0.0</v>
      </c>
      <c r="K437" s="98">
        <v>0.0</v>
      </c>
      <c r="L437" s="189">
        <v>0.6426999999999999</v>
      </c>
    </row>
    <row r="438" ht="22.5" customHeight="1">
      <c r="A438" s="187" t="s">
        <v>60</v>
      </c>
      <c r="B438" s="188">
        <v>46059.0</v>
      </c>
      <c r="C438" s="187">
        <v>730.0</v>
      </c>
      <c r="D438" s="187" t="s">
        <v>107</v>
      </c>
      <c r="E438" s="98">
        <v>287.55</v>
      </c>
      <c r="F438" s="98">
        <v>288.85</v>
      </c>
      <c r="G438" s="98">
        <v>290.15</v>
      </c>
      <c r="H438" s="189">
        <v>0.0</v>
      </c>
      <c r="I438" s="98">
        <v>0.0</v>
      </c>
      <c r="J438" s="98">
        <v>0.0</v>
      </c>
      <c r="K438" s="98">
        <v>0.0</v>
      </c>
      <c r="L438" s="189">
        <v>0.6655</v>
      </c>
    </row>
    <row r="439" ht="22.5" customHeight="1">
      <c r="A439" s="187" t="s">
        <v>60</v>
      </c>
      <c r="B439" s="188">
        <v>46059.0</v>
      </c>
      <c r="C439" s="187">
        <v>740.0</v>
      </c>
      <c r="D439" s="187" t="s">
        <v>107</v>
      </c>
      <c r="E439" s="98">
        <v>297.55</v>
      </c>
      <c r="F439" s="98">
        <v>299.43</v>
      </c>
      <c r="G439" s="98">
        <v>301.3</v>
      </c>
      <c r="H439" s="189">
        <v>1.2377</v>
      </c>
      <c r="I439" s="98">
        <v>-0.9937</v>
      </c>
      <c r="J439" s="98">
        <v>0.0</v>
      </c>
      <c r="K439" s="98">
        <v>0.0</v>
      </c>
      <c r="L439" s="189">
        <v>0.6883</v>
      </c>
    </row>
    <row r="440" ht="22.5" customHeight="1">
      <c r="A440" s="187" t="s">
        <v>60</v>
      </c>
      <c r="B440" s="188">
        <v>46059.0</v>
      </c>
      <c r="C440" s="187">
        <v>750.0</v>
      </c>
      <c r="D440" s="187" t="s">
        <v>107</v>
      </c>
      <c r="E440" s="98">
        <v>307.75</v>
      </c>
      <c r="F440" s="98">
        <v>309.43</v>
      </c>
      <c r="G440" s="98">
        <v>311.1</v>
      </c>
      <c r="H440" s="189">
        <v>1.266</v>
      </c>
      <c r="I440" s="98">
        <v>-0.9937</v>
      </c>
      <c r="J440" s="98">
        <v>0.0</v>
      </c>
      <c r="K440" s="98">
        <v>0.0</v>
      </c>
      <c r="L440" s="189">
        <v>0.7112</v>
      </c>
    </row>
    <row r="441" ht="22.5" customHeight="1">
      <c r="A441" s="187" t="s">
        <v>60</v>
      </c>
      <c r="B441" s="188">
        <v>46059.0</v>
      </c>
      <c r="C441" s="187">
        <v>760.0</v>
      </c>
      <c r="D441" s="187" t="s">
        <v>107</v>
      </c>
      <c r="E441" s="98">
        <v>317.55</v>
      </c>
      <c r="F441" s="98">
        <v>319.43</v>
      </c>
      <c r="G441" s="98">
        <v>321.3</v>
      </c>
      <c r="H441" s="189">
        <v>1.2938</v>
      </c>
      <c r="I441" s="98">
        <v>-0.9938</v>
      </c>
      <c r="J441" s="98">
        <v>0.0</v>
      </c>
      <c r="K441" s="98">
        <v>0.0</v>
      </c>
      <c r="L441" s="189">
        <v>0.7340000000000001</v>
      </c>
    </row>
    <row r="442" ht="22.5" customHeight="1">
      <c r="A442" s="187" t="s">
        <v>60</v>
      </c>
      <c r="B442" s="188">
        <v>46059.0</v>
      </c>
      <c r="C442" s="187">
        <v>770.0</v>
      </c>
      <c r="D442" s="187" t="s">
        <v>107</v>
      </c>
      <c r="E442" s="98">
        <v>327.55</v>
      </c>
      <c r="F442" s="98">
        <v>329.33</v>
      </c>
      <c r="G442" s="98">
        <v>331.1</v>
      </c>
      <c r="H442" s="189">
        <v>0.0</v>
      </c>
      <c r="I442" s="98">
        <v>0.0</v>
      </c>
      <c r="J442" s="98">
        <v>0.0</v>
      </c>
      <c r="K442" s="98">
        <v>0.0</v>
      </c>
      <c r="L442" s="189">
        <v>0.7568</v>
      </c>
    </row>
    <row r="443" ht="22.5" customHeight="1">
      <c r="A443" s="187" t="s">
        <v>60</v>
      </c>
      <c r="B443" s="188">
        <v>46059.0</v>
      </c>
      <c r="C443" s="187">
        <v>780.0</v>
      </c>
      <c r="D443" s="187" t="s">
        <v>107</v>
      </c>
      <c r="E443" s="98">
        <v>337.55</v>
      </c>
      <c r="F443" s="98">
        <v>339.43</v>
      </c>
      <c r="G443" s="98">
        <v>341.3</v>
      </c>
      <c r="H443" s="189">
        <v>1.3481999999999998</v>
      </c>
      <c r="I443" s="98">
        <v>-0.994</v>
      </c>
      <c r="J443" s="98">
        <v>0.0</v>
      </c>
      <c r="K443" s="98">
        <v>0.0</v>
      </c>
      <c r="L443" s="189">
        <v>0.7796</v>
      </c>
    </row>
    <row r="444" ht="22.5" customHeight="1">
      <c r="A444" s="187" t="s">
        <v>60</v>
      </c>
      <c r="B444" s="188">
        <v>46059.0</v>
      </c>
      <c r="C444" s="187">
        <v>790.0</v>
      </c>
      <c r="D444" s="187" t="s">
        <v>107</v>
      </c>
      <c r="E444" s="98">
        <v>347.55</v>
      </c>
      <c r="F444" s="98">
        <v>349.43</v>
      </c>
      <c r="G444" s="98">
        <v>351.3</v>
      </c>
      <c r="H444" s="189">
        <v>1.3749</v>
      </c>
      <c r="I444" s="98">
        <v>-0.994</v>
      </c>
      <c r="J444" s="98">
        <v>0.0</v>
      </c>
      <c r="K444" s="98">
        <v>0.0</v>
      </c>
      <c r="L444" s="189">
        <v>0.8024</v>
      </c>
    </row>
    <row r="445" ht="22.5" customHeight="1">
      <c r="A445" s="187" t="s">
        <v>60</v>
      </c>
      <c r="B445" s="188">
        <v>46059.0</v>
      </c>
      <c r="C445" s="187">
        <v>800.0</v>
      </c>
      <c r="D445" s="187" t="s">
        <v>107</v>
      </c>
      <c r="E445" s="98">
        <v>357.75</v>
      </c>
      <c r="F445" s="98">
        <v>359.43</v>
      </c>
      <c r="G445" s="98">
        <v>361.1</v>
      </c>
      <c r="H445" s="189">
        <v>1.4011000000000002</v>
      </c>
      <c r="I445" s="98">
        <v>-0.9941</v>
      </c>
      <c r="J445" s="98">
        <v>0.0</v>
      </c>
      <c r="K445" s="98">
        <v>0.0</v>
      </c>
      <c r="L445" s="189">
        <v>0.8251999999999999</v>
      </c>
    </row>
    <row r="446" ht="22.5" customHeight="1">
      <c r="A446" s="187" t="s">
        <v>60</v>
      </c>
      <c r="B446" s="188">
        <v>46059.0</v>
      </c>
      <c r="C446" s="187">
        <v>810.0</v>
      </c>
      <c r="D446" s="187" t="s">
        <v>107</v>
      </c>
      <c r="E446" s="98">
        <v>367.85</v>
      </c>
      <c r="F446" s="98">
        <v>369.58</v>
      </c>
      <c r="G446" s="98">
        <v>371.3</v>
      </c>
      <c r="H446" s="189">
        <v>1.5174</v>
      </c>
      <c r="I446" s="98">
        <v>-0.9888</v>
      </c>
      <c r="J446" s="98">
        <v>0.0</v>
      </c>
      <c r="K446" s="98">
        <v>0.0</v>
      </c>
      <c r="L446" s="189">
        <v>0.848</v>
      </c>
    </row>
    <row r="447" ht="22.5" customHeight="1">
      <c r="A447" s="187" t="s">
        <v>60</v>
      </c>
      <c r="B447" s="188">
        <v>46059.0</v>
      </c>
      <c r="C447" s="187">
        <v>820.0</v>
      </c>
      <c r="D447" s="187" t="s">
        <v>107</v>
      </c>
      <c r="E447" s="98">
        <v>377.55</v>
      </c>
      <c r="F447" s="98">
        <v>379.43</v>
      </c>
      <c r="G447" s="98">
        <v>381.3</v>
      </c>
      <c r="H447" s="189">
        <v>1.4526</v>
      </c>
      <c r="I447" s="98">
        <v>-0.9942</v>
      </c>
      <c r="J447" s="98">
        <v>0.0</v>
      </c>
      <c r="K447" s="98">
        <v>0.0</v>
      </c>
      <c r="L447" s="189">
        <v>0.8709</v>
      </c>
    </row>
    <row r="448" ht="22.5" customHeight="1">
      <c r="A448" s="187" t="s">
        <v>60</v>
      </c>
      <c r="B448" s="188">
        <v>46059.0</v>
      </c>
      <c r="C448" s="187">
        <v>830.0</v>
      </c>
      <c r="D448" s="187" t="s">
        <v>107</v>
      </c>
      <c r="E448" s="98">
        <v>387.55</v>
      </c>
      <c r="F448" s="98">
        <v>389.43</v>
      </c>
      <c r="G448" s="98">
        <v>391.3</v>
      </c>
      <c r="H448" s="189">
        <v>1.4778</v>
      </c>
      <c r="I448" s="98">
        <v>-0.9942</v>
      </c>
      <c r="J448" s="98">
        <v>0.0</v>
      </c>
      <c r="K448" s="98">
        <v>0.0</v>
      </c>
      <c r="L448" s="189">
        <v>0.8937</v>
      </c>
    </row>
    <row r="449" ht="22.5" customHeight="1">
      <c r="A449" s="187" t="s">
        <v>60</v>
      </c>
      <c r="B449" s="188">
        <v>46059.0</v>
      </c>
      <c r="C449" s="187">
        <v>840.0</v>
      </c>
      <c r="D449" s="187" t="s">
        <v>107</v>
      </c>
      <c r="E449" s="98">
        <v>397.55</v>
      </c>
      <c r="F449" s="98">
        <v>399.43</v>
      </c>
      <c r="G449" s="98">
        <v>401.3</v>
      </c>
      <c r="H449" s="189">
        <v>1.5027000000000001</v>
      </c>
      <c r="I449" s="98">
        <v>-0.9943</v>
      </c>
      <c r="J449" s="98">
        <v>0.0</v>
      </c>
      <c r="K449" s="98">
        <v>0.0</v>
      </c>
      <c r="L449" s="189">
        <v>0.9165000000000001</v>
      </c>
    </row>
    <row r="450" ht="22.5" customHeight="1">
      <c r="A450" s="187" t="s">
        <v>60</v>
      </c>
      <c r="B450" s="188">
        <v>46059.0</v>
      </c>
      <c r="C450" s="187">
        <v>850.0</v>
      </c>
      <c r="D450" s="187" t="s">
        <v>107</v>
      </c>
      <c r="E450" s="98">
        <v>407.75</v>
      </c>
      <c r="F450" s="98">
        <v>409.43</v>
      </c>
      <c r="G450" s="98">
        <v>411.1</v>
      </c>
      <c r="H450" s="189">
        <v>1.5272</v>
      </c>
      <c r="I450" s="98">
        <v>-0.9943</v>
      </c>
      <c r="J450" s="98">
        <v>0.0</v>
      </c>
      <c r="K450" s="98">
        <v>0.0</v>
      </c>
      <c r="L450" s="189">
        <v>0.9393</v>
      </c>
    </row>
    <row r="451" ht="22.5" customHeight="1">
      <c r="A451" s="187" t="s">
        <v>60</v>
      </c>
      <c r="B451" s="188">
        <v>46059.0</v>
      </c>
      <c r="C451" s="187">
        <v>860.0</v>
      </c>
      <c r="D451" s="187" t="s">
        <v>107</v>
      </c>
      <c r="E451" s="98">
        <v>417.55</v>
      </c>
      <c r="F451" s="98">
        <v>419.43</v>
      </c>
      <c r="G451" s="98">
        <v>421.3</v>
      </c>
      <c r="H451" s="189">
        <v>1.5515</v>
      </c>
      <c r="I451" s="98">
        <v>-0.9944</v>
      </c>
      <c r="J451" s="98">
        <v>0.0</v>
      </c>
      <c r="K451" s="98">
        <v>0.0</v>
      </c>
      <c r="L451" s="189">
        <v>0.9621</v>
      </c>
    </row>
    <row r="452" ht="22.5" customHeight="1">
      <c r="A452" s="187" t="s">
        <v>60</v>
      </c>
      <c r="B452" s="188">
        <v>46059.0</v>
      </c>
      <c r="C452" s="187">
        <v>870.0</v>
      </c>
      <c r="D452" s="187" t="s">
        <v>107</v>
      </c>
      <c r="E452" s="98">
        <v>427.55</v>
      </c>
      <c r="F452" s="98">
        <v>429.43</v>
      </c>
      <c r="G452" s="98">
        <v>431.3</v>
      </c>
      <c r="H452" s="189">
        <v>1.5754</v>
      </c>
      <c r="I452" s="98">
        <v>-0.9944</v>
      </c>
      <c r="J452" s="98">
        <v>0.0</v>
      </c>
      <c r="K452" s="98">
        <v>0.0</v>
      </c>
      <c r="L452" s="189">
        <v>0.9849</v>
      </c>
    </row>
    <row r="453" ht="22.5" customHeight="1">
      <c r="A453" s="187" t="s">
        <v>60</v>
      </c>
      <c r="B453" s="188">
        <v>46059.0</v>
      </c>
      <c r="C453" s="187">
        <v>880.0</v>
      </c>
      <c r="D453" s="187" t="s">
        <v>107</v>
      </c>
      <c r="E453" s="98">
        <v>437.55</v>
      </c>
      <c r="F453" s="98">
        <v>439.43</v>
      </c>
      <c r="G453" s="98">
        <v>441.3</v>
      </c>
      <c r="H453" s="189">
        <v>1.599</v>
      </c>
      <c r="I453" s="98">
        <v>-0.9944</v>
      </c>
      <c r="J453" s="98">
        <v>0.0</v>
      </c>
      <c r="K453" s="98">
        <v>0.0</v>
      </c>
      <c r="L453" s="189">
        <v>1.0078</v>
      </c>
    </row>
    <row r="454" ht="22.5" customHeight="1">
      <c r="A454" s="187" t="s">
        <v>60</v>
      </c>
      <c r="B454" s="188">
        <v>46059.0</v>
      </c>
      <c r="C454" s="187">
        <v>890.0</v>
      </c>
      <c r="D454" s="187" t="s">
        <v>107</v>
      </c>
      <c r="E454" s="98">
        <v>447.55</v>
      </c>
      <c r="F454" s="98">
        <v>449.43</v>
      </c>
      <c r="G454" s="98">
        <v>451.3</v>
      </c>
      <c r="H454" s="189">
        <v>1.6224</v>
      </c>
      <c r="I454" s="98">
        <v>-0.9945</v>
      </c>
      <c r="J454" s="98">
        <v>0.0</v>
      </c>
      <c r="K454" s="98">
        <v>0.0</v>
      </c>
      <c r="L454" s="189">
        <v>1.0306</v>
      </c>
    </row>
    <row r="455" ht="22.5" customHeight="1">
      <c r="A455" s="187" t="s">
        <v>60</v>
      </c>
      <c r="B455" s="188">
        <v>46059.0</v>
      </c>
      <c r="C455" s="187">
        <v>900.0</v>
      </c>
      <c r="D455" s="187" t="s">
        <v>107</v>
      </c>
      <c r="E455" s="98">
        <v>457.75</v>
      </c>
      <c r="F455" s="98">
        <v>459.43</v>
      </c>
      <c r="G455" s="98">
        <v>461.1</v>
      </c>
      <c r="H455" s="189">
        <v>1.6454</v>
      </c>
      <c r="I455" s="98">
        <v>-0.9945</v>
      </c>
      <c r="J455" s="98">
        <v>0.0</v>
      </c>
      <c r="K455" s="98">
        <v>0.0</v>
      </c>
      <c r="L455" s="189">
        <v>1.0534000000000001</v>
      </c>
    </row>
    <row r="456" ht="22.5" customHeight="1">
      <c r="A456" s="187" t="s">
        <v>60</v>
      </c>
      <c r="B456" s="188">
        <v>46059.0</v>
      </c>
      <c r="C456" s="187">
        <v>910.0</v>
      </c>
      <c r="D456" s="187" t="s">
        <v>107</v>
      </c>
      <c r="E456" s="98">
        <v>467.55</v>
      </c>
      <c r="F456" s="98">
        <v>469.43</v>
      </c>
      <c r="G456" s="98">
        <v>471.3</v>
      </c>
      <c r="H456" s="189">
        <v>1.6682</v>
      </c>
      <c r="I456" s="98">
        <v>-0.9945</v>
      </c>
      <c r="J456" s="98">
        <v>0.0</v>
      </c>
      <c r="K456" s="98">
        <v>0.0</v>
      </c>
      <c r="L456" s="189">
        <v>1.0762</v>
      </c>
    </row>
    <row r="457" ht="22.5" customHeight="1">
      <c r="A457" s="187" t="s">
        <v>60</v>
      </c>
      <c r="B457" s="188">
        <v>46059.0</v>
      </c>
      <c r="C457" s="187">
        <v>920.0</v>
      </c>
      <c r="D457" s="187" t="s">
        <v>107</v>
      </c>
      <c r="E457" s="98">
        <v>477.55</v>
      </c>
      <c r="F457" s="98">
        <v>479.43</v>
      </c>
      <c r="G457" s="98">
        <v>481.3</v>
      </c>
      <c r="H457" s="189">
        <v>1.6908</v>
      </c>
      <c r="I457" s="98">
        <v>-0.9945</v>
      </c>
      <c r="J457" s="98">
        <v>0.0</v>
      </c>
      <c r="K457" s="98">
        <v>0.0</v>
      </c>
      <c r="L457" s="189">
        <v>1.099</v>
      </c>
    </row>
    <row r="458" ht="22.5" customHeight="1">
      <c r="A458" s="187" t="s">
        <v>60</v>
      </c>
      <c r="B458" s="188">
        <v>46059.0</v>
      </c>
      <c r="C458" s="187">
        <v>930.0</v>
      </c>
      <c r="D458" s="187" t="s">
        <v>107</v>
      </c>
      <c r="E458" s="98">
        <v>487.55</v>
      </c>
      <c r="F458" s="98">
        <v>489.43</v>
      </c>
      <c r="G458" s="98">
        <v>491.3</v>
      </c>
      <c r="H458" s="189">
        <v>1.713</v>
      </c>
      <c r="I458" s="98">
        <v>-0.9946</v>
      </c>
      <c r="J458" s="98">
        <v>0.0</v>
      </c>
      <c r="K458" s="98">
        <v>0.0</v>
      </c>
      <c r="L458" s="189">
        <v>1.1218000000000001</v>
      </c>
    </row>
    <row r="459" ht="22.5" customHeight="1">
      <c r="A459" s="187" t="s">
        <v>60</v>
      </c>
      <c r="B459" s="188">
        <v>46059.0</v>
      </c>
      <c r="C459" s="187">
        <v>940.0</v>
      </c>
      <c r="D459" s="187" t="s">
        <v>107</v>
      </c>
      <c r="E459" s="98">
        <v>497.55</v>
      </c>
      <c r="F459" s="98">
        <v>499.43</v>
      </c>
      <c r="G459" s="98">
        <v>501.3</v>
      </c>
      <c r="H459" s="189">
        <v>1.735</v>
      </c>
      <c r="I459" s="98">
        <v>-0.9946</v>
      </c>
      <c r="J459" s="98">
        <v>0.0</v>
      </c>
      <c r="K459" s="98">
        <v>0.0</v>
      </c>
      <c r="L459" s="189">
        <v>1.1445999999999998</v>
      </c>
    </row>
    <row r="460" ht="22.5" customHeight="1">
      <c r="A460" s="187" t="s">
        <v>60</v>
      </c>
      <c r="B460" s="188">
        <v>46059.0</v>
      </c>
      <c r="C460" s="187">
        <v>950.0</v>
      </c>
      <c r="D460" s="187" t="s">
        <v>107</v>
      </c>
      <c r="E460" s="98">
        <v>507.75</v>
      </c>
      <c r="F460" s="98">
        <v>509.43</v>
      </c>
      <c r="G460" s="98">
        <v>511.1</v>
      </c>
      <c r="H460" s="189">
        <v>1.7568000000000001</v>
      </c>
      <c r="I460" s="98">
        <v>-0.9946</v>
      </c>
      <c r="J460" s="98">
        <v>0.0</v>
      </c>
      <c r="K460" s="98">
        <v>0.0</v>
      </c>
      <c r="L460" s="189">
        <v>1.1675</v>
      </c>
    </row>
    <row r="461" ht="22.5" customHeight="1">
      <c r="A461" s="187" t="s">
        <v>60</v>
      </c>
      <c r="B461" s="188">
        <v>46059.0</v>
      </c>
      <c r="C461" s="187">
        <v>960.0</v>
      </c>
      <c r="D461" s="187" t="s">
        <v>107</v>
      </c>
      <c r="E461" s="98">
        <v>517.55</v>
      </c>
      <c r="F461" s="98">
        <v>519.43</v>
      </c>
      <c r="G461" s="98">
        <v>521.3</v>
      </c>
      <c r="H461" s="189">
        <v>1.7783000000000002</v>
      </c>
      <c r="I461" s="98">
        <v>-0.9946</v>
      </c>
      <c r="J461" s="98">
        <v>0.0</v>
      </c>
      <c r="K461" s="98">
        <v>0.0</v>
      </c>
      <c r="L461" s="189">
        <v>1.1903</v>
      </c>
    </row>
    <row r="462" ht="22.5" customHeight="1">
      <c r="A462" s="187" t="s">
        <v>60</v>
      </c>
      <c r="B462" s="188">
        <v>46059.0</v>
      </c>
      <c r="C462" s="187">
        <v>970.0</v>
      </c>
      <c r="D462" s="187" t="s">
        <v>107</v>
      </c>
      <c r="E462" s="98">
        <v>527.55</v>
      </c>
      <c r="F462" s="98">
        <v>529.43</v>
      </c>
      <c r="G462" s="98">
        <v>531.3</v>
      </c>
      <c r="H462" s="189">
        <v>1.7996</v>
      </c>
      <c r="I462" s="98">
        <v>-0.9947</v>
      </c>
      <c r="J462" s="98">
        <v>0.0</v>
      </c>
      <c r="K462" s="98">
        <v>0.0</v>
      </c>
      <c r="L462" s="189">
        <v>1.2131</v>
      </c>
    </row>
    <row r="463" ht="22.5" customHeight="1">
      <c r="A463" s="187" t="s">
        <v>60</v>
      </c>
      <c r="B463" s="188">
        <v>46059.0</v>
      </c>
      <c r="C463" s="187">
        <v>980.0</v>
      </c>
      <c r="D463" s="187" t="s">
        <v>107</v>
      </c>
      <c r="E463" s="98">
        <v>537.55</v>
      </c>
      <c r="F463" s="98">
        <v>539.43</v>
      </c>
      <c r="G463" s="98">
        <v>541.3</v>
      </c>
      <c r="H463" s="189">
        <v>1.8207</v>
      </c>
      <c r="I463" s="98">
        <v>-0.9947</v>
      </c>
      <c r="J463" s="98">
        <v>0.0</v>
      </c>
      <c r="K463" s="98">
        <v>0.0</v>
      </c>
      <c r="L463" s="189">
        <v>1.2359</v>
      </c>
    </row>
    <row r="464" ht="22.5" customHeight="1">
      <c r="A464" s="187" t="s">
        <v>60</v>
      </c>
      <c r="B464" s="188">
        <v>46920.0</v>
      </c>
      <c r="C464" s="187">
        <v>5.0</v>
      </c>
      <c r="D464" s="187" t="s">
        <v>106</v>
      </c>
      <c r="E464" s="98">
        <v>433.9</v>
      </c>
      <c r="F464" s="98">
        <v>435.48</v>
      </c>
      <c r="G464" s="98">
        <v>437.05</v>
      </c>
      <c r="H464" s="189">
        <v>0.0</v>
      </c>
      <c r="I464" s="98">
        <v>0.0</v>
      </c>
      <c r="J464" s="98">
        <v>0.0</v>
      </c>
      <c r="K464" s="98">
        <v>1558.0</v>
      </c>
      <c r="L464" s="189">
        <v>0.9886</v>
      </c>
    </row>
    <row r="465" ht="22.5" customHeight="1">
      <c r="A465" s="187" t="s">
        <v>60</v>
      </c>
      <c r="B465" s="188">
        <v>46920.0</v>
      </c>
      <c r="C465" s="187">
        <v>10.0</v>
      </c>
      <c r="D465" s="187" t="s">
        <v>106</v>
      </c>
      <c r="E465" s="98">
        <v>429.4</v>
      </c>
      <c r="F465" s="98">
        <v>433.4</v>
      </c>
      <c r="G465" s="98">
        <v>437.4</v>
      </c>
      <c r="H465" s="189">
        <v>1.5338999999999998</v>
      </c>
      <c r="I465" s="98">
        <v>0.9976</v>
      </c>
      <c r="J465" s="98">
        <v>0.0</v>
      </c>
      <c r="K465" s="98">
        <v>58.0</v>
      </c>
      <c r="L465" s="189">
        <v>0.9772</v>
      </c>
    </row>
    <row r="466" ht="22.5" customHeight="1">
      <c r="A466" s="187" t="s">
        <v>60</v>
      </c>
      <c r="B466" s="188">
        <v>46920.0</v>
      </c>
      <c r="C466" s="187">
        <v>15.0</v>
      </c>
      <c r="D466" s="187" t="s">
        <v>106</v>
      </c>
      <c r="E466" s="98">
        <v>424.95</v>
      </c>
      <c r="F466" s="98">
        <v>428.95</v>
      </c>
      <c r="G466" s="98">
        <v>432.95</v>
      </c>
      <c r="H466" s="189">
        <v>1.3343</v>
      </c>
      <c r="I466" s="98">
        <v>0.9967</v>
      </c>
      <c r="J466" s="98">
        <v>0.0</v>
      </c>
      <c r="K466" s="98">
        <v>29.0</v>
      </c>
      <c r="L466" s="189">
        <v>0.9658</v>
      </c>
    </row>
    <row r="467" ht="22.5" customHeight="1">
      <c r="A467" s="187" t="s">
        <v>60</v>
      </c>
      <c r="B467" s="188">
        <v>46920.0</v>
      </c>
      <c r="C467" s="187">
        <v>20.0</v>
      </c>
      <c r="D467" s="187" t="s">
        <v>106</v>
      </c>
      <c r="E467" s="98">
        <v>420.55</v>
      </c>
      <c r="F467" s="98">
        <v>424.53</v>
      </c>
      <c r="G467" s="98">
        <v>428.5</v>
      </c>
      <c r="H467" s="189">
        <v>1.2119</v>
      </c>
      <c r="I467" s="98">
        <v>0.9958</v>
      </c>
      <c r="J467" s="98">
        <v>0.0</v>
      </c>
      <c r="K467" s="98">
        <v>9.0</v>
      </c>
      <c r="L467" s="189">
        <v>0.9544</v>
      </c>
    </row>
    <row r="468" ht="22.5" customHeight="1">
      <c r="A468" s="187" t="s">
        <v>60</v>
      </c>
      <c r="B468" s="188">
        <v>46920.0</v>
      </c>
      <c r="C468" s="187">
        <v>25.0</v>
      </c>
      <c r="D468" s="187" t="s">
        <v>106</v>
      </c>
      <c r="E468" s="98">
        <v>416.15</v>
      </c>
      <c r="F468" s="98">
        <v>420.13</v>
      </c>
      <c r="G468" s="98">
        <v>424.1</v>
      </c>
      <c r="H468" s="189">
        <v>1.1262999999999999</v>
      </c>
      <c r="I468" s="98">
        <v>0.9949</v>
      </c>
      <c r="J468" s="98">
        <v>0.0</v>
      </c>
      <c r="K468" s="98">
        <v>8.0</v>
      </c>
      <c r="L468" s="189">
        <v>0.943</v>
      </c>
    </row>
    <row r="469" ht="22.5" customHeight="1">
      <c r="A469" s="187" t="s">
        <v>60</v>
      </c>
      <c r="B469" s="188">
        <v>46920.0</v>
      </c>
      <c r="C469" s="187">
        <v>30.0</v>
      </c>
      <c r="D469" s="187" t="s">
        <v>106</v>
      </c>
      <c r="E469" s="98">
        <v>411.75</v>
      </c>
      <c r="F469" s="98">
        <v>415.73</v>
      </c>
      <c r="G469" s="98">
        <v>419.7</v>
      </c>
      <c r="H469" s="189">
        <v>1.0598999999999998</v>
      </c>
      <c r="I469" s="98">
        <v>0.994</v>
      </c>
      <c r="J469" s="98">
        <v>0.0</v>
      </c>
      <c r="K469" s="98">
        <v>93.0</v>
      </c>
      <c r="L469" s="189">
        <v>0.9316</v>
      </c>
    </row>
    <row r="470" ht="22.5" customHeight="1">
      <c r="A470" s="187" t="s">
        <v>60</v>
      </c>
      <c r="B470" s="188">
        <v>46920.0</v>
      </c>
      <c r="C470" s="187">
        <v>35.0</v>
      </c>
      <c r="D470" s="187" t="s">
        <v>106</v>
      </c>
      <c r="E470" s="98">
        <v>407.4</v>
      </c>
      <c r="F470" s="98">
        <v>411.38</v>
      </c>
      <c r="G470" s="98">
        <v>415.35</v>
      </c>
      <c r="H470" s="189">
        <v>1.0095</v>
      </c>
      <c r="I470" s="98">
        <v>0.993</v>
      </c>
      <c r="J470" s="98">
        <v>0.0</v>
      </c>
      <c r="K470" s="98">
        <v>0.0</v>
      </c>
      <c r="L470" s="189">
        <v>0.9201</v>
      </c>
    </row>
    <row r="471" ht="22.5" customHeight="1">
      <c r="A471" s="187" t="s">
        <v>60</v>
      </c>
      <c r="B471" s="188">
        <v>46920.0</v>
      </c>
      <c r="C471" s="187">
        <v>40.0</v>
      </c>
      <c r="D471" s="187" t="s">
        <v>106</v>
      </c>
      <c r="E471" s="98">
        <v>403.05</v>
      </c>
      <c r="F471" s="98">
        <v>407.03</v>
      </c>
      <c r="G471" s="98">
        <v>411.0</v>
      </c>
      <c r="H471" s="189">
        <v>0.9670000000000001</v>
      </c>
      <c r="I471" s="98">
        <v>0.992</v>
      </c>
      <c r="J471" s="98">
        <v>0.0</v>
      </c>
      <c r="K471" s="98">
        <v>2.0</v>
      </c>
      <c r="L471" s="189">
        <v>0.9087000000000001</v>
      </c>
    </row>
    <row r="472" ht="22.5" customHeight="1">
      <c r="A472" s="187" t="s">
        <v>60</v>
      </c>
      <c r="B472" s="188">
        <v>46920.0</v>
      </c>
      <c r="C472" s="187">
        <v>45.0</v>
      </c>
      <c r="D472" s="187" t="s">
        <v>106</v>
      </c>
      <c r="E472" s="98">
        <v>398.7</v>
      </c>
      <c r="F472" s="98">
        <v>402.7</v>
      </c>
      <c r="G472" s="98">
        <v>406.7</v>
      </c>
      <c r="H472" s="189">
        <v>0.9315000000000001</v>
      </c>
      <c r="I472" s="98">
        <v>0.991</v>
      </c>
      <c r="J472" s="98">
        <v>0.0</v>
      </c>
      <c r="K472" s="98">
        <v>10.0</v>
      </c>
      <c r="L472" s="189">
        <v>0.8973</v>
      </c>
    </row>
    <row r="473" ht="22.5" customHeight="1">
      <c r="A473" s="187" t="s">
        <v>60</v>
      </c>
      <c r="B473" s="188">
        <v>46920.0</v>
      </c>
      <c r="C473" s="187">
        <v>50.0</v>
      </c>
      <c r="D473" s="187" t="s">
        <v>106</v>
      </c>
      <c r="E473" s="98">
        <v>394.4</v>
      </c>
      <c r="F473" s="98">
        <v>398.4</v>
      </c>
      <c r="G473" s="98">
        <v>402.4</v>
      </c>
      <c r="H473" s="189">
        <v>0.9015000000000001</v>
      </c>
      <c r="I473" s="98">
        <v>0.9898</v>
      </c>
      <c r="J473" s="98">
        <v>0.0</v>
      </c>
      <c r="K473" s="98">
        <v>5.0</v>
      </c>
      <c r="L473" s="189">
        <v>0.8859</v>
      </c>
    </row>
    <row r="474" ht="22.5" customHeight="1">
      <c r="A474" s="187" t="s">
        <v>60</v>
      </c>
      <c r="B474" s="188">
        <v>46920.0</v>
      </c>
      <c r="C474" s="187">
        <v>55.0</v>
      </c>
      <c r="D474" s="187" t="s">
        <v>106</v>
      </c>
      <c r="E474" s="98">
        <v>390.15</v>
      </c>
      <c r="F474" s="98">
        <v>394.05</v>
      </c>
      <c r="G474" s="98">
        <v>397.95</v>
      </c>
      <c r="H474" s="189">
        <v>0.8719</v>
      </c>
      <c r="I474" s="98">
        <v>0.9888</v>
      </c>
      <c r="J474" s="98">
        <v>0.0</v>
      </c>
      <c r="K474" s="98">
        <v>170.0</v>
      </c>
      <c r="L474" s="189">
        <v>0.8745</v>
      </c>
    </row>
    <row r="475" ht="22.5" customHeight="1">
      <c r="A475" s="187" t="s">
        <v>60</v>
      </c>
      <c r="B475" s="188">
        <v>46920.0</v>
      </c>
      <c r="C475" s="187">
        <v>60.0</v>
      </c>
      <c r="D475" s="187" t="s">
        <v>106</v>
      </c>
      <c r="E475" s="98">
        <v>385.9</v>
      </c>
      <c r="F475" s="98">
        <v>389.8</v>
      </c>
      <c r="G475" s="98">
        <v>393.7</v>
      </c>
      <c r="H475" s="189">
        <v>0.8495999999999999</v>
      </c>
      <c r="I475" s="98">
        <v>0.9875</v>
      </c>
      <c r="J475" s="98">
        <v>0.0</v>
      </c>
      <c r="K475" s="98">
        <v>280.0</v>
      </c>
      <c r="L475" s="189">
        <v>0.8631</v>
      </c>
    </row>
    <row r="476" ht="22.5" customHeight="1">
      <c r="A476" s="187" t="s">
        <v>60</v>
      </c>
      <c r="B476" s="188">
        <v>46920.0</v>
      </c>
      <c r="C476" s="187">
        <v>65.0</v>
      </c>
      <c r="D476" s="187" t="s">
        <v>106</v>
      </c>
      <c r="E476" s="98">
        <v>381.65</v>
      </c>
      <c r="F476" s="98">
        <v>385.63</v>
      </c>
      <c r="G476" s="98">
        <v>389.6</v>
      </c>
      <c r="H476" s="189">
        <v>0.8320000000000001</v>
      </c>
      <c r="I476" s="98">
        <v>0.986</v>
      </c>
      <c r="J476" s="98">
        <v>0.0</v>
      </c>
      <c r="K476" s="98">
        <v>489.0</v>
      </c>
      <c r="L476" s="189">
        <v>0.8517</v>
      </c>
    </row>
    <row r="477" ht="22.5" customHeight="1">
      <c r="A477" s="187" t="s">
        <v>60</v>
      </c>
      <c r="B477" s="188">
        <v>46920.0</v>
      </c>
      <c r="C477" s="187">
        <v>70.0</v>
      </c>
      <c r="D477" s="187" t="s">
        <v>106</v>
      </c>
      <c r="E477" s="98">
        <v>377.45</v>
      </c>
      <c r="F477" s="98">
        <v>381.42</v>
      </c>
      <c r="G477" s="98">
        <v>385.4</v>
      </c>
      <c r="H477" s="189">
        <v>0.8143</v>
      </c>
      <c r="I477" s="98">
        <v>0.9846</v>
      </c>
      <c r="J477" s="98">
        <v>0.0</v>
      </c>
      <c r="K477" s="98">
        <v>0.0</v>
      </c>
      <c r="L477" s="189">
        <v>0.8403</v>
      </c>
    </row>
    <row r="478" ht="22.5" customHeight="1">
      <c r="A478" s="187" t="s">
        <v>60</v>
      </c>
      <c r="B478" s="188">
        <v>46920.0</v>
      </c>
      <c r="C478" s="187">
        <v>75.0</v>
      </c>
      <c r="D478" s="187" t="s">
        <v>106</v>
      </c>
      <c r="E478" s="98">
        <v>373.25</v>
      </c>
      <c r="F478" s="98">
        <v>377.23</v>
      </c>
      <c r="G478" s="98">
        <v>381.2</v>
      </c>
      <c r="H478" s="189">
        <v>0.7975</v>
      </c>
      <c r="I478" s="98">
        <v>0.9831</v>
      </c>
      <c r="J478" s="98">
        <v>0.0</v>
      </c>
      <c r="K478" s="98">
        <v>0.0</v>
      </c>
      <c r="L478" s="189">
        <v>0.8289</v>
      </c>
    </row>
    <row r="479" ht="22.5" customHeight="1">
      <c r="A479" s="187" t="s">
        <v>60</v>
      </c>
      <c r="B479" s="188">
        <v>46920.0</v>
      </c>
      <c r="C479" s="187">
        <v>80.0</v>
      </c>
      <c r="D479" s="187" t="s">
        <v>106</v>
      </c>
      <c r="E479" s="98">
        <v>370.8</v>
      </c>
      <c r="F479" s="98">
        <v>372.93</v>
      </c>
      <c r="G479" s="98">
        <v>375.05</v>
      </c>
      <c r="H479" s="189">
        <v>0.7781999999999999</v>
      </c>
      <c r="I479" s="98">
        <v>0.9818</v>
      </c>
      <c r="J479" s="98">
        <v>0.0</v>
      </c>
      <c r="K479" s="98">
        <v>0.0</v>
      </c>
      <c r="L479" s="189">
        <v>0.8175</v>
      </c>
    </row>
    <row r="480" ht="22.5" customHeight="1">
      <c r="A480" s="187" t="s">
        <v>60</v>
      </c>
      <c r="B480" s="188">
        <v>46920.0</v>
      </c>
      <c r="C480" s="187">
        <v>85.0</v>
      </c>
      <c r="D480" s="187" t="s">
        <v>106</v>
      </c>
      <c r="E480" s="98">
        <v>366.55</v>
      </c>
      <c r="F480" s="98">
        <v>368.73</v>
      </c>
      <c r="G480" s="98">
        <v>370.9</v>
      </c>
      <c r="H480" s="189">
        <v>0.7631</v>
      </c>
      <c r="I480" s="98">
        <v>0.9802</v>
      </c>
      <c r="J480" s="98">
        <v>0.0</v>
      </c>
      <c r="K480" s="98">
        <v>26.0</v>
      </c>
      <c r="L480" s="189">
        <v>0.8061</v>
      </c>
    </row>
    <row r="481" ht="22.5" customHeight="1">
      <c r="A481" s="187" t="s">
        <v>60</v>
      </c>
      <c r="B481" s="188">
        <v>46920.0</v>
      </c>
      <c r="C481" s="187">
        <v>90.0</v>
      </c>
      <c r="D481" s="187" t="s">
        <v>106</v>
      </c>
      <c r="E481" s="98">
        <v>362.45</v>
      </c>
      <c r="F481" s="98">
        <v>364.63</v>
      </c>
      <c r="G481" s="98">
        <v>366.8</v>
      </c>
      <c r="H481" s="189">
        <v>0.7515000000000001</v>
      </c>
      <c r="I481" s="98">
        <v>0.9784</v>
      </c>
      <c r="J481" s="98">
        <v>0.0</v>
      </c>
      <c r="K481" s="98">
        <v>77.0</v>
      </c>
      <c r="L481" s="189">
        <v>0.7947</v>
      </c>
    </row>
    <row r="482" ht="22.5" customHeight="1">
      <c r="A482" s="187" t="s">
        <v>60</v>
      </c>
      <c r="B482" s="188">
        <v>46920.0</v>
      </c>
      <c r="C482" s="187">
        <v>95.0</v>
      </c>
      <c r="D482" s="187" t="s">
        <v>106</v>
      </c>
      <c r="E482" s="98">
        <v>358.35</v>
      </c>
      <c r="F482" s="98">
        <v>360.48</v>
      </c>
      <c r="G482" s="98">
        <v>362.6</v>
      </c>
      <c r="H482" s="189">
        <v>0.7387</v>
      </c>
      <c r="I482" s="98">
        <v>0.9767</v>
      </c>
      <c r="J482" s="98">
        <v>0.0</v>
      </c>
      <c r="K482" s="98">
        <v>49.0</v>
      </c>
      <c r="L482" s="189">
        <v>0.7833</v>
      </c>
    </row>
    <row r="483" ht="22.5" customHeight="1">
      <c r="A483" s="187" t="s">
        <v>60</v>
      </c>
      <c r="B483" s="188">
        <v>46920.0</v>
      </c>
      <c r="C483" s="187">
        <v>100.0</v>
      </c>
      <c r="D483" s="187" t="s">
        <v>106</v>
      </c>
      <c r="E483" s="98">
        <v>354.4</v>
      </c>
      <c r="F483" s="98">
        <v>356.4</v>
      </c>
      <c r="G483" s="98">
        <v>358.4</v>
      </c>
      <c r="H483" s="189">
        <v>0.7282</v>
      </c>
      <c r="I483" s="98">
        <v>0.9748</v>
      </c>
      <c r="J483" s="98">
        <v>0.0</v>
      </c>
      <c r="K483" s="98">
        <v>210.0</v>
      </c>
      <c r="L483" s="189">
        <v>0.7718</v>
      </c>
    </row>
    <row r="484" ht="22.5" customHeight="1">
      <c r="A484" s="187" t="s">
        <v>60</v>
      </c>
      <c r="B484" s="188">
        <v>46920.0</v>
      </c>
      <c r="C484" s="187">
        <v>110.0</v>
      </c>
      <c r="D484" s="187" t="s">
        <v>106</v>
      </c>
      <c r="E484" s="98">
        <v>346.3</v>
      </c>
      <c r="F484" s="98">
        <v>348.3</v>
      </c>
      <c r="G484" s="98">
        <v>350.3</v>
      </c>
      <c r="H484" s="189">
        <v>0.7087</v>
      </c>
      <c r="I484" s="98">
        <v>0.9708</v>
      </c>
      <c r="J484" s="98">
        <v>0.0</v>
      </c>
      <c r="K484" s="98">
        <v>14.0</v>
      </c>
      <c r="L484" s="189">
        <v>0.7490000000000001</v>
      </c>
    </row>
    <row r="485" ht="22.5" customHeight="1">
      <c r="A485" s="187" t="s">
        <v>60</v>
      </c>
      <c r="B485" s="188">
        <v>46920.0</v>
      </c>
      <c r="C485" s="187">
        <v>120.0</v>
      </c>
      <c r="D485" s="187" t="s">
        <v>106</v>
      </c>
      <c r="E485" s="98">
        <v>338.5</v>
      </c>
      <c r="F485" s="98">
        <v>340.3</v>
      </c>
      <c r="G485" s="98">
        <v>342.1</v>
      </c>
      <c r="H485" s="189">
        <v>0.6916</v>
      </c>
      <c r="I485" s="98">
        <v>0.9665</v>
      </c>
      <c r="J485" s="98">
        <v>0.0</v>
      </c>
      <c r="K485" s="98">
        <v>6.0</v>
      </c>
      <c r="L485" s="189">
        <v>0.7262000000000001</v>
      </c>
    </row>
    <row r="486" ht="22.5" customHeight="1">
      <c r="A486" s="187" t="s">
        <v>60</v>
      </c>
      <c r="B486" s="188">
        <v>46920.0</v>
      </c>
      <c r="C486" s="187">
        <v>130.0</v>
      </c>
      <c r="D486" s="187" t="s">
        <v>106</v>
      </c>
      <c r="E486" s="98">
        <v>330.5</v>
      </c>
      <c r="F486" s="98">
        <v>332.35</v>
      </c>
      <c r="G486" s="98">
        <v>334.2</v>
      </c>
      <c r="H486" s="189">
        <v>0.6754000000000001</v>
      </c>
      <c r="I486" s="98">
        <v>0.9619</v>
      </c>
      <c r="J486" s="98">
        <v>0.0</v>
      </c>
      <c r="K486" s="98">
        <v>22.0</v>
      </c>
      <c r="L486" s="189">
        <v>0.7034</v>
      </c>
    </row>
    <row r="487" ht="22.5" customHeight="1">
      <c r="A487" s="187" t="s">
        <v>60</v>
      </c>
      <c r="B487" s="188">
        <v>46920.0</v>
      </c>
      <c r="C487" s="187">
        <v>140.0</v>
      </c>
      <c r="D487" s="187" t="s">
        <v>106</v>
      </c>
      <c r="E487" s="98">
        <v>322.9</v>
      </c>
      <c r="F487" s="98">
        <v>324.67</v>
      </c>
      <c r="G487" s="98">
        <v>326.45</v>
      </c>
      <c r="H487" s="189">
        <v>0.6638</v>
      </c>
      <c r="I487" s="98">
        <v>0.9568</v>
      </c>
      <c r="J487" s="98">
        <v>0.0</v>
      </c>
      <c r="K487" s="98">
        <v>11.0</v>
      </c>
      <c r="L487" s="189">
        <v>0.6806</v>
      </c>
    </row>
    <row r="488" ht="22.5" customHeight="1">
      <c r="A488" s="187" t="s">
        <v>60</v>
      </c>
      <c r="B488" s="188">
        <v>46920.0</v>
      </c>
      <c r="C488" s="187">
        <v>150.0</v>
      </c>
      <c r="D488" s="187" t="s">
        <v>106</v>
      </c>
      <c r="E488" s="98">
        <v>315.15</v>
      </c>
      <c r="F488" s="98">
        <v>316.98</v>
      </c>
      <c r="G488" s="98">
        <v>318.8</v>
      </c>
      <c r="H488" s="189">
        <v>0.6511</v>
      </c>
      <c r="I488" s="98">
        <v>0.9515</v>
      </c>
      <c r="J488" s="98">
        <v>0.0</v>
      </c>
      <c r="K488" s="98">
        <v>75.0</v>
      </c>
      <c r="L488" s="189">
        <v>0.6578</v>
      </c>
    </row>
    <row r="489" ht="22.5" customHeight="1">
      <c r="A489" s="187" t="s">
        <v>60</v>
      </c>
      <c r="B489" s="188">
        <v>46920.0</v>
      </c>
      <c r="C489" s="187">
        <v>160.0</v>
      </c>
      <c r="D489" s="187" t="s">
        <v>106</v>
      </c>
      <c r="E489" s="98">
        <v>307.7</v>
      </c>
      <c r="F489" s="98">
        <v>309.5</v>
      </c>
      <c r="G489" s="98">
        <v>311.3</v>
      </c>
      <c r="H489" s="189">
        <v>0.6411</v>
      </c>
      <c r="I489" s="98">
        <v>0.9457</v>
      </c>
      <c r="J489" s="98">
        <v>0.0</v>
      </c>
      <c r="K489" s="98">
        <v>36.0</v>
      </c>
      <c r="L489" s="189">
        <v>0.635</v>
      </c>
    </row>
    <row r="490" ht="22.5" customHeight="1">
      <c r="A490" s="187" t="s">
        <v>60</v>
      </c>
      <c r="B490" s="188">
        <v>46920.0</v>
      </c>
      <c r="C490" s="187">
        <v>170.0</v>
      </c>
      <c r="D490" s="187" t="s">
        <v>106</v>
      </c>
      <c r="E490" s="98">
        <v>300.5</v>
      </c>
      <c r="F490" s="98">
        <v>302.2</v>
      </c>
      <c r="G490" s="98">
        <v>303.9</v>
      </c>
      <c r="H490" s="189">
        <v>0.6327</v>
      </c>
      <c r="I490" s="98">
        <v>0.9395</v>
      </c>
      <c r="J490" s="98">
        <v>0.0</v>
      </c>
      <c r="K490" s="98">
        <v>115.0</v>
      </c>
      <c r="L490" s="189">
        <v>0.6121</v>
      </c>
    </row>
    <row r="491" ht="22.5" customHeight="1">
      <c r="A491" s="187" t="s">
        <v>60</v>
      </c>
      <c r="B491" s="188">
        <v>46920.0</v>
      </c>
      <c r="C491" s="187">
        <v>180.0</v>
      </c>
      <c r="D491" s="187" t="s">
        <v>106</v>
      </c>
      <c r="E491" s="98">
        <v>293.3</v>
      </c>
      <c r="F491" s="98">
        <v>294.98</v>
      </c>
      <c r="G491" s="98">
        <v>296.65</v>
      </c>
      <c r="H491" s="189">
        <v>0.6243</v>
      </c>
      <c r="I491" s="98">
        <v>0.9331</v>
      </c>
      <c r="J491" s="98">
        <v>0.0</v>
      </c>
      <c r="K491" s="98">
        <v>100.0</v>
      </c>
      <c r="L491" s="189">
        <v>0.5893</v>
      </c>
    </row>
    <row r="492" ht="22.5" customHeight="1">
      <c r="A492" s="187" t="s">
        <v>60</v>
      </c>
      <c r="B492" s="188">
        <v>46920.0</v>
      </c>
      <c r="C492" s="187">
        <v>190.0</v>
      </c>
      <c r="D492" s="187" t="s">
        <v>106</v>
      </c>
      <c r="E492" s="98">
        <v>286.1</v>
      </c>
      <c r="F492" s="98">
        <v>287.83</v>
      </c>
      <c r="G492" s="98">
        <v>289.55</v>
      </c>
      <c r="H492" s="189">
        <v>0.6161</v>
      </c>
      <c r="I492" s="98">
        <v>0.9265</v>
      </c>
      <c r="J492" s="98">
        <v>0.0</v>
      </c>
      <c r="K492" s="98">
        <v>51.0</v>
      </c>
      <c r="L492" s="189">
        <v>0.5665</v>
      </c>
    </row>
    <row r="493" ht="22.5" customHeight="1">
      <c r="A493" s="187" t="s">
        <v>60</v>
      </c>
      <c r="B493" s="188">
        <v>46920.0</v>
      </c>
      <c r="C493" s="187">
        <v>200.0</v>
      </c>
      <c r="D493" s="187" t="s">
        <v>106</v>
      </c>
      <c r="E493" s="98">
        <v>279.45</v>
      </c>
      <c r="F493" s="98">
        <v>281.03</v>
      </c>
      <c r="G493" s="98">
        <v>282.6</v>
      </c>
      <c r="H493" s="189">
        <v>0.6107</v>
      </c>
      <c r="I493" s="98">
        <v>0.9192</v>
      </c>
      <c r="J493" s="98">
        <v>0.0</v>
      </c>
      <c r="K493" s="98">
        <v>170.0</v>
      </c>
      <c r="L493" s="189">
        <v>0.5437</v>
      </c>
    </row>
    <row r="494" ht="22.5" customHeight="1">
      <c r="A494" s="187" t="s">
        <v>60</v>
      </c>
      <c r="B494" s="188">
        <v>46920.0</v>
      </c>
      <c r="C494" s="187">
        <v>210.0</v>
      </c>
      <c r="D494" s="187" t="s">
        <v>106</v>
      </c>
      <c r="E494" s="98">
        <v>272.65</v>
      </c>
      <c r="F494" s="98">
        <v>274.23</v>
      </c>
      <c r="G494" s="98">
        <v>275.8</v>
      </c>
      <c r="H494" s="189">
        <v>0.6043999999999999</v>
      </c>
      <c r="I494" s="98">
        <v>0.9119</v>
      </c>
      <c r="J494" s="98">
        <v>0.0</v>
      </c>
      <c r="K494" s="98">
        <v>54.0</v>
      </c>
      <c r="L494" s="189">
        <v>0.5209</v>
      </c>
    </row>
    <row r="495" ht="22.5" customHeight="1">
      <c r="A495" s="187" t="s">
        <v>60</v>
      </c>
      <c r="B495" s="188">
        <v>46920.0</v>
      </c>
      <c r="C495" s="187">
        <v>220.0</v>
      </c>
      <c r="D495" s="187" t="s">
        <v>106</v>
      </c>
      <c r="E495" s="98">
        <v>266.05</v>
      </c>
      <c r="F495" s="98">
        <v>267.63</v>
      </c>
      <c r="G495" s="98">
        <v>269.2</v>
      </c>
      <c r="H495" s="189">
        <v>0.5992000000000001</v>
      </c>
      <c r="I495" s="98">
        <v>0.9042</v>
      </c>
      <c r="J495" s="98">
        <v>0.0</v>
      </c>
      <c r="K495" s="98">
        <v>69.0</v>
      </c>
      <c r="L495" s="189">
        <v>0.49810000000000004</v>
      </c>
    </row>
    <row r="496" ht="22.5" customHeight="1">
      <c r="A496" s="187" t="s">
        <v>60</v>
      </c>
      <c r="B496" s="188">
        <v>46920.0</v>
      </c>
      <c r="C496" s="187">
        <v>230.0</v>
      </c>
      <c r="D496" s="187" t="s">
        <v>106</v>
      </c>
      <c r="E496" s="98">
        <v>259.6</v>
      </c>
      <c r="F496" s="98">
        <v>261.15</v>
      </c>
      <c r="G496" s="98">
        <v>262.7</v>
      </c>
      <c r="H496" s="189">
        <v>0.5942000000000001</v>
      </c>
      <c r="I496" s="98">
        <v>0.8963</v>
      </c>
      <c r="J496" s="98">
        <v>0.0</v>
      </c>
      <c r="K496" s="98">
        <v>20.0</v>
      </c>
      <c r="L496" s="189">
        <v>0.4752</v>
      </c>
    </row>
    <row r="497" ht="22.5" customHeight="1">
      <c r="A497" s="187" t="s">
        <v>60</v>
      </c>
      <c r="B497" s="188">
        <v>46920.0</v>
      </c>
      <c r="C497" s="187">
        <v>240.0</v>
      </c>
      <c r="D497" s="187" t="s">
        <v>106</v>
      </c>
      <c r="E497" s="98">
        <v>253.35</v>
      </c>
      <c r="F497" s="98">
        <v>254.83</v>
      </c>
      <c r="G497" s="98">
        <v>256.3</v>
      </c>
      <c r="H497" s="189">
        <v>0.5897</v>
      </c>
      <c r="I497" s="98">
        <v>0.8882</v>
      </c>
      <c r="J497" s="98">
        <v>0.0</v>
      </c>
      <c r="K497" s="98">
        <v>87.0</v>
      </c>
      <c r="L497" s="189">
        <v>0.4524</v>
      </c>
    </row>
    <row r="498" ht="22.5" customHeight="1">
      <c r="A498" s="187" t="s">
        <v>60</v>
      </c>
      <c r="B498" s="188">
        <v>46920.0</v>
      </c>
      <c r="C498" s="187">
        <v>250.0</v>
      </c>
      <c r="D498" s="187" t="s">
        <v>106</v>
      </c>
      <c r="E498" s="98">
        <v>247.2</v>
      </c>
      <c r="F498" s="98">
        <v>248.68</v>
      </c>
      <c r="G498" s="98">
        <v>250.15</v>
      </c>
      <c r="H498" s="189">
        <v>0.5857</v>
      </c>
      <c r="I498" s="98">
        <v>0.8798</v>
      </c>
      <c r="J498" s="98">
        <v>0.0</v>
      </c>
      <c r="K498" s="98">
        <v>301.0</v>
      </c>
      <c r="L498" s="189">
        <v>0.4296</v>
      </c>
    </row>
    <row r="499" ht="22.5" customHeight="1">
      <c r="A499" s="187" t="s">
        <v>60</v>
      </c>
      <c r="B499" s="188">
        <v>46920.0</v>
      </c>
      <c r="C499" s="187">
        <v>260.0</v>
      </c>
      <c r="D499" s="187" t="s">
        <v>106</v>
      </c>
      <c r="E499" s="98">
        <v>241.2</v>
      </c>
      <c r="F499" s="98">
        <v>242.68</v>
      </c>
      <c r="G499" s="98">
        <v>244.15</v>
      </c>
      <c r="H499" s="189">
        <v>0.5821000000000001</v>
      </c>
      <c r="I499" s="98">
        <v>0.8712</v>
      </c>
      <c r="J499" s="98">
        <v>0.0</v>
      </c>
      <c r="K499" s="98">
        <v>95.0</v>
      </c>
      <c r="L499" s="189">
        <v>0.4068</v>
      </c>
    </row>
    <row r="500" ht="22.5" customHeight="1">
      <c r="A500" s="187" t="s">
        <v>60</v>
      </c>
      <c r="B500" s="188">
        <v>46920.0</v>
      </c>
      <c r="C500" s="187">
        <v>270.0</v>
      </c>
      <c r="D500" s="187" t="s">
        <v>106</v>
      </c>
      <c r="E500" s="98">
        <v>235.4</v>
      </c>
      <c r="F500" s="98">
        <v>236.9</v>
      </c>
      <c r="G500" s="98">
        <v>238.4</v>
      </c>
      <c r="H500" s="189">
        <v>0.5793</v>
      </c>
      <c r="I500" s="98">
        <v>0.8623</v>
      </c>
      <c r="J500" s="98">
        <v>0.0</v>
      </c>
      <c r="K500" s="98">
        <v>70.0</v>
      </c>
      <c r="L500" s="189">
        <v>0.384</v>
      </c>
    </row>
    <row r="501" ht="22.5" customHeight="1">
      <c r="A501" s="187" t="s">
        <v>60</v>
      </c>
      <c r="B501" s="188">
        <v>46920.0</v>
      </c>
      <c r="C501" s="187">
        <v>280.0</v>
      </c>
      <c r="D501" s="187" t="s">
        <v>106</v>
      </c>
      <c r="E501" s="98">
        <v>229.65</v>
      </c>
      <c r="F501" s="98">
        <v>231.15</v>
      </c>
      <c r="G501" s="98">
        <v>232.65</v>
      </c>
      <c r="H501" s="189">
        <v>0.5759000000000001</v>
      </c>
      <c r="I501" s="98">
        <v>0.8534</v>
      </c>
      <c r="J501" s="98">
        <v>0.0</v>
      </c>
      <c r="K501" s="98">
        <v>102.0</v>
      </c>
      <c r="L501" s="189">
        <v>0.36119999999999997</v>
      </c>
    </row>
    <row r="502" ht="22.5" customHeight="1">
      <c r="A502" s="187" t="s">
        <v>60</v>
      </c>
      <c r="B502" s="188">
        <v>46920.0</v>
      </c>
      <c r="C502" s="187">
        <v>290.0</v>
      </c>
      <c r="D502" s="187" t="s">
        <v>106</v>
      </c>
      <c r="E502" s="98">
        <v>224.3</v>
      </c>
      <c r="F502" s="98">
        <v>225.48</v>
      </c>
      <c r="G502" s="98">
        <v>226.65</v>
      </c>
      <c r="H502" s="189">
        <v>0.5724</v>
      </c>
      <c r="I502" s="98">
        <v>0.8443</v>
      </c>
      <c r="J502" s="98">
        <v>0.0</v>
      </c>
      <c r="K502" s="98">
        <v>177.0</v>
      </c>
      <c r="L502" s="189">
        <v>0.33840000000000003</v>
      </c>
    </row>
    <row r="503" ht="22.5" customHeight="1">
      <c r="A503" s="187" t="s">
        <v>60</v>
      </c>
      <c r="B503" s="188">
        <v>46920.0</v>
      </c>
      <c r="C503" s="187">
        <v>300.0</v>
      </c>
      <c r="D503" s="187" t="s">
        <v>106</v>
      </c>
      <c r="E503" s="98">
        <v>218.95</v>
      </c>
      <c r="F503" s="98">
        <v>220.13</v>
      </c>
      <c r="G503" s="98">
        <v>221.3</v>
      </c>
      <c r="H503" s="189">
        <v>0.5703</v>
      </c>
      <c r="I503" s="98">
        <v>0.8351</v>
      </c>
      <c r="J503" s="98">
        <v>1.0</v>
      </c>
      <c r="K503" s="98">
        <v>332.0</v>
      </c>
      <c r="L503" s="189">
        <v>0.3155</v>
      </c>
    </row>
    <row r="504" ht="22.5" customHeight="1">
      <c r="A504" s="187" t="s">
        <v>60</v>
      </c>
      <c r="B504" s="188">
        <v>46920.0</v>
      </c>
      <c r="C504" s="187">
        <v>310.0</v>
      </c>
      <c r="D504" s="187" t="s">
        <v>106</v>
      </c>
      <c r="E504" s="98">
        <v>213.7</v>
      </c>
      <c r="F504" s="98">
        <v>215.05</v>
      </c>
      <c r="G504" s="98">
        <v>216.4</v>
      </c>
      <c r="H504" s="189">
        <v>0.569</v>
      </c>
      <c r="I504" s="98">
        <v>0.8257</v>
      </c>
      <c r="J504" s="98">
        <v>0.0</v>
      </c>
      <c r="K504" s="98">
        <v>84.0</v>
      </c>
      <c r="L504" s="189">
        <v>0.2927</v>
      </c>
    </row>
    <row r="505" ht="22.5" customHeight="1">
      <c r="A505" s="187" t="s">
        <v>60</v>
      </c>
      <c r="B505" s="188">
        <v>46920.0</v>
      </c>
      <c r="C505" s="187">
        <v>320.0</v>
      </c>
      <c r="D505" s="187" t="s">
        <v>106</v>
      </c>
      <c r="E505" s="98">
        <v>208.65</v>
      </c>
      <c r="F505" s="98">
        <v>209.83</v>
      </c>
      <c r="G505" s="98">
        <v>211.0</v>
      </c>
      <c r="H505" s="189">
        <v>0.5663</v>
      </c>
      <c r="I505" s="98">
        <v>0.8163</v>
      </c>
      <c r="J505" s="98">
        <v>0.0</v>
      </c>
      <c r="K505" s="98">
        <v>263.0</v>
      </c>
      <c r="L505" s="189">
        <v>0.2699</v>
      </c>
    </row>
    <row r="506" ht="22.5" customHeight="1">
      <c r="A506" s="187" t="s">
        <v>60</v>
      </c>
      <c r="B506" s="188">
        <v>46920.0</v>
      </c>
      <c r="C506" s="187">
        <v>330.0</v>
      </c>
      <c r="D506" s="187" t="s">
        <v>106</v>
      </c>
      <c r="E506" s="98">
        <v>203.75</v>
      </c>
      <c r="F506" s="98">
        <v>205.08</v>
      </c>
      <c r="G506" s="98">
        <v>206.4</v>
      </c>
      <c r="H506" s="189">
        <v>0.5656</v>
      </c>
      <c r="I506" s="98">
        <v>0.8068</v>
      </c>
      <c r="J506" s="98">
        <v>0.0</v>
      </c>
      <c r="K506" s="98">
        <v>373.0</v>
      </c>
      <c r="L506" s="189">
        <v>0.24710000000000001</v>
      </c>
    </row>
    <row r="507" ht="22.5" customHeight="1">
      <c r="A507" s="187" t="s">
        <v>60</v>
      </c>
      <c r="B507" s="188">
        <v>46920.0</v>
      </c>
      <c r="C507" s="187">
        <v>340.0</v>
      </c>
      <c r="D507" s="187" t="s">
        <v>106</v>
      </c>
      <c r="E507" s="98">
        <v>198.95</v>
      </c>
      <c r="F507" s="98">
        <v>200.1</v>
      </c>
      <c r="G507" s="98">
        <v>201.25</v>
      </c>
      <c r="H507" s="189">
        <v>0.5631</v>
      </c>
      <c r="I507" s="98">
        <v>0.7973</v>
      </c>
      <c r="J507" s="98">
        <v>0.0</v>
      </c>
      <c r="K507" s="98">
        <v>118.0</v>
      </c>
      <c r="L507" s="189">
        <v>0.2243</v>
      </c>
    </row>
    <row r="508" ht="22.5" customHeight="1">
      <c r="A508" s="187" t="s">
        <v>60</v>
      </c>
      <c r="B508" s="188">
        <v>46920.0</v>
      </c>
      <c r="C508" s="187">
        <v>350.0</v>
      </c>
      <c r="D508" s="187" t="s">
        <v>106</v>
      </c>
      <c r="E508" s="98">
        <v>194.35</v>
      </c>
      <c r="F508" s="98">
        <v>195.38</v>
      </c>
      <c r="G508" s="98">
        <v>196.4</v>
      </c>
      <c r="H508" s="189">
        <v>0.5614</v>
      </c>
      <c r="I508" s="98">
        <v>0.7877</v>
      </c>
      <c r="J508" s="98">
        <v>1.0</v>
      </c>
      <c r="K508" s="98">
        <v>267.0</v>
      </c>
      <c r="L508" s="189">
        <v>0.20149999999999998</v>
      </c>
    </row>
    <row r="509" ht="22.5" customHeight="1">
      <c r="A509" s="187" t="s">
        <v>60</v>
      </c>
      <c r="B509" s="188">
        <v>46920.0</v>
      </c>
      <c r="C509" s="187">
        <v>360.0</v>
      </c>
      <c r="D509" s="187" t="s">
        <v>106</v>
      </c>
      <c r="E509" s="98">
        <v>189.8</v>
      </c>
      <c r="F509" s="98">
        <v>191.1</v>
      </c>
      <c r="G509" s="98">
        <v>192.4</v>
      </c>
      <c r="H509" s="189">
        <v>0.5614</v>
      </c>
      <c r="I509" s="98">
        <v>0.7781</v>
      </c>
      <c r="J509" s="98">
        <v>7.0</v>
      </c>
      <c r="K509" s="98">
        <v>186.0</v>
      </c>
      <c r="L509" s="189">
        <v>0.17859999999999998</v>
      </c>
    </row>
    <row r="510" ht="22.5" customHeight="1">
      <c r="A510" s="187" t="s">
        <v>60</v>
      </c>
      <c r="B510" s="188">
        <v>46920.0</v>
      </c>
      <c r="C510" s="187">
        <v>370.0</v>
      </c>
      <c r="D510" s="187" t="s">
        <v>106</v>
      </c>
      <c r="E510" s="98">
        <v>185.45</v>
      </c>
      <c r="F510" s="98">
        <v>186.68</v>
      </c>
      <c r="G510" s="98">
        <v>187.9</v>
      </c>
      <c r="H510" s="189">
        <v>0.5600999999999999</v>
      </c>
      <c r="I510" s="98">
        <v>0.7685</v>
      </c>
      <c r="J510" s="98">
        <v>0.0</v>
      </c>
      <c r="K510" s="98">
        <v>330.0</v>
      </c>
      <c r="L510" s="189">
        <v>0.1558</v>
      </c>
    </row>
    <row r="511" ht="22.5" customHeight="1">
      <c r="A511" s="187" t="s">
        <v>60</v>
      </c>
      <c r="B511" s="188">
        <v>46920.0</v>
      </c>
      <c r="C511" s="187">
        <v>380.0</v>
      </c>
      <c r="D511" s="187" t="s">
        <v>106</v>
      </c>
      <c r="E511" s="98">
        <v>181.2</v>
      </c>
      <c r="F511" s="98">
        <v>182.43</v>
      </c>
      <c r="G511" s="98">
        <v>183.65</v>
      </c>
      <c r="H511" s="189">
        <v>0.5592</v>
      </c>
      <c r="I511" s="98">
        <v>0.759</v>
      </c>
      <c r="J511" s="98">
        <v>0.0</v>
      </c>
      <c r="K511" s="98">
        <v>126.0</v>
      </c>
      <c r="L511" s="189">
        <v>0.133</v>
      </c>
    </row>
    <row r="512" ht="22.5" customHeight="1">
      <c r="A512" s="187" t="s">
        <v>60</v>
      </c>
      <c r="B512" s="188">
        <v>46920.0</v>
      </c>
      <c r="C512" s="187">
        <v>390.0</v>
      </c>
      <c r="D512" s="187" t="s">
        <v>106</v>
      </c>
      <c r="E512" s="98">
        <v>177.1</v>
      </c>
      <c r="F512" s="98">
        <v>178.3</v>
      </c>
      <c r="G512" s="98">
        <v>179.5</v>
      </c>
      <c r="H512" s="189">
        <v>0.5584</v>
      </c>
      <c r="I512" s="98">
        <v>0.7494</v>
      </c>
      <c r="J512" s="98">
        <v>0.0</v>
      </c>
      <c r="K512" s="98">
        <v>92.0</v>
      </c>
      <c r="L512" s="189">
        <v>0.11019999999999999</v>
      </c>
    </row>
    <row r="513" ht="22.5" customHeight="1">
      <c r="A513" s="187" t="s">
        <v>60</v>
      </c>
      <c r="B513" s="188">
        <v>46920.0</v>
      </c>
      <c r="C513" s="187">
        <v>400.0</v>
      </c>
      <c r="D513" s="187" t="s">
        <v>106</v>
      </c>
      <c r="E513" s="98">
        <v>173.1</v>
      </c>
      <c r="F513" s="98">
        <v>174.08</v>
      </c>
      <c r="G513" s="98">
        <v>175.05</v>
      </c>
      <c r="H513" s="189">
        <v>0.5529</v>
      </c>
      <c r="I513" s="98">
        <v>0.7393</v>
      </c>
      <c r="J513" s="98">
        <v>4.0</v>
      </c>
      <c r="K513" s="98">
        <v>1300.0</v>
      </c>
      <c r="L513" s="189">
        <v>0.0874</v>
      </c>
    </row>
    <row r="514" ht="22.5" customHeight="1">
      <c r="A514" s="187" t="s">
        <v>60</v>
      </c>
      <c r="B514" s="188">
        <v>46920.0</v>
      </c>
      <c r="C514" s="187">
        <v>410.0</v>
      </c>
      <c r="D514" s="187" t="s">
        <v>106</v>
      </c>
      <c r="E514" s="98">
        <v>169.3</v>
      </c>
      <c r="F514" s="98">
        <v>170.25</v>
      </c>
      <c r="G514" s="98">
        <v>171.2</v>
      </c>
      <c r="H514" s="189">
        <v>0.5563</v>
      </c>
      <c r="I514" s="98">
        <v>0.7303</v>
      </c>
      <c r="J514" s="98">
        <v>0.0</v>
      </c>
      <c r="K514" s="98">
        <v>193.0</v>
      </c>
      <c r="L514" s="189">
        <v>0.0646</v>
      </c>
    </row>
    <row r="515" ht="22.5" customHeight="1">
      <c r="A515" s="187" t="s">
        <v>60</v>
      </c>
      <c r="B515" s="188">
        <v>46920.0</v>
      </c>
      <c r="C515" s="187">
        <v>420.0</v>
      </c>
      <c r="D515" s="187" t="s">
        <v>106</v>
      </c>
      <c r="E515" s="98">
        <v>165.45</v>
      </c>
      <c r="F515" s="98">
        <v>166.43</v>
      </c>
      <c r="G515" s="98">
        <v>167.4</v>
      </c>
      <c r="H515" s="189">
        <v>0.5555</v>
      </c>
      <c r="I515" s="98">
        <v>0.7208</v>
      </c>
      <c r="J515" s="98">
        <v>0.0</v>
      </c>
      <c r="K515" s="98">
        <v>291.0</v>
      </c>
      <c r="L515" s="189">
        <v>0.0418</v>
      </c>
    </row>
    <row r="516" ht="22.5" customHeight="1">
      <c r="A516" s="187" t="s">
        <v>60</v>
      </c>
      <c r="B516" s="188">
        <v>46920.0</v>
      </c>
      <c r="C516" s="187">
        <v>430.0</v>
      </c>
      <c r="D516" s="187" t="s">
        <v>106</v>
      </c>
      <c r="E516" s="98">
        <v>161.85</v>
      </c>
      <c r="F516" s="98">
        <v>162.8</v>
      </c>
      <c r="G516" s="98">
        <v>163.75</v>
      </c>
      <c r="H516" s="189">
        <v>0.5552</v>
      </c>
      <c r="I516" s="98">
        <v>0.7115</v>
      </c>
      <c r="J516" s="98">
        <v>0.0</v>
      </c>
      <c r="K516" s="98">
        <v>220.0</v>
      </c>
      <c r="L516" s="189">
        <v>0.0189</v>
      </c>
    </row>
    <row r="517" ht="22.5" customHeight="1">
      <c r="A517" s="187" t="s">
        <v>60</v>
      </c>
      <c r="B517" s="188">
        <v>46920.0</v>
      </c>
      <c r="C517" s="187">
        <v>440.0</v>
      </c>
      <c r="D517" s="187" t="s">
        <v>106</v>
      </c>
      <c r="E517" s="98">
        <v>158.25</v>
      </c>
      <c r="F517" s="98">
        <v>159.25</v>
      </c>
      <c r="G517" s="98">
        <v>160.25</v>
      </c>
      <c r="H517" s="189">
        <v>0.5550999999999999</v>
      </c>
      <c r="I517" s="98">
        <v>0.7023</v>
      </c>
      <c r="J517" s="98">
        <v>5.0</v>
      </c>
      <c r="K517" s="98">
        <v>201.0</v>
      </c>
      <c r="L517" s="189">
        <v>-0.0039000000000000003</v>
      </c>
    </row>
    <row r="518" ht="22.5" customHeight="1">
      <c r="A518" s="187" t="s">
        <v>60</v>
      </c>
      <c r="B518" s="188">
        <v>46920.0</v>
      </c>
      <c r="C518" s="187">
        <v>450.0</v>
      </c>
      <c r="D518" s="187" t="s">
        <v>106</v>
      </c>
      <c r="E518" s="98">
        <v>154.85</v>
      </c>
      <c r="F518" s="98">
        <v>155.95</v>
      </c>
      <c r="G518" s="98">
        <v>157.05</v>
      </c>
      <c r="H518" s="189">
        <v>0.5550999999999999</v>
      </c>
      <c r="I518" s="98">
        <v>0.6931</v>
      </c>
      <c r="J518" s="98">
        <v>0.0</v>
      </c>
      <c r="K518" s="98">
        <v>914.0</v>
      </c>
      <c r="L518" s="189">
        <v>-0.026699999999999998</v>
      </c>
    </row>
    <row r="519" ht="22.5" customHeight="1">
      <c r="A519" s="187" t="s">
        <v>60</v>
      </c>
      <c r="B519" s="188">
        <v>46920.0</v>
      </c>
      <c r="C519" s="187">
        <v>460.0</v>
      </c>
      <c r="D519" s="187" t="s">
        <v>106</v>
      </c>
      <c r="E519" s="98">
        <v>151.5</v>
      </c>
      <c r="F519" s="98">
        <v>152.55</v>
      </c>
      <c r="G519" s="98">
        <v>153.6</v>
      </c>
      <c r="H519" s="189">
        <v>0.5546</v>
      </c>
      <c r="I519" s="98">
        <v>0.6839</v>
      </c>
      <c r="J519" s="98">
        <v>0.0</v>
      </c>
      <c r="K519" s="98">
        <v>435.0</v>
      </c>
      <c r="L519" s="189">
        <v>-0.0495</v>
      </c>
    </row>
    <row r="520" ht="22.5" customHeight="1">
      <c r="A520" s="187" t="s">
        <v>60</v>
      </c>
      <c r="B520" s="188">
        <v>46920.0</v>
      </c>
      <c r="C520" s="187">
        <v>470.0</v>
      </c>
      <c r="D520" s="187" t="s">
        <v>106</v>
      </c>
      <c r="E520" s="98">
        <v>148.3</v>
      </c>
      <c r="F520" s="98">
        <v>149.35</v>
      </c>
      <c r="G520" s="98">
        <v>150.4</v>
      </c>
      <c r="H520" s="189">
        <v>0.5545</v>
      </c>
      <c r="I520" s="98">
        <v>0.6749</v>
      </c>
      <c r="J520" s="98">
        <v>0.0</v>
      </c>
      <c r="K520" s="98">
        <v>303.0</v>
      </c>
      <c r="L520" s="189">
        <v>-0.0723</v>
      </c>
    </row>
    <row r="521" ht="22.5" customHeight="1">
      <c r="A521" s="187" t="s">
        <v>60</v>
      </c>
      <c r="B521" s="188">
        <v>46920.0</v>
      </c>
      <c r="C521" s="187">
        <v>480.0</v>
      </c>
      <c r="D521" s="187" t="s">
        <v>106</v>
      </c>
      <c r="E521" s="98">
        <v>145.15</v>
      </c>
      <c r="F521" s="98">
        <v>146.18</v>
      </c>
      <c r="G521" s="98">
        <v>147.2</v>
      </c>
      <c r="H521" s="189">
        <v>0.5543</v>
      </c>
      <c r="I521" s="98">
        <v>0.666</v>
      </c>
      <c r="J521" s="98">
        <v>0.0</v>
      </c>
      <c r="K521" s="98">
        <v>405.0</v>
      </c>
      <c r="L521" s="189">
        <v>-0.0951</v>
      </c>
    </row>
    <row r="522" ht="22.5" customHeight="1">
      <c r="A522" s="187" t="s">
        <v>60</v>
      </c>
      <c r="B522" s="188">
        <v>46920.0</v>
      </c>
      <c r="C522" s="187">
        <v>490.0</v>
      </c>
      <c r="D522" s="187" t="s">
        <v>106</v>
      </c>
      <c r="E522" s="98">
        <v>142.15</v>
      </c>
      <c r="F522" s="98">
        <v>143.1</v>
      </c>
      <c r="G522" s="98">
        <v>144.05</v>
      </c>
      <c r="H522" s="189">
        <v>0.5540999999999999</v>
      </c>
      <c r="I522" s="98">
        <v>0.6571</v>
      </c>
      <c r="J522" s="98">
        <v>0.0</v>
      </c>
      <c r="K522" s="98">
        <v>497.0</v>
      </c>
      <c r="L522" s="189">
        <v>-0.11800000000000001</v>
      </c>
    </row>
    <row r="523" ht="22.5" customHeight="1">
      <c r="A523" s="187" t="s">
        <v>60</v>
      </c>
      <c r="B523" s="188">
        <v>46920.0</v>
      </c>
      <c r="C523" s="187">
        <v>500.0</v>
      </c>
      <c r="D523" s="187" t="s">
        <v>106</v>
      </c>
      <c r="E523" s="98">
        <v>139.2</v>
      </c>
      <c r="F523" s="98">
        <v>140.18</v>
      </c>
      <c r="G523" s="98">
        <v>141.15</v>
      </c>
      <c r="H523" s="189">
        <v>0.5566</v>
      </c>
      <c r="I523" s="98">
        <v>0.6492</v>
      </c>
      <c r="J523" s="98">
        <v>2.0</v>
      </c>
      <c r="K523" s="98">
        <v>2072.0</v>
      </c>
      <c r="L523" s="189">
        <v>-0.1408</v>
      </c>
    </row>
    <row r="524" ht="22.5" customHeight="1">
      <c r="A524" s="187" t="s">
        <v>60</v>
      </c>
      <c r="B524" s="188">
        <v>46920.0</v>
      </c>
      <c r="C524" s="187">
        <v>510.0</v>
      </c>
      <c r="D524" s="187" t="s">
        <v>106</v>
      </c>
      <c r="E524" s="98">
        <v>136.35</v>
      </c>
      <c r="F524" s="98">
        <v>137.3</v>
      </c>
      <c r="G524" s="98">
        <v>138.25</v>
      </c>
      <c r="H524" s="189">
        <v>0.5542</v>
      </c>
      <c r="I524" s="98">
        <v>0.6398</v>
      </c>
      <c r="J524" s="98">
        <v>1.0</v>
      </c>
      <c r="K524" s="98">
        <v>361.0</v>
      </c>
      <c r="L524" s="189">
        <v>-0.1636</v>
      </c>
    </row>
    <row r="525" ht="22.5" customHeight="1">
      <c r="A525" s="187" t="s">
        <v>60</v>
      </c>
      <c r="B525" s="188">
        <v>46920.0</v>
      </c>
      <c r="C525" s="187">
        <v>520.0</v>
      </c>
      <c r="D525" s="187" t="s">
        <v>106</v>
      </c>
      <c r="E525" s="98">
        <v>133.55</v>
      </c>
      <c r="F525" s="98">
        <v>134.45</v>
      </c>
      <c r="G525" s="98">
        <v>135.35</v>
      </c>
      <c r="H525" s="189">
        <v>0.5539999999999999</v>
      </c>
      <c r="I525" s="98">
        <v>0.6312</v>
      </c>
      <c r="J525" s="98">
        <v>0.0</v>
      </c>
      <c r="K525" s="98">
        <v>282.0</v>
      </c>
      <c r="L525" s="189">
        <v>-0.1864</v>
      </c>
    </row>
    <row r="526" ht="22.5" customHeight="1">
      <c r="A526" s="187" t="s">
        <v>60</v>
      </c>
      <c r="B526" s="188">
        <v>46920.0</v>
      </c>
      <c r="C526" s="187">
        <v>530.0</v>
      </c>
      <c r="D526" s="187" t="s">
        <v>106</v>
      </c>
      <c r="E526" s="98">
        <v>130.85</v>
      </c>
      <c r="F526" s="98">
        <v>131.75</v>
      </c>
      <c r="G526" s="98">
        <v>132.65</v>
      </c>
      <c r="H526" s="189">
        <v>0.5540999999999999</v>
      </c>
      <c r="I526" s="98">
        <v>0.6229</v>
      </c>
      <c r="J526" s="98">
        <v>0.0</v>
      </c>
      <c r="K526" s="98">
        <v>172.0</v>
      </c>
      <c r="L526" s="189">
        <v>-0.20920000000000002</v>
      </c>
    </row>
    <row r="527" ht="22.5" customHeight="1">
      <c r="A527" s="187" t="s">
        <v>60</v>
      </c>
      <c r="B527" s="188">
        <v>46920.0</v>
      </c>
      <c r="C527" s="187">
        <v>540.0</v>
      </c>
      <c r="D527" s="187" t="s">
        <v>106</v>
      </c>
      <c r="E527" s="98">
        <v>128.3</v>
      </c>
      <c r="F527" s="98">
        <v>129.13</v>
      </c>
      <c r="G527" s="98">
        <v>129.95</v>
      </c>
      <c r="H527" s="189">
        <v>0.5542</v>
      </c>
      <c r="I527" s="98">
        <v>0.6146</v>
      </c>
      <c r="J527" s="98">
        <v>0.0</v>
      </c>
      <c r="K527" s="98">
        <v>118.0</v>
      </c>
      <c r="L527" s="189">
        <v>-0.23199999999999998</v>
      </c>
    </row>
    <row r="528" ht="22.5" customHeight="1">
      <c r="A528" s="187" t="s">
        <v>60</v>
      </c>
      <c r="B528" s="188">
        <v>46920.0</v>
      </c>
      <c r="C528" s="187">
        <v>550.0</v>
      </c>
      <c r="D528" s="187" t="s">
        <v>106</v>
      </c>
      <c r="E528" s="98">
        <v>125.7</v>
      </c>
      <c r="F528" s="98">
        <v>126.7</v>
      </c>
      <c r="G528" s="98">
        <v>127.7</v>
      </c>
      <c r="H528" s="189">
        <v>0.5548</v>
      </c>
      <c r="I528" s="98">
        <v>0.6066</v>
      </c>
      <c r="J528" s="98">
        <v>0.0</v>
      </c>
      <c r="K528" s="98">
        <v>466.0</v>
      </c>
      <c r="L528" s="189">
        <v>-0.2548</v>
      </c>
    </row>
    <row r="529" ht="22.5" customHeight="1">
      <c r="A529" s="187" t="s">
        <v>60</v>
      </c>
      <c r="B529" s="188">
        <v>46920.0</v>
      </c>
      <c r="C529" s="187">
        <v>560.0</v>
      </c>
      <c r="D529" s="187" t="s">
        <v>106</v>
      </c>
      <c r="E529" s="98">
        <v>123.25</v>
      </c>
      <c r="F529" s="98">
        <v>124.1</v>
      </c>
      <c r="G529" s="98">
        <v>124.95</v>
      </c>
      <c r="H529" s="189">
        <v>0.5546</v>
      </c>
      <c r="I529" s="98">
        <v>0.5984</v>
      </c>
      <c r="J529" s="98">
        <v>0.0</v>
      </c>
      <c r="K529" s="98">
        <v>181.0</v>
      </c>
      <c r="L529" s="189">
        <v>-0.2777</v>
      </c>
    </row>
    <row r="530" ht="22.5" customHeight="1">
      <c r="A530" s="187" t="s">
        <v>60</v>
      </c>
      <c r="B530" s="188">
        <v>46920.0</v>
      </c>
      <c r="C530" s="187">
        <v>570.0</v>
      </c>
      <c r="D530" s="187" t="s">
        <v>106</v>
      </c>
      <c r="E530" s="98">
        <v>121.6</v>
      </c>
      <c r="F530" s="98">
        <v>122.05</v>
      </c>
      <c r="G530" s="98">
        <v>122.5</v>
      </c>
      <c r="H530" s="189">
        <v>0.5561</v>
      </c>
      <c r="I530" s="98">
        <v>0.5911</v>
      </c>
      <c r="J530" s="98">
        <v>0.0</v>
      </c>
      <c r="K530" s="98">
        <v>240.0</v>
      </c>
      <c r="L530" s="189">
        <v>-0.3005</v>
      </c>
    </row>
    <row r="531" ht="22.5" customHeight="1">
      <c r="A531" s="187" t="s">
        <v>60</v>
      </c>
      <c r="B531" s="188">
        <v>46920.0</v>
      </c>
      <c r="C531" s="187">
        <v>580.0</v>
      </c>
      <c r="D531" s="187" t="s">
        <v>106</v>
      </c>
      <c r="E531" s="98">
        <v>119.25</v>
      </c>
      <c r="F531" s="98">
        <v>119.7</v>
      </c>
      <c r="G531" s="98">
        <v>120.15</v>
      </c>
      <c r="H531" s="189">
        <v>0.5563</v>
      </c>
      <c r="I531" s="98">
        <v>0.5833</v>
      </c>
      <c r="J531" s="98">
        <v>0.0</v>
      </c>
      <c r="K531" s="98">
        <v>259.0</v>
      </c>
      <c r="L531" s="189">
        <v>-0.3233</v>
      </c>
    </row>
    <row r="532" ht="22.5" customHeight="1">
      <c r="A532" s="187" t="s">
        <v>60</v>
      </c>
      <c r="B532" s="188">
        <v>46920.0</v>
      </c>
      <c r="C532" s="187">
        <v>590.0</v>
      </c>
      <c r="D532" s="187" t="s">
        <v>106</v>
      </c>
      <c r="E532" s="98">
        <v>116.95</v>
      </c>
      <c r="F532" s="98">
        <v>117.4</v>
      </c>
      <c r="G532" s="98">
        <v>117.85</v>
      </c>
      <c r="H532" s="189">
        <v>0.5564</v>
      </c>
      <c r="I532" s="98">
        <v>0.5756</v>
      </c>
      <c r="J532" s="98">
        <v>0.0</v>
      </c>
      <c r="K532" s="98">
        <v>73.0</v>
      </c>
      <c r="L532" s="189">
        <v>-0.3461</v>
      </c>
    </row>
    <row r="533" ht="22.5" customHeight="1">
      <c r="A533" s="187" t="s">
        <v>60</v>
      </c>
      <c r="B533" s="188">
        <v>46920.0</v>
      </c>
      <c r="C533" s="187">
        <v>600.0</v>
      </c>
      <c r="D533" s="187" t="s">
        <v>106</v>
      </c>
      <c r="E533" s="98">
        <v>114.75</v>
      </c>
      <c r="F533" s="98">
        <v>115.18</v>
      </c>
      <c r="G533" s="98">
        <v>115.6</v>
      </c>
      <c r="H533" s="189">
        <v>0.5566</v>
      </c>
      <c r="I533" s="98">
        <v>0.568</v>
      </c>
      <c r="J533" s="98">
        <v>3.0</v>
      </c>
      <c r="K533" s="98">
        <v>1006.0</v>
      </c>
      <c r="L533" s="189">
        <v>-0.3689</v>
      </c>
    </row>
    <row r="534" ht="22.5" customHeight="1">
      <c r="A534" s="187" t="s">
        <v>60</v>
      </c>
      <c r="B534" s="188">
        <v>46920.0</v>
      </c>
      <c r="C534" s="187">
        <v>610.0</v>
      </c>
      <c r="D534" s="187" t="s">
        <v>106</v>
      </c>
      <c r="E534" s="98">
        <v>112.6</v>
      </c>
      <c r="F534" s="98">
        <v>113.05</v>
      </c>
      <c r="G534" s="98">
        <v>113.5</v>
      </c>
      <c r="H534" s="189">
        <v>0.557</v>
      </c>
      <c r="I534" s="98">
        <v>0.5606</v>
      </c>
      <c r="J534" s="98">
        <v>0.0</v>
      </c>
      <c r="K534" s="98">
        <v>344.0</v>
      </c>
      <c r="L534" s="189">
        <v>-0.3917</v>
      </c>
    </row>
    <row r="535" ht="22.5" customHeight="1">
      <c r="A535" s="187" t="s">
        <v>60</v>
      </c>
      <c r="B535" s="188">
        <v>46920.0</v>
      </c>
      <c r="C535" s="187">
        <v>620.0</v>
      </c>
      <c r="D535" s="187" t="s">
        <v>106</v>
      </c>
      <c r="E535" s="98">
        <v>110.45</v>
      </c>
      <c r="F535" s="98">
        <v>110.93</v>
      </c>
      <c r="G535" s="98">
        <v>111.4</v>
      </c>
      <c r="H535" s="189">
        <v>0.5558</v>
      </c>
      <c r="I535" s="98">
        <v>0.5526</v>
      </c>
      <c r="J535" s="98">
        <v>1.0</v>
      </c>
      <c r="K535" s="98">
        <v>428.0</v>
      </c>
      <c r="L535" s="189">
        <v>-0.4146</v>
      </c>
    </row>
    <row r="536" ht="22.5" customHeight="1">
      <c r="A536" s="187" t="s">
        <v>60</v>
      </c>
      <c r="B536" s="188">
        <v>46920.0</v>
      </c>
      <c r="C536" s="187">
        <v>630.0</v>
      </c>
      <c r="D536" s="187" t="s">
        <v>106</v>
      </c>
      <c r="E536" s="98">
        <v>108.45</v>
      </c>
      <c r="F536" s="98">
        <v>108.9</v>
      </c>
      <c r="G536" s="98">
        <v>109.35</v>
      </c>
      <c r="H536" s="189">
        <v>0.5575</v>
      </c>
      <c r="I536" s="98">
        <v>0.5461</v>
      </c>
      <c r="J536" s="98">
        <v>0.0</v>
      </c>
      <c r="K536" s="98">
        <v>247.0</v>
      </c>
      <c r="L536" s="189">
        <v>-0.4374</v>
      </c>
    </row>
    <row r="537" ht="22.5" customHeight="1">
      <c r="A537" s="187" t="s">
        <v>60</v>
      </c>
      <c r="B537" s="188">
        <v>46920.0</v>
      </c>
      <c r="C537" s="187">
        <v>640.0</v>
      </c>
      <c r="D537" s="187" t="s">
        <v>106</v>
      </c>
      <c r="E537" s="98">
        <v>106.45</v>
      </c>
      <c r="F537" s="98">
        <v>106.9</v>
      </c>
      <c r="G537" s="98">
        <v>107.35</v>
      </c>
      <c r="H537" s="189">
        <v>0.5577000000000001</v>
      </c>
      <c r="I537" s="98">
        <v>0.5389</v>
      </c>
      <c r="J537" s="98">
        <v>0.0</v>
      </c>
      <c r="K537" s="98">
        <v>223.0</v>
      </c>
      <c r="L537" s="189">
        <v>-0.46020000000000005</v>
      </c>
    </row>
    <row r="538" ht="22.5" customHeight="1">
      <c r="A538" s="187" t="s">
        <v>60</v>
      </c>
      <c r="B538" s="188">
        <v>46920.0</v>
      </c>
      <c r="C538" s="187">
        <v>650.0</v>
      </c>
      <c r="D538" s="187" t="s">
        <v>106</v>
      </c>
      <c r="E538" s="98">
        <v>104.5</v>
      </c>
      <c r="F538" s="98">
        <v>104.95</v>
      </c>
      <c r="G538" s="98">
        <v>105.4</v>
      </c>
      <c r="H538" s="189">
        <v>0.5579999999999999</v>
      </c>
      <c r="I538" s="98">
        <v>0.5319</v>
      </c>
      <c r="J538" s="98">
        <v>0.0</v>
      </c>
      <c r="K538" s="98">
        <v>279.0</v>
      </c>
      <c r="L538" s="189">
        <v>-0.483</v>
      </c>
    </row>
    <row r="539" ht="22.5" customHeight="1">
      <c r="A539" s="187" t="s">
        <v>60</v>
      </c>
      <c r="B539" s="188">
        <v>46920.0</v>
      </c>
      <c r="C539" s="187">
        <v>660.0</v>
      </c>
      <c r="D539" s="187" t="s">
        <v>106</v>
      </c>
      <c r="E539" s="98">
        <v>102.65</v>
      </c>
      <c r="F539" s="98">
        <v>103.08</v>
      </c>
      <c r="G539" s="98">
        <v>103.5</v>
      </c>
      <c r="H539" s="189">
        <v>0.5583</v>
      </c>
      <c r="I539" s="98">
        <v>0.5251</v>
      </c>
      <c r="J539" s="98">
        <v>0.0</v>
      </c>
      <c r="K539" s="98">
        <v>127.0</v>
      </c>
      <c r="L539" s="189">
        <v>-0.5058</v>
      </c>
    </row>
    <row r="540" ht="22.5" customHeight="1">
      <c r="A540" s="187" t="s">
        <v>60</v>
      </c>
      <c r="B540" s="188">
        <v>46920.0</v>
      </c>
      <c r="C540" s="187">
        <v>670.0</v>
      </c>
      <c r="D540" s="187" t="s">
        <v>106</v>
      </c>
      <c r="E540" s="98">
        <v>100.8</v>
      </c>
      <c r="F540" s="98">
        <v>101.25</v>
      </c>
      <c r="G540" s="98">
        <v>101.7</v>
      </c>
      <c r="H540" s="189">
        <v>0.5587</v>
      </c>
      <c r="I540" s="98">
        <v>0.5183</v>
      </c>
      <c r="J540" s="98">
        <v>0.0</v>
      </c>
      <c r="K540" s="98">
        <v>239.0</v>
      </c>
      <c r="L540" s="189">
        <v>-0.5286</v>
      </c>
    </row>
    <row r="541" ht="22.5" customHeight="1">
      <c r="A541" s="187" t="s">
        <v>60</v>
      </c>
      <c r="B541" s="188">
        <v>46920.0</v>
      </c>
      <c r="C541" s="187">
        <v>680.0</v>
      </c>
      <c r="D541" s="187" t="s">
        <v>106</v>
      </c>
      <c r="E541" s="98">
        <v>99.0</v>
      </c>
      <c r="F541" s="98">
        <v>99.45</v>
      </c>
      <c r="G541" s="98">
        <v>99.9</v>
      </c>
      <c r="H541" s="189">
        <v>0.5589999999999999</v>
      </c>
      <c r="I541" s="98">
        <v>0.5117</v>
      </c>
      <c r="J541" s="98">
        <v>0.0</v>
      </c>
      <c r="K541" s="98">
        <v>246.0</v>
      </c>
      <c r="L541" s="189">
        <v>-0.5514</v>
      </c>
    </row>
    <row r="542" ht="22.5" customHeight="1">
      <c r="A542" s="187" t="s">
        <v>60</v>
      </c>
      <c r="B542" s="188">
        <v>46920.0</v>
      </c>
      <c r="C542" s="187">
        <v>690.0</v>
      </c>
      <c r="D542" s="187" t="s">
        <v>106</v>
      </c>
      <c r="E542" s="98">
        <v>97.3</v>
      </c>
      <c r="F542" s="98">
        <v>97.73</v>
      </c>
      <c r="G542" s="98">
        <v>98.15</v>
      </c>
      <c r="H542" s="189">
        <v>0.5594</v>
      </c>
      <c r="I542" s="98">
        <v>0.5052</v>
      </c>
      <c r="J542" s="98">
        <v>0.0</v>
      </c>
      <c r="K542" s="98">
        <v>372.0</v>
      </c>
      <c r="L542" s="189">
        <v>-0.5743</v>
      </c>
    </row>
    <row r="543" ht="22.5" customHeight="1">
      <c r="A543" s="187" t="s">
        <v>60</v>
      </c>
      <c r="B543" s="188">
        <v>46920.0</v>
      </c>
      <c r="C543" s="187">
        <v>700.0</v>
      </c>
      <c r="D543" s="187" t="s">
        <v>106</v>
      </c>
      <c r="E543" s="98">
        <v>95.6</v>
      </c>
      <c r="F543" s="98">
        <v>96.03</v>
      </c>
      <c r="G543" s="98">
        <v>96.45</v>
      </c>
      <c r="H543" s="189">
        <v>0.5597</v>
      </c>
      <c r="I543" s="98">
        <v>0.4987</v>
      </c>
      <c r="J543" s="98">
        <v>1.0</v>
      </c>
      <c r="K543" s="98">
        <v>1077.0</v>
      </c>
      <c r="L543" s="189">
        <v>-0.5971</v>
      </c>
    </row>
    <row r="544" ht="22.5" customHeight="1">
      <c r="A544" s="187" t="s">
        <v>60</v>
      </c>
      <c r="B544" s="188">
        <v>46920.0</v>
      </c>
      <c r="C544" s="187">
        <v>710.0</v>
      </c>
      <c r="D544" s="187" t="s">
        <v>106</v>
      </c>
      <c r="E544" s="98">
        <v>93.95</v>
      </c>
      <c r="F544" s="98">
        <v>94.38</v>
      </c>
      <c r="G544" s="98">
        <v>94.8</v>
      </c>
      <c r="H544" s="189">
        <v>0.56</v>
      </c>
      <c r="I544" s="98">
        <v>0.4924</v>
      </c>
      <c r="J544" s="98">
        <v>0.0</v>
      </c>
      <c r="K544" s="98">
        <v>98.0</v>
      </c>
      <c r="L544" s="189">
        <v>-0.6199</v>
      </c>
    </row>
    <row r="545" ht="22.5" customHeight="1">
      <c r="A545" s="187" t="s">
        <v>60</v>
      </c>
      <c r="B545" s="188">
        <v>46920.0</v>
      </c>
      <c r="C545" s="187">
        <v>720.0</v>
      </c>
      <c r="D545" s="187" t="s">
        <v>106</v>
      </c>
      <c r="E545" s="98">
        <v>92.35</v>
      </c>
      <c r="F545" s="98">
        <v>92.78</v>
      </c>
      <c r="G545" s="98">
        <v>93.2</v>
      </c>
      <c r="H545" s="189">
        <v>0.5604</v>
      </c>
      <c r="I545" s="98">
        <v>0.4862</v>
      </c>
      <c r="J545" s="98">
        <v>0.0</v>
      </c>
      <c r="K545" s="98">
        <v>120.0</v>
      </c>
      <c r="L545" s="189">
        <v>-0.6426999999999999</v>
      </c>
    </row>
    <row r="546" ht="22.5" customHeight="1">
      <c r="A546" s="187" t="s">
        <v>60</v>
      </c>
      <c r="B546" s="188">
        <v>46920.0</v>
      </c>
      <c r="C546" s="187">
        <v>730.0</v>
      </c>
      <c r="D546" s="187" t="s">
        <v>106</v>
      </c>
      <c r="E546" s="98">
        <v>90.8</v>
      </c>
      <c r="F546" s="98">
        <v>91.23</v>
      </c>
      <c r="G546" s="98">
        <v>91.65</v>
      </c>
      <c r="H546" s="189">
        <v>0.5609000000000001</v>
      </c>
      <c r="I546" s="98">
        <v>0.4802</v>
      </c>
      <c r="J546" s="98">
        <v>0.0</v>
      </c>
      <c r="K546" s="98">
        <v>712.0</v>
      </c>
      <c r="L546" s="189">
        <v>-0.6655</v>
      </c>
    </row>
    <row r="547" ht="22.5" customHeight="1">
      <c r="A547" s="187" t="s">
        <v>60</v>
      </c>
      <c r="B547" s="188">
        <v>46920.0</v>
      </c>
      <c r="C547" s="187">
        <v>740.0</v>
      </c>
      <c r="D547" s="187" t="s">
        <v>106</v>
      </c>
      <c r="E547" s="98">
        <v>89.25</v>
      </c>
      <c r="F547" s="98">
        <v>89.68</v>
      </c>
      <c r="G547" s="98">
        <v>90.1</v>
      </c>
      <c r="H547" s="189">
        <v>0.5611999999999999</v>
      </c>
      <c r="I547" s="98">
        <v>0.4741</v>
      </c>
      <c r="J547" s="98">
        <v>0.0</v>
      </c>
      <c r="K547" s="98">
        <v>80.0</v>
      </c>
      <c r="L547" s="189">
        <v>-0.6883</v>
      </c>
    </row>
    <row r="548" ht="22.5" customHeight="1">
      <c r="A548" s="187" t="s">
        <v>60</v>
      </c>
      <c r="B548" s="188">
        <v>46920.0</v>
      </c>
      <c r="C548" s="187">
        <v>750.0</v>
      </c>
      <c r="D548" s="187" t="s">
        <v>106</v>
      </c>
      <c r="E548" s="98">
        <v>87.8</v>
      </c>
      <c r="F548" s="98">
        <v>88.2</v>
      </c>
      <c r="G548" s="98">
        <v>88.6</v>
      </c>
      <c r="H548" s="189">
        <v>0.5616</v>
      </c>
      <c r="I548" s="98">
        <v>0.4682</v>
      </c>
      <c r="J548" s="98">
        <v>0.0</v>
      </c>
      <c r="K548" s="98">
        <v>257.0</v>
      </c>
      <c r="L548" s="189">
        <v>-0.7112</v>
      </c>
    </row>
    <row r="549" ht="22.5" customHeight="1">
      <c r="A549" s="187" t="s">
        <v>60</v>
      </c>
      <c r="B549" s="188">
        <v>46920.0</v>
      </c>
      <c r="C549" s="187">
        <v>760.0</v>
      </c>
      <c r="D549" s="187" t="s">
        <v>106</v>
      </c>
      <c r="E549" s="98">
        <v>86.35</v>
      </c>
      <c r="F549" s="98">
        <v>86.75</v>
      </c>
      <c r="G549" s="98">
        <v>87.15</v>
      </c>
      <c r="H549" s="189">
        <v>0.562</v>
      </c>
      <c r="I549" s="98">
        <v>0.4624</v>
      </c>
      <c r="J549" s="98">
        <v>20.0</v>
      </c>
      <c r="K549" s="98">
        <v>2565.0</v>
      </c>
      <c r="L549" s="189">
        <v>-0.7340000000000001</v>
      </c>
    </row>
    <row r="550" ht="22.5" customHeight="1">
      <c r="A550" s="187" t="s">
        <v>60</v>
      </c>
      <c r="B550" s="188">
        <v>46920.0</v>
      </c>
      <c r="C550" s="187">
        <v>770.0</v>
      </c>
      <c r="D550" s="187" t="s">
        <v>106</v>
      </c>
      <c r="E550" s="98">
        <v>84.95</v>
      </c>
      <c r="F550" s="98">
        <v>85.35</v>
      </c>
      <c r="G550" s="98">
        <v>85.75</v>
      </c>
      <c r="H550" s="189">
        <v>0.5624</v>
      </c>
      <c r="I550" s="98">
        <v>0.4568</v>
      </c>
      <c r="J550" s="98">
        <v>1.0</v>
      </c>
      <c r="K550" s="98">
        <v>2017.0</v>
      </c>
      <c r="L550" s="189">
        <v>-0.7568</v>
      </c>
    </row>
    <row r="551" ht="22.5" customHeight="1">
      <c r="A551" s="187" t="s">
        <v>60</v>
      </c>
      <c r="B551" s="188">
        <v>46920.0</v>
      </c>
      <c r="C551" s="187">
        <v>780.0</v>
      </c>
      <c r="D551" s="187" t="s">
        <v>106</v>
      </c>
      <c r="E551" s="98">
        <v>83.55</v>
      </c>
      <c r="F551" s="98">
        <v>83.98</v>
      </c>
      <c r="G551" s="98">
        <v>84.4</v>
      </c>
      <c r="H551" s="189">
        <v>0.5629</v>
      </c>
      <c r="I551" s="98">
        <v>0.4512</v>
      </c>
      <c r="J551" s="98">
        <v>0.0</v>
      </c>
      <c r="K551" s="98">
        <v>304.0</v>
      </c>
      <c r="L551" s="189">
        <v>-0.7796</v>
      </c>
    </row>
    <row r="552" ht="22.5" customHeight="1">
      <c r="A552" s="187" t="s">
        <v>60</v>
      </c>
      <c r="B552" s="188">
        <v>46920.0</v>
      </c>
      <c r="C552" s="187">
        <v>790.0</v>
      </c>
      <c r="D552" s="187" t="s">
        <v>106</v>
      </c>
      <c r="E552" s="98">
        <v>82.2</v>
      </c>
      <c r="F552" s="98">
        <v>82.63</v>
      </c>
      <c r="G552" s="98">
        <v>83.05</v>
      </c>
      <c r="H552" s="189">
        <v>0.5633</v>
      </c>
      <c r="I552" s="98">
        <v>0.4457</v>
      </c>
      <c r="J552" s="98">
        <v>0.0</v>
      </c>
      <c r="K552" s="98">
        <v>40.0</v>
      </c>
      <c r="L552" s="189">
        <v>-0.8024</v>
      </c>
    </row>
    <row r="553" ht="22.5" customHeight="1">
      <c r="A553" s="187" t="s">
        <v>60</v>
      </c>
      <c r="B553" s="188">
        <v>46920.0</v>
      </c>
      <c r="C553" s="187">
        <v>800.0</v>
      </c>
      <c r="D553" s="187" t="s">
        <v>106</v>
      </c>
      <c r="E553" s="98">
        <v>80.9</v>
      </c>
      <c r="F553" s="98">
        <v>81.3</v>
      </c>
      <c r="G553" s="98">
        <v>81.7</v>
      </c>
      <c r="H553" s="189">
        <v>0.5636</v>
      </c>
      <c r="I553" s="98">
        <v>0.4402</v>
      </c>
      <c r="J553" s="98">
        <v>0.0</v>
      </c>
      <c r="K553" s="98">
        <v>1235.0</v>
      </c>
      <c r="L553" s="189">
        <v>-0.8251999999999999</v>
      </c>
    </row>
    <row r="554" ht="22.5" customHeight="1">
      <c r="A554" s="187" t="s">
        <v>60</v>
      </c>
      <c r="B554" s="188">
        <v>46920.0</v>
      </c>
      <c r="C554" s="187">
        <v>810.0</v>
      </c>
      <c r="D554" s="187" t="s">
        <v>106</v>
      </c>
      <c r="E554" s="98">
        <v>79.65</v>
      </c>
      <c r="F554" s="98">
        <v>80.05</v>
      </c>
      <c r="G554" s="98">
        <v>80.45</v>
      </c>
      <c r="H554" s="189">
        <v>0.5642</v>
      </c>
      <c r="I554" s="98">
        <v>0.435</v>
      </c>
      <c r="J554" s="98">
        <v>0.0</v>
      </c>
      <c r="K554" s="98">
        <v>74.0</v>
      </c>
      <c r="L554" s="189">
        <v>-0.848</v>
      </c>
    </row>
    <row r="555" ht="22.5" customHeight="1">
      <c r="A555" s="187" t="s">
        <v>60</v>
      </c>
      <c r="B555" s="188">
        <v>46920.0</v>
      </c>
      <c r="C555" s="187">
        <v>820.0</v>
      </c>
      <c r="D555" s="187" t="s">
        <v>106</v>
      </c>
      <c r="E555" s="98">
        <v>78.4</v>
      </c>
      <c r="F555" s="98">
        <v>78.78</v>
      </c>
      <c r="G555" s="98">
        <v>79.15</v>
      </c>
      <c r="H555" s="189">
        <v>0.5633</v>
      </c>
      <c r="I555" s="98">
        <v>0.4288</v>
      </c>
      <c r="J555" s="98">
        <v>20.0</v>
      </c>
      <c r="K555" s="98">
        <v>2794.0</v>
      </c>
      <c r="L555" s="189">
        <v>-0.8709</v>
      </c>
    </row>
    <row r="556" ht="22.5" customHeight="1">
      <c r="A556" s="187" t="s">
        <v>60</v>
      </c>
      <c r="B556" s="188">
        <v>46920.0</v>
      </c>
      <c r="C556" s="187">
        <v>830.0</v>
      </c>
      <c r="D556" s="187" t="s">
        <v>106</v>
      </c>
      <c r="E556" s="98">
        <v>77.15</v>
      </c>
      <c r="F556" s="98">
        <v>77.55</v>
      </c>
      <c r="G556" s="98">
        <v>77.95</v>
      </c>
      <c r="H556" s="189">
        <v>0.5649000000000001</v>
      </c>
      <c r="I556" s="98">
        <v>0.4246</v>
      </c>
      <c r="J556" s="98">
        <v>0.0</v>
      </c>
      <c r="K556" s="98">
        <v>3166.0</v>
      </c>
      <c r="L556" s="189">
        <v>-0.8937</v>
      </c>
    </row>
    <row r="557" ht="22.5" customHeight="1">
      <c r="A557" s="187" t="s">
        <v>60</v>
      </c>
      <c r="B557" s="188">
        <v>46920.0</v>
      </c>
      <c r="C557" s="187">
        <v>840.0</v>
      </c>
      <c r="D557" s="187" t="s">
        <v>106</v>
      </c>
      <c r="E557" s="98">
        <v>76.0</v>
      </c>
      <c r="F557" s="98">
        <v>76.4</v>
      </c>
      <c r="G557" s="98">
        <v>76.8</v>
      </c>
      <c r="H557" s="189">
        <v>0.5655</v>
      </c>
      <c r="I557" s="98">
        <v>0.4196</v>
      </c>
      <c r="J557" s="98">
        <v>0.0</v>
      </c>
      <c r="K557" s="98">
        <v>33.0</v>
      </c>
      <c r="L557" s="189">
        <v>-0.9165000000000001</v>
      </c>
    </row>
    <row r="558" ht="22.5" customHeight="1">
      <c r="A558" s="187" t="s">
        <v>60</v>
      </c>
      <c r="B558" s="188">
        <v>46920.0</v>
      </c>
      <c r="C558" s="187">
        <v>850.0</v>
      </c>
      <c r="D558" s="187" t="s">
        <v>106</v>
      </c>
      <c r="E558" s="98">
        <v>74.85</v>
      </c>
      <c r="F558" s="98">
        <v>75.25</v>
      </c>
      <c r="G558" s="98">
        <v>75.65</v>
      </c>
      <c r="H558" s="189">
        <v>0.5660000000000001</v>
      </c>
      <c r="I558" s="98">
        <v>0.4147</v>
      </c>
      <c r="J558" s="98">
        <v>0.0</v>
      </c>
      <c r="K558" s="98">
        <v>1078.0</v>
      </c>
      <c r="L558" s="189">
        <v>-0.9393</v>
      </c>
    </row>
    <row r="559" ht="22.5" customHeight="1">
      <c r="A559" s="187" t="s">
        <v>60</v>
      </c>
      <c r="B559" s="188">
        <v>46920.0</v>
      </c>
      <c r="C559" s="187">
        <v>860.0</v>
      </c>
      <c r="D559" s="187" t="s">
        <v>106</v>
      </c>
      <c r="E559" s="98">
        <v>73.7</v>
      </c>
      <c r="F559" s="98">
        <v>74.1</v>
      </c>
      <c r="G559" s="98">
        <v>74.5</v>
      </c>
      <c r="H559" s="189">
        <v>0.5663</v>
      </c>
      <c r="I559" s="98">
        <v>0.4098</v>
      </c>
      <c r="J559" s="98">
        <v>0.0</v>
      </c>
      <c r="K559" s="98">
        <v>22.0</v>
      </c>
      <c r="L559" s="189">
        <v>-0.9621</v>
      </c>
    </row>
    <row r="560" ht="22.5" customHeight="1">
      <c r="A560" s="187" t="s">
        <v>60</v>
      </c>
      <c r="B560" s="188">
        <v>46920.0</v>
      </c>
      <c r="C560" s="187">
        <v>870.0</v>
      </c>
      <c r="D560" s="187" t="s">
        <v>106</v>
      </c>
      <c r="E560" s="98">
        <v>72.6</v>
      </c>
      <c r="F560" s="98">
        <v>73.0</v>
      </c>
      <c r="G560" s="98">
        <v>73.4</v>
      </c>
      <c r="H560" s="189">
        <v>0.5668</v>
      </c>
      <c r="I560" s="98">
        <v>0.405</v>
      </c>
      <c r="J560" s="98">
        <v>0.0</v>
      </c>
      <c r="K560" s="98">
        <v>106.0</v>
      </c>
      <c r="L560" s="189">
        <v>-0.9849</v>
      </c>
    </row>
    <row r="561" ht="22.5" customHeight="1">
      <c r="A561" s="187" t="s">
        <v>60</v>
      </c>
      <c r="B561" s="188">
        <v>46920.0</v>
      </c>
      <c r="C561" s="187">
        <v>880.0</v>
      </c>
      <c r="D561" s="187" t="s">
        <v>106</v>
      </c>
      <c r="E561" s="98">
        <v>71.5</v>
      </c>
      <c r="F561" s="98">
        <v>71.9</v>
      </c>
      <c r="G561" s="98">
        <v>72.3</v>
      </c>
      <c r="H561" s="189">
        <v>0.5672</v>
      </c>
      <c r="I561" s="98">
        <v>0.4003</v>
      </c>
      <c r="J561" s="98">
        <v>0.0</v>
      </c>
      <c r="K561" s="98">
        <v>154.0</v>
      </c>
      <c r="L561" s="189">
        <v>-1.0078</v>
      </c>
    </row>
    <row r="562" ht="22.5" customHeight="1">
      <c r="A562" s="187" t="s">
        <v>60</v>
      </c>
      <c r="B562" s="188">
        <v>46920.0</v>
      </c>
      <c r="C562" s="187">
        <v>890.0</v>
      </c>
      <c r="D562" s="187" t="s">
        <v>106</v>
      </c>
      <c r="E562" s="98">
        <v>70.45</v>
      </c>
      <c r="F562" s="98">
        <v>70.85</v>
      </c>
      <c r="G562" s="98">
        <v>71.25</v>
      </c>
      <c r="H562" s="189">
        <v>0.5677</v>
      </c>
      <c r="I562" s="98">
        <v>0.3957</v>
      </c>
      <c r="J562" s="98">
        <v>0.0</v>
      </c>
      <c r="K562" s="98">
        <v>82.0</v>
      </c>
      <c r="L562" s="189">
        <v>-1.0306</v>
      </c>
    </row>
    <row r="563" ht="22.5" customHeight="1">
      <c r="A563" s="187" t="s">
        <v>60</v>
      </c>
      <c r="B563" s="188">
        <v>46920.0</v>
      </c>
      <c r="C563" s="187">
        <v>900.0</v>
      </c>
      <c r="D563" s="187" t="s">
        <v>106</v>
      </c>
      <c r="E563" s="98">
        <v>69.45</v>
      </c>
      <c r="F563" s="98">
        <v>69.83</v>
      </c>
      <c r="G563" s="98">
        <v>70.2</v>
      </c>
      <c r="H563" s="189">
        <v>0.5682</v>
      </c>
      <c r="I563" s="98">
        <v>0.3911</v>
      </c>
      <c r="J563" s="98">
        <v>3.0</v>
      </c>
      <c r="K563" s="98">
        <v>951.0</v>
      </c>
      <c r="L563" s="189">
        <v>-1.0534000000000001</v>
      </c>
    </row>
    <row r="564" ht="22.5" customHeight="1">
      <c r="A564" s="187" t="s">
        <v>60</v>
      </c>
      <c r="B564" s="188">
        <v>46920.0</v>
      </c>
      <c r="C564" s="187">
        <v>910.0</v>
      </c>
      <c r="D564" s="187" t="s">
        <v>106</v>
      </c>
      <c r="E564" s="98">
        <v>68.45</v>
      </c>
      <c r="F564" s="98">
        <v>68.83</v>
      </c>
      <c r="G564" s="98">
        <v>69.2</v>
      </c>
      <c r="H564" s="189">
        <v>0.5686</v>
      </c>
      <c r="I564" s="98">
        <v>0.3867</v>
      </c>
      <c r="J564" s="98">
        <v>0.0</v>
      </c>
      <c r="K564" s="98">
        <v>74.0</v>
      </c>
      <c r="L564" s="189">
        <v>-1.0762</v>
      </c>
    </row>
    <row r="565" ht="22.5" customHeight="1">
      <c r="A565" s="187" t="s">
        <v>60</v>
      </c>
      <c r="B565" s="188">
        <v>46920.0</v>
      </c>
      <c r="C565" s="187">
        <v>920.0</v>
      </c>
      <c r="D565" s="187" t="s">
        <v>106</v>
      </c>
      <c r="E565" s="98">
        <v>67.45</v>
      </c>
      <c r="F565" s="98">
        <v>67.85</v>
      </c>
      <c r="G565" s="98">
        <v>68.25</v>
      </c>
      <c r="H565" s="189">
        <v>0.5690999999999999</v>
      </c>
      <c r="I565" s="98">
        <v>0.3823</v>
      </c>
      <c r="J565" s="98">
        <v>0.0</v>
      </c>
      <c r="K565" s="98">
        <v>28.0</v>
      </c>
      <c r="L565" s="189">
        <v>-1.099</v>
      </c>
    </row>
    <row r="566" ht="22.5" customHeight="1">
      <c r="A566" s="187" t="s">
        <v>60</v>
      </c>
      <c r="B566" s="188">
        <v>46920.0</v>
      </c>
      <c r="C566" s="187">
        <v>930.0</v>
      </c>
      <c r="D566" s="187" t="s">
        <v>106</v>
      </c>
      <c r="E566" s="98">
        <v>66.5</v>
      </c>
      <c r="F566" s="98">
        <v>66.88</v>
      </c>
      <c r="G566" s="98">
        <v>67.25</v>
      </c>
      <c r="H566" s="189">
        <v>0.5696</v>
      </c>
      <c r="I566" s="98">
        <v>0.378</v>
      </c>
      <c r="J566" s="98">
        <v>0.0</v>
      </c>
      <c r="K566" s="98">
        <v>13.0</v>
      </c>
      <c r="L566" s="189">
        <v>-1.1218000000000001</v>
      </c>
    </row>
    <row r="567" ht="22.5" customHeight="1">
      <c r="A567" s="187" t="s">
        <v>60</v>
      </c>
      <c r="B567" s="188">
        <v>46920.0</v>
      </c>
      <c r="C567" s="187">
        <v>940.0</v>
      </c>
      <c r="D567" s="187" t="s">
        <v>106</v>
      </c>
      <c r="E567" s="98">
        <v>65.55</v>
      </c>
      <c r="F567" s="98">
        <v>65.93</v>
      </c>
      <c r="G567" s="98">
        <v>66.3</v>
      </c>
      <c r="H567" s="189">
        <v>0.57</v>
      </c>
      <c r="I567" s="98">
        <v>0.3737</v>
      </c>
      <c r="J567" s="98">
        <v>0.0</v>
      </c>
      <c r="K567" s="98">
        <v>269.0</v>
      </c>
      <c r="L567" s="189">
        <v>-1.1445999999999998</v>
      </c>
    </row>
    <row r="568" ht="22.5" customHeight="1">
      <c r="A568" s="187" t="s">
        <v>60</v>
      </c>
      <c r="B568" s="188">
        <v>46920.0</v>
      </c>
      <c r="C568" s="187">
        <v>950.0</v>
      </c>
      <c r="D568" s="187" t="s">
        <v>106</v>
      </c>
      <c r="E568" s="98">
        <v>64.65</v>
      </c>
      <c r="F568" s="98">
        <v>65.03</v>
      </c>
      <c r="G568" s="98">
        <v>65.4</v>
      </c>
      <c r="H568" s="189">
        <v>0.5690999999999999</v>
      </c>
      <c r="I568" s="98">
        <v>0.3685</v>
      </c>
      <c r="J568" s="98">
        <v>3.0</v>
      </c>
      <c r="K568" s="98">
        <v>456.0</v>
      </c>
      <c r="L568" s="189">
        <v>-1.1675</v>
      </c>
    </row>
    <row r="569" ht="22.5" customHeight="1">
      <c r="A569" s="187" t="s">
        <v>60</v>
      </c>
      <c r="B569" s="188">
        <v>46920.0</v>
      </c>
      <c r="C569" s="187">
        <v>960.0</v>
      </c>
      <c r="D569" s="187" t="s">
        <v>106</v>
      </c>
      <c r="E569" s="98">
        <v>63.75</v>
      </c>
      <c r="F569" s="98">
        <v>64.13</v>
      </c>
      <c r="G569" s="98">
        <v>64.5</v>
      </c>
      <c r="H569" s="189">
        <v>0.5710000000000001</v>
      </c>
      <c r="I569" s="98">
        <v>0.3655</v>
      </c>
      <c r="J569" s="98">
        <v>0.0</v>
      </c>
      <c r="K569" s="98">
        <v>265.0</v>
      </c>
      <c r="L569" s="189">
        <v>-1.1903</v>
      </c>
    </row>
    <row r="570" ht="22.5" customHeight="1">
      <c r="A570" s="187" t="s">
        <v>60</v>
      </c>
      <c r="B570" s="188">
        <v>46920.0</v>
      </c>
      <c r="C570" s="187">
        <v>970.0</v>
      </c>
      <c r="D570" s="187" t="s">
        <v>106</v>
      </c>
      <c r="E570" s="98">
        <v>62.9</v>
      </c>
      <c r="F570" s="98">
        <v>63.28</v>
      </c>
      <c r="G570" s="98">
        <v>63.65</v>
      </c>
      <c r="H570" s="189">
        <v>0.5716</v>
      </c>
      <c r="I570" s="98">
        <v>0.3616</v>
      </c>
      <c r="J570" s="98">
        <v>0.0</v>
      </c>
      <c r="K570" s="98">
        <v>125.0</v>
      </c>
      <c r="L570" s="189">
        <v>-1.2131</v>
      </c>
    </row>
    <row r="571" ht="22.5" customHeight="1">
      <c r="A571" s="187" t="s">
        <v>60</v>
      </c>
      <c r="B571" s="188">
        <v>46920.0</v>
      </c>
      <c r="C571" s="187">
        <v>980.0</v>
      </c>
      <c r="D571" s="187" t="s">
        <v>106</v>
      </c>
      <c r="E571" s="98">
        <v>62.0</v>
      </c>
      <c r="F571" s="98">
        <v>62.38</v>
      </c>
      <c r="G571" s="98">
        <v>62.75</v>
      </c>
      <c r="H571" s="189">
        <v>0.5719</v>
      </c>
      <c r="I571" s="98">
        <v>0.3575</v>
      </c>
      <c r="J571" s="98">
        <v>0.0</v>
      </c>
      <c r="K571" s="98">
        <v>489.0</v>
      </c>
      <c r="L571" s="189">
        <v>-1.2359</v>
      </c>
    </row>
    <row r="572" ht="22.5" customHeight="1">
      <c r="A572" s="187" t="s">
        <v>60</v>
      </c>
      <c r="B572" s="188">
        <v>46920.0</v>
      </c>
      <c r="C572" s="187">
        <v>990.0</v>
      </c>
      <c r="D572" s="187" t="s">
        <v>106</v>
      </c>
      <c r="E572" s="98">
        <v>61.2</v>
      </c>
      <c r="F572" s="98">
        <v>61.53</v>
      </c>
      <c r="G572" s="98">
        <v>61.85</v>
      </c>
      <c r="H572" s="189">
        <v>0.5722</v>
      </c>
      <c r="I572" s="98">
        <v>0.3535</v>
      </c>
      <c r="J572" s="98">
        <v>24.0</v>
      </c>
      <c r="K572" s="98">
        <v>2541.0</v>
      </c>
      <c r="L572" s="189">
        <v>-1.2587000000000002</v>
      </c>
    </row>
    <row r="573" ht="22.5" customHeight="1">
      <c r="A573" s="187" t="s">
        <v>60</v>
      </c>
      <c r="B573" s="188">
        <v>46920.0</v>
      </c>
      <c r="C573" s="187">
        <v>5.0</v>
      </c>
      <c r="D573" s="187" t="s">
        <v>107</v>
      </c>
      <c r="E573" s="98">
        <v>0.0</v>
      </c>
      <c r="F573" s="98">
        <v>0.03</v>
      </c>
      <c r="G573" s="98">
        <v>0.05</v>
      </c>
      <c r="H573" s="189">
        <v>1.0717</v>
      </c>
      <c r="I573" s="98">
        <v>-2.0E-4</v>
      </c>
      <c r="J573" s="98">
        <v>0.0</v>
      </c>
      <c r="K573" s="98">
        <v>1356.0</v>
      </c>
      <c r="L573" s="189">
        <v>-0.9886</v>
      </c>
    </row>
    <row r="574" ht="22.5" customHeight="1">
      <c r="A574" s="187" t="s">
        <v>60</v>
      </c>
      <c r="B574" s="188">
        <v>46920.0</v>
      </c>
      <c r="C574" s="187">
        <v>10.0</v>
      </c>
      <c r="D574" s="187" t="s">
        <v>107</v>
      </c>
      <c r="E574" s="98">
        <v>0.05</v>
      </c>
      <c r="F574" s="98">
        <v>0.18</v>
      </c>
      <c r="G574" s="98">
        <v>0.31</v>
      </c>
      <c r="H574" s="189">
        <v>1.0515</v>
      </c>
      <c r="I574" s="98">
        <v>-7.0E-4</v>
      </c>
      <c r="J574" s="98">
        <v>1.0</v>
      </c>
      <c r="K574" s="98">
        <v>322.0</v>
      </c>
      <c r="L574" s="189">
        <v>-0.9772</v>
      </c>
    </row>
    <row r="575" ht="22.5" customHeight="1">
      <c r="A575" s="187" t="s">
        <v>60</v>
      </c>
      <c r="B575" s="188">
        <v>46920.0</v>
      </c>
      <c r="C575" s="187">
        <v>15.0</v>
      </c>
      <c r="D575" s="187" t="s">
        <v>107</v>
      </c>
      <c r="E575" s="98">
        <v>0.0</v>
      </c>
      <c r="F575" s="98">
        <v>0.23</v>
      </c>
      <c r="G575" s="98">
        <v>0.45</v>
      </c>
      <c r="H575" s="189">
        <v>0.9684</v>
      </c>
      <c r="I575" s="98">
        <v>-0.0011</v>
      </c>
      <c r="J575" s="98">
        <v>1.0</v>
      </c>
      <c r="K575" s="98">
        <v>17.0</v>
      </c>
      <c r="L575" s="189">
        <v>-0.9658</v>
      </c>
    </row>
    <row r="576" ht="22.5" customHeight="1">
      <c r="A576" s="187" t="s">
        <v>60</v>
      </c>
      <c r="B576" s="188">
        <v>46920.0</v>
      </c>
      <c r="C576" s="187">
        <v>20.0</v>
      </c>
      <c r="D576" s="187" t="s">
        <v>107</v>
      </c>
      <c r="E576" s="98">
        <v>0.2</v>
      </c>
      <c r="F576" s="98">
        <v>0.38</v>
      </c>
      <c r="G576" s="98">
        <v>0.56</v>
      </c>
      <c r="H576" s="189">
        <v>0.8937</v>
      </c>
      <c r="I576" s="98">
        <v>-0.0014</v>
      </c>
      <c r="J576" s="98">
        <v>0.0</v>
      </c>
      <c r="K576" s="98">
        <v>48.0</v>
      </c>
      <c r="L576" s="189">
        <v>-0.9544</v>
      </c>
    </row>
    <row r="577" ht="22.5" customHeight="1">
      <c r="A577" s="187" t="s">
        <v>60</v>
      </c>
      <c r="B577" s="188">
        <v>46920.0</v>
      </c>
      <c r="C577" s="187">
        <v>25.0</v>
      </c>
      <c r="D577" s="187" t="s">
        <v>107</v>
      </c>
      <c r="E577" s="98">
        <v>0.26</v>
      </c>
      <c r="F577" s="98">
        <v>0.46</v>
      </c>
      <c r="G577" s="98">
        <v>0.66</v>
      </c>
      <c r="H577" s="189">
        <v>0.8453</v>
      </c>
      <c r="I577" s="98">
        <v>-0.0018</v>
      </c>
      <c r="J577" s="98">
        <v>0.0</v>
      </c>
      <c r="K577" s="98">
        <v>92.0</v>
      </c>
      <c r="L577" s="189">
        <v>-0.943</v>
      </c>
    </row>
    <row r="578" ht="22.5" customHeight="1">
      <c r="A578" s="187" t="s">
        <v>60</v>
      </c>
      <c r="B578" s="188">
        <v>46920.0</v>
      </c>
      <c r="C578" s="187">
        <v>30.0</v>
      </c>
      <c r="D578" s="187" t="s">
        <v>107</v>
      </c>
      <c r="E578" s="98">
        <v>0.36</v>
      </c>
      <c r="F578" s="98">
        <v>0.53</v>
      </c>
      <c r="G578" s="98">
        <v>0.7</v>
      </c>
      <c r="H578" s="189">
        <v>0.8157</v>
      </c>
      <c r="I578" s="98">
        <v>-0.0024</v>
      </c>
      <c r="J578" s="98">
        <v>5.0</v>
      </c>
      <c r="K578" s="98">
        <v>317.0</v>
      </c>
      <c r="L578" s="189">
        <v>-0.9316</v>
      </c>
    </row>
    <row r="579" ht="22.5" customHeight="1">
      <c r="A579" s="187" t="s">
        <v>60</v>
      </c>
      <c r="B579" s="188">
        <v>46920.0</v>
      </c>
      <c r="C579" s="187">
        <v>35.0</v>
      </c>
      <c r="D579" s="187" t="s">
        <v>107</v>
      </c>
      <c r="E579" s="98">
        <v>0.61</v>
      </c>
      <c r="F579" s="98">
        <v>0.7</v>
      </c>
      <c r="G579" s="98">
        <v>0.79</v>
      </c>
      <c r="H579" s="189">
        <v>0.7854000000000001</v>
      </c>
      <c r="I579" s="98">
        <v>-0.0029</v>
      </c>
      <c r="J579" s="98">
        <v>0.0</v>
      </c>
      <c r="K579" s="98">
        <v>164.0</v>
      </c>
      <c r="L579" s="189">
        <v>-0.9201</v>
      </c>
    </row>
    <row r="580" ht="22.5" customHeight="1">
      <c r="A580" s="187" t="s">
        <v>60</v>
      </c>
      <c r="B580" s="188">
        <v>46920.0</v>
      </c>
      <c r="C580" s="187">
        <v>40.0</v>
      </c>
      <c r="D580" s="187" t="s">
        <v>107</v>
      </c>
      <c r="E580" s="98">
        <v>0.74</v>
      </c>
      <c r="F580" s="98">
        <v>0.95</v>
      </c>
      <c r="G580" s="98">
        <v>1.15</v>
      </c>
      <c r="H580" s="189">
        <v>0.7765000000000001</v>
      </c>
      <c r="I580" s="98">
        <v>-0.0039</v>
      </c>
      <c r="J580" s="98">
        <v>0.0</v>
      </c>
      <c r="K580" s="98">
        <v>75.0</v>
      </c>
      <c r="L580" s="189">
        <v>-0.9087000000000001</v>
      </c>
    </row>
    <row r="581" ht="22.5" customHeight="1">
      <c r="A581" s="187" t="s">
        <v>60</v>
      </c>
      <c r="B581" s="188">
        <v>46920.0</v>
      </c>
      <c r="C581" s="187">
        <v>45.0</v>
      </c>
      <c r="D581" s="187" t="s">
        <v>107</v>
      </c>
      <c r="E581" s="98">
        <v>1.01</v>
      </c>
      <c r="F581" s="98">
        <v>1.16</v>
      </c>
      <c r="G581" s="98">
        <v>1.3</v>
      </c>
      <c r="H581" s="189">
        <v>0.7606999999999999</v>
      </c>
      <c r="I581" s="98">
        <v>-0.0047</v>
      </c>
      <c r="J581" s="98">
        <v>0.0</v>
      </c>
      <c r="K581" s="98">
        <v>26.0</v>
      </c>
      <c r="L581" s="189">
        <v>-0.8973</v>
      </c>
    </row>
    <row r="582" ht="22.5" customHeight="1">
      <c r="A582" s="187" t="s">
        <v>60</v>
      </c>
      <c r="B582" s="188">
        <v>46920.0</v>
      </c>
      <c r="C582" s="187">
        <v>50.0</v>
      </c>
      <c r="D582" s="187" t="s">
        <v>107</v>
      </c>
      <c r="E582" s="98">
        <v>1.29</v>
      </c>
      <c r="F582" s="98">
        <v>1.56</v>
      </c>
      <c r="G582" s="98">
        <v>1.82</v>
      </c>
      <c r="H582" s="189">
        <v>0.7614</v>
      </c>
      <c r="I582" s="98">
        <v>-0.0061</v>
      </c>
      <c r="J582" s="98">
        <v>0.0</v>
      </c>
      <c r="K582" s="98">
        <v>234.0</v>
      </c>
      <c r="L582" s="189">
        <v>-0.8859</v>
      </c>
    </row>
    <row r="583" ht="22.5" customHeight="1">
      <c r="A583" s="187" t="s">
        <v>60</v>
      </c>
      <c r="B583" s="188">
        <v>46920.0</v>
      </c>
      <c r="C583" s="187">
        <v>55.0</v>
      </c>
      <c r="D583" s="187" t="s">
        <v>107</v>
      </c>
      <c r="E583" s="98">
        <v>1.55</v>
      </c>
      <c r="F583" s="98">
        <v>1.83</v>
      </c>
      <c r="G583" s="98">
        <v>2.11</v>
      </c>
      <c r="H583" s="189">
        <v>0.7483</v>
      </c>
      <c r="I583" s="98">
        <v>-0.0072</v>
      </c>
      <c r="J583" s="98">
        <v>0.0</v>
      </c>
      <c r="K583" s="98">
        <v>3.0</v>
      </c>
      <c r="L583" s="189">
        <v>-0.8745</v>
      </c>
    </row>
    <row r="584" ht="22.5" customHeight="1">
      <c r="A584" s="187" t="s">
        <v>60</v>
      </c>
      <c r="B584" s="188">
        <v>46920.0</v>
      </c>
      <c r="C584" s="187">
        <v>60.0</v>
      </c>
      <c r="D584" s="187" t="s">
        <v>107</v>
      </c>
      <c r="E584" s="98">
        <v>1.87</v>
      </c>
      <c r="F584" s="98">
        <v>2.14</v>
      </c>
      <c r="G584" s="98">
        <v>2.41</v>
      </c>
      <c r="H584" s="189">
        <v>0.7359</v>
      </c>
      <c r="I584" s="98">
        <v>-0.0084</v>
      </c>
      <c r="J584" s="98">
        <v>5.0</v>
      </c>
      <c r="K584" s="98">
        <v>24.0</v>
      </c>
      <c r="L584" s="189">
        <v>-0.8631</v>
      </c>
    </row>
    <row r="585" ht="22.5" customHeight="1">
      <c r="A585" s="187" t="s">
        <v>60</v>
      </c>
      <c r="B585" s="188">
        <v>46920.0</v>
      </c>
      <c r="C585" s="187">
        <v>65.0</v>
      </c>
      <c r="D585" s="187" t="s">
        <v>107</v>
      </c>
      <c r="E585" s="98">
        <v>2.17</v>
      </c>
      <c r="F585" s="98">
        <v>2.43</v>
      </c>
      <c r="G585" s="98">
        <v>2.68</v>
      </c>
      <c r="H585" s="189">
        <v>0.7242000000000001</v>
      </c>
      <c r="I585" s="98">
        <v>-0.0097</v>
      </c>
      <c r="J585" s="98">
        <v>0.0</v>
      </c>
      <c r="K585" s="98">
        <v>112.0</v>
      </c>
      <c r="L585" s="189">
        <v>-0.8517</v>
      </c>
    </row>
    <row r="586" ht="22.5" customHeight="1">
      <c r="A586" s="187" t="s">
        <v>60</v>
      </c>
      <c r="B586" s="188">
        <v>46920.0</v>
      </c>
      <c r="C586" s="187">
        <v>70.0</v>
      </c>
      <c r="D586" s="187" t="s">
        <v>107</v>
      </c>
      <c r="E586" s="98">
        <v>2.67</v>
      </c>
      <c r="F586" s="98">
        <v>2.8</v>
      </c>
      <c r="G586" s="98">
        <v>2.92</v>
      </c>
      <c r="H586" s="189">
        <v>0.7156</v>
      </c>
      <c r="I586" s="98">
        <v>-0.0111</v>
      </c>
      <c r="J586" s="98">
        <v>0.0</v>
      </c>
      <c r="K586" s="98">
        <v>21.0</v>
      </c>
      <c r="L586" s="189">
        <v>-0.8403</v>
      </c>
    </row>
    <row r="587" ht="22.5" customHeight="1">
      <c r="A587" s="187" t="s">
        <v>60</v>
      </c>
      <c r="B587" s="188">
        <v>46920.0</v>
      </c>
      <c r="C587" s="187">
        <v>75.0</v>
      </c>
      <c r="D587" s="187" t="s">
        <v>107</v>
      </c>
      <c r="E587" s="98">
        <v>3.0</v>
      </c>
      <c r="F587" s="98">
        <v>3.15</v>
      </c>
      <c r="G587" s="98">
        <v>3.3</v>
      </c>
      <c r="H587" s="189">
        <v>0.7056</v>
      </c>
      <c r="I587" s="98">
        <v>-0.0126</v>
      </c>
      <c r="J587" s="98">
        <v>1.0</v>
      </c>
      <c r="K587" s="98">
        <v>76.0</v>
      </c>
      <c r="L587" s="189">
        <v>-0.8289</v>
      </c>
    </row>
    <row r="588" ht="22.5" customHeight="1">
      <c r="A588" s="187" t="s">
        <v>60</v>
      </c>
      <c r="B588" s="188">
        <v>46920.0</v>
      </c>
      <c r="C588" s="187">
        <v>80.0</v>
      </c>
      <c r="D588" s="187" t="s">
        <v>107</v>
      </c>
      <c r="E588" s="98">
        <v>3.4</v>
      </c>
      <c r="F588" s="98">
        <v>3.55</v>
      </c>
      <c r="G588" s="98">
        <v>3.7</v>
      </c>
      <c r="H588" s="189">
        <v>0.6972</v>
      </c>
      <c r="I588" s="98">
        <v>-0.0141</v>
      </c>
      <c r="J588" s="98">
        <v>11.0</v>
      </c>
      <c r="K588" s="98">
        <v>42.0</v>
      </c>
      <c r="L588" s="189">
        <v>-0.8175</v>
      </c>
    </row>
    <row r="589" ht="22.5" customHeight="1">
      <c r="A589" s="187" t="s">
        <v>60</v>
      </c>
      <c r="B589" s="188">
        <v>46920.0</v>
      </c>
      <c r="C589" s="187">
        <v>85.0</v>
      </c>
      <c r="D589" s="187" t="s">
        <v>107</v>
      </c>
      <c r="E589" s="98">
        <v>3.8</v>
      </c>
      <c r="F589" s="98">
        <v>3.95</v>
      </c>
      <c r="G589" s="98">
        <v>4.1</v>
      </c>
      <c r="H589" s="189">
        <v>0.6884</v>
      </c>
      <c r="I589" s="98">
        <v>-0.0158</v>
      </c>
      <c r="J589" s="98">
        <v>1.0</v>
      </c>
      <c r="K589" s="98">
        <v>164.0</v>
      </c>
      <c r="L589" s="189">
        <v>-0.8061</v>
      </c>
    </row>
    <row r="590" ht="22.5" customHeight="1">
      <c r="A590" s="187" t="s">
        <v>60</v>
      </c>
      <c r="B590" s="188">
        <v>46920.0</v>
      </c>
      <c r="C590" s="187">
        <v>90.0</v>
      </c>
      <c r="D590" s="187" t="s">
        <v>107</v>
      </c>
      <c r="E590" s="98">
        <v>4.25</v>
      </c>
      <c r="F590" s="98">
        <v>4.4</v>
      </c>
      <c r="G590" s="98">
        <v>4.55</v>
      </c>
      <c r="H590" s="189">
        <v>0.6811</v>
      </c>
      <c r="I590" s="98">
        <v>-0.0175</v>
      </c>
      <c r="J590" s="98">
        <v>0.0</v>
      </c>
      <c r="K590" s="98">
        <v>68.0</v>
      </c>
      <c r="L590" s="189">
        <v>-0.7947</v>
      </c>
    </row>
    <row r="591" ht="22.5" customHeight="1">
      <c r="A591" s="187" t="s">
        <v>60</v>
      </c>
      <c r="B591" s="188">
        <v>46920.0</v>
      </c>
      <c r="C591" s="187">
        <v>95.0</v>
      </c>
      <c r="D591" s="187" t="s">
        <v>107</v>
      </c>
      <c r="E591" s="98">
        <v>4.7</v>
      </c>
      <c r="F591" s="98">
        <v>4.85</v>
      </c>
      <c r="G591" s="98">
        <v>5.0</v>
      </c>
      <c r="H591" s="189">
        <v>0.6733</v>
      </c>
      <c r="I591" s="98">
        <v>-0.0193</v>
      </c>
      <c r="J591" s="98">
        <v>0.0</v>
      </c>
      <c r="K591" s="98">
        <v>98.0</v>
      </c>
      <c r="L591" s="189">
        <v>-0.7833</v>
      </c>
    </row>
    <row r="592" ht="22.5" customHeight="1">
      <c r="A592" s="187" t="s">
        <v>60</v>
      </c>
      <c r="B592" s="188">
        <v>46920.0</v>
      </c>
      <c r="C592" s="187">
        <v>100.0</v>
      </c>
      <c r="D592" s="187" t="s">
        <v>107</v>
      </c>
      <c r="E592" s="98">
        <v>5.25</v>
      </c>
      <c r="F592" s="98">
        <v>5.38</v>
      </c>
      <c r="G592" s="98">
        <v>5.5</v>
      </c>
      <c r="H592" s="189">
        <v>0.6673</v>
      </c>
      <c r="I592" s="98">
        <v>-0.0213</v>
      </c>
      <c r="J592" s="98">
        <v>6.0</v>
      </c>
      <c r="K592" s="98">
        <v>334.0</v>
      </c>
      <c r="L592" s="189">
        <v>-0.7718</v>
      </c>
    </row>
    <row r="593" ht="22.5" customHeight="1">
      <c r="A593" s="187" t="s">
        <v>60</v>
      </c>
      <c r="B593" s="188">
        <v>46920.0</v>
      </c>
      <c r="C593" s="187">
        <v>110.0</v>
      </c>
      <c r="D593" s="187" t="s">
        <v>107</v>
      </c>
      <c r="E593" s="98">
        <v>6.25</v>
      </c>
      <c r="F593" s="98">
        <v>6.4</v>
      </c>
      <c r="G593" s="98">
        <v>6.55</v>
      </c>
      <c r="H593" s="189">
        <v>0.6537999999999999</v>
      </c>
      <c r="I593" s="98">
        <v>-0.0254</v>
      </c>
      <c r="J593" s="98">
        <v>0.0</v>
      </c>
      <c r="K593" s="98">
        <v>50.0</v>
      </c>
      <c r="L593" s="189">
        <v>-0.7490000000000001</v>
      </c>
    </row>
    <row r="594" ht="22.5" customHeight="1">
      <c r="A594" s="187" t="s">
        <v>60</v>
      </c>
      <c r="B594" s="188">
        <v>46920.0</v>
      </c>
      <c r="C594" s="187">
        <v>120.0</v>
      </c>
      <c r="D594" s="187" t="s">
        <v>107</v>
      </c>
      <c r="E594" s="98">
        <v>7.4</v>
      </c>
      <c r="F594" s="98">
        <v>7.58</v>
      </c>
      <c r="G594" s="98">
        <v>7.75</v>
      </c>
      <c r="H594" s="189">
        <v>0.6425</v>
      </c>
      <c r="I594" s="98">
        <v>-0.0299</v>
      </c>
      <c r="J594" s="98">
        <v>0.0</v>
      </c>
      <c r="K594" s="98">
        <v>63.0</v>
      </c>
      <c r="L594" s="189">
        <v>-0.7262000000000001</v>
      </c>
    </row>
    <row r="595" ht="22.5" customHeight="1">
      <c r="A595" s="187" t="s">
        <v>60</v>
      </c>
      <c r="B595" s="188">
        <v>46920.0</v>
      </c>
      <c r="C595" s="187">
        <v>130.0</v>
      </c>
      <c r="D595" s="187" t="s">
        <v>107</v>
      </c>
      <c r="E595" s="98">
        <v>8.7</v>
      </c>
      <c r="F595" s="98">
        <v>8.88</v>
      </c>
      <c r="G595" s="98">
        <v>9.05</v>
      </c>
      <c r="H595" s="189">
        <v>0.6324000000000001</v>
      </c>
      <c r="I595" s="98">
        <v>-0.0348</v>
      </c>
      <c r="J595" s="98">
        <v>0.0</v>
      </c>
      <c r="K595" s="98">
        <v>90.0</v>
      </c>
      <c r="L595" s="189">
        <v>-0.7034</v>
      </c>
    </row>
    <row r="596" ht="22.5" customHeight="1">
      <c r="A596" s="187" t="s">
        <v>60</v>
      </c>
      <c r="B596" s="188">
        <v>46920.0</v>
      </c>
      <c r="C596" s="187">
        <v>140.0</v>
      </c>
      <c r="D596" s="187" t="s">
        <v>107</v>
      </c>
      <c r="E596" s="98">
        <v>10.15</v>
      </c>
      <c r="F596" s="98">
        <v>10.3</v>
      </c>
      <c r="G596" s="98">
        <v>10.45</v>
      </c>
      <c r="H596" s="189">
        <v>0.6233</v>
      </c>
      <c r="I596" s="98">
        <v>-0.0402</v>
      </c>
      <c r="J596" s="98">
        <v>1.0</v>
      </c>
      <c r="K596" s="98">
        <v>194.0</v>
      </c>
      <c r="L596" s="189">
        <v>-0.6806</v>
      </c>
    </row>
    <row r="597" ht="22.5" customHeight="1">
      <c r="A597" s="187" t="s">
        <v>60</v>
      </c>
      <c r="B597" s="188">
        <v>46920.0</v>
      </c>
      <c r="C597" s="187">
        <v>150.0</v>
      </c>
      <c r="D597" s="187" t="s">
        <v>107</v>
      </c>
      <c r="E597" s="98">
        <v>11.65</v>
      </c>
      <c r="F597" s="98">
        <v>11.83</v>
      </c>
      <c r="G597" s="98">
        <v>12.0</v>
      </c>
      <c r="H597" s="189">
        <v>0.6157</v>
      </c>
      <c r="I597" s="98">
        <v>-0.0459</v>
      </c>
      <c r="J597" s="98">
        <v>24.0</v>
      </c>
      <c r="K597" s="98">
        <v>192.0</v>
      </c>
      <c r="L597" s="189">
        <v>-0.6578</v>
      </c>
    </row>
    <row r="598" ht="22.5" customHeight="1">
      <c r="A598" s="187" t="s">
        <v>60</v>
      </c>
      <c r="B598" s="188">
        <v>46920.0</v>
      </c>
      <c r="C598" s="187">
        <v>160.0</v>
      </c>
      <c r="D598" s="187" t="s">
        <v>107</v>
      </c>
      <c r="E598" s="98">
        <v>13.35</v>
      </c>
      <c r="F598" s="98">
        <v>13.5</v>
      </c>
      <c r="G598" s="98">
        <v>13.65</v>
      </c>
      <c r="H598" s="189">
        <v>0.6069</v>
      </c>
      <c r="I598" s="98">
        <v>-0.0518</v>
      </c>
      <c r="J598" s="98">
        <v>0.0</v>
      </c>
      <c r="K598" s="98">
        <v>200.0</v>
      </c>
      <c r="L598" s="189">
        <v>-0.635</v>
      </c>
    </row>
    <row r="599" ht="22.5" customHeight="1">
      <c r="A599" s="187" t="s">
        <v>60</v>
      </c>
      <c r="B599" s="188">
        <v>46920.0</v>
      </c>
      <c r="C599" s="187">
        <v>170.0</v>
      </c>
      <c r="D599" s="187" t="s">
        <v>107</v>
      </c>
      <c r="E599" s="98">
        <v>15.15</v>
      </c>
      <c r="F599" s="98">
        <v>15.33</v>
      </c>
      <c r="G599" s="98">
        <v>15.5</v>
      </c>
      <c r="H599" s="189">
        <v>0.6</v>
      </c>
      <c r="I599" s="98">
        <v>-0.0583</v>
      </c>
      <c r="J599" s="98">
        <v>0.0</v>
      </c>
      <c r="K599" s="98">
        <v>76.0</v>
      </c>
      <c r="L599" s="189">
        <v>-0.6121</v>
      </c>
    </row>
    <row r="600" ht="22.5" customHeight="1">
      <c r="A600" s="187" t="s">
        <v>60</v>
      </c>
      <c r="B600" s="188">
        <v>46920.0</v>
      </c>
      <c r="C600" s="187">
        <v>180.0</v>
      </c>
      <c r="D600" s="187" t="s">
        <v>107</v>
      </c>
      <c r="E600" s="98">
        <v>17.1</v>
      </c>
      <c r="F600" s="98">
        <v>17.28</v>
      </c>
      <c r="G600" s="98">
        <v>17.45</v>
      </c>
      <c r="H600" s="189">
        <v>0.5927</v>
      </c>
      <c r="I600" s="98">
        <v>-0.065</v>
      </c>
      <c r="J600" s="98">
        <v>4.0</v>
      </c>
      <c r="K600" s="98">
        <v>101.0</v>
      </c>
      <c r="L600" s="189">
        <v>-0.5893</v>
      </c>
    </row>
    <row r="601" ht="22.5" customHeight="1">
      <c r="A601" s="187" t="s">
        <v>60</v>
      </c>
      <c r="B601" s="188">
        <v>46920.0</v>
      </c>
      <c r="C601" s="187">
        <v>190.0</v>
      </c>
      <c r="D601" s="187" t="s">
        <v>107</v>
      </c>
      <c r="E601" s="98">
        <v>19.2</v>
      </c>
      <c r="F601" s="98">
        <v>19.4</v>
      </c>
      <c r="G601" s="98">
        <v>19.6</v>
      </c>
      <c r="H601" s="189">
        <v>0.588</v>
      </c>
      <c r="I601" s="98">
        <v>-0.0724</v>
      </c>
      <c r="J601" s="98">
        <v>0.0</v>
      </c>
      <c r="K601" s="98">
        <v>65.0</v>
      </c>
      <c r="L601" s="189">
        <v>-0.5665</v>
      </c>
    </row>
    <row r="602" ht="22.5" customHeight="1">
      <c r="A602" s="187" t="s">
        <v>60</v>
      </c>
      <c r="B602" s="188">
        <v>46920.0</v>
      </c>
      <c r="C602" s="187">
        <v>200.0</v>
      </c>
      <c r="D602" s="187" t="s">
        <v>107</v>
      </c>
      <c r="E602" s="98">
        <v>21.45</v>
      </c>
      <c r="F602" s="98">
        <v>21.65</v>
      </c>
      <c r="G602" s="98">
        <v>21.85</v>
      </c>
      <c r="H602" s="189">
        <v>0.5826</v>
      </c>
      <c r="I602" s="98">
        <v>-0.08</v>
      </c>
      <c r="J602" s="98">
        <v>0.0</v>
      </c>
      <c r="K602" s="98">
        <v>247.0</v>
      </c>
      <c r="L602" s="189">
        <v>-0.5437</v>
      </c>
    </row>
    <row r="603" ht="22.5" customHeight="1">
      <c r="A603" s="187" t="s">
        <v>60</v>
      </c>
      <c r="B603" s="188">
        <v>46920.0</v>
      </c>
      <c r="C603" s="187">
        <v>210.0</v>
      </c>
      <c r="D603" s="187" t="s">
        <v>107</v>
      </c>
      <c r="E603" s="98">
        <v>23.9</v>
      </c>
      <c r="F603" s="98">
        <v>24.1</v>
      </c>
      <c r="G603" s="98">
        <v>24.3</v>
      </c>
      <c r="H603" s="189">
        <v>0.5782</v>
      </c>
      <c r="I603" s="98">
        <v>-0.0879</v>
      </c>
      <c r="J603" s="98">
        <v>0.0</v>
      </c>
      <c r="K603" s="98">
        <v>174.0</v>
      </c>
      <c r="L603" s="189">
        <v>-0.5209</v>
      </c>
    </row>
    <row r="604" ht="22.5" customHeight="1">
      <c r="A604" s="187" t="s">
        <v>60</v>
      </c>
      <c r="B604" s="188">
        <v>46920.0</v>
      </c>
      <c r="C604" s="187">
        <v>220.0</v>
      </c>
      <c r="D604" s="187" t="s">
        <v>107</v>
      </c>
      <c r="E604" s="98">
        <v>26.45</v>
      </c>
      <c r="F604" s="98">
        <v>26.67</v>
      </c>
      <c r="G604" s="98">
        <v>26.9</v>
      </c>
      <c r="H604" s="189">
        <v>0.5722999999999999</v>
      </c>
      <c r="I604" s="98">
        <v>-0.0959</v>
      </c>
      <c r="J604" s="98">
        <v>1.0</v>
      </c>
      <c r="K604" s="98">
        <v>292.0</v>
      </c>
      <c r="L604" s="189">
        <v>-0.49810000000000004</v>
      </c>
    </row>
    <row r="605" ht="22.5" customHeight="1">
      <c r="A605" s="187" t="s">
        <v>60</v>
      </c>
      <c r="B605" s="188">
        <v>46920.0</v>
      </c>
      <c r="C605" s="187">
        <v>230.0</v>
      </c>
      <c r="D605" s="187" t="s">
        <v>107</v>
      </c>
      <c r="E605" s="98">
        <v>29.2</v>
      </c>
      <c r="F605" s="98">
        <v>29.42</v>
      </c>
      <c r="G605" s="98">
        <v>29.65</v>
      </c>
      <c r="H605" s="189">
        <v>0.5699000000000001</v>
      </c>
      <c r="I605" s="98">
        <v>-0.1046</v>
      </c>
      <c r="J605" s="98">
        <v>0.0</v>
      </c>
      <c r="K605" s="98">
        <v>105.0</v>
      </c>
      <c r="L605" s="189">
        <v>-0.4752</v>
      </c>
    </row>
    <row r="606" ht="22.5" customHeight="1">
      <c r="A606" s="187" t="s">
        <v>60</v>
      </c>
      <c r="B606" s="188">
        <v>46920.0</v>
      </c>
      <c r="C606" s="187">
        <v>240.0</v>
      </c>
      <c r="D606" s="187" t="s">
        <v>107</v>
      </c>
      <c r="E606" s="98">
        <v>32.1</v>
      </c>
      <c r="F606" s="98">
        <v>32.35</v>
      </c>
      <c r="G606" s="98">
        <v>32.6</v>
      </c>
      <c r="H606" s="189">
        <v>0.5665</v>
      </c>
      <c r="I606" s="98">
        <v>-0.1134</v>
      </c>
      <c r="J606" s="98">
        <v>0.0</v>
      </c>
      <c r="K606" s="98">
        <v>99.0</v>
      </c>
      <c r="L606" s="189">
        <v>-0.4524</v>
      </c>
    </row>
    <row r="607" ht="22.5" customHeight="1">
      <c r="A607" s="187" t="s">
        <v>60</v>
      </c>
      <c r="B607" s="188">
        <v>46920.0</v>
      </c>
      <c r="C607" s="187">
        <v>250.0</v>
      </c>
      <c r="D607" s="187" t="s">
        <v>107</v>
      </c>
      <c r="E607" s="98">
        <v>35.15</v>
      </c>
      <c r="F607" s="98">
        <v>35.4</v>
      </c>
      <c r="G607" s="98">
        <v>35.65</v>
      </c>
      <c r="H607" s="189">
        <v>0.5644</v>
      </c>
      <c r="I607" s="98">
        <v>-0.1225</v>
      </c>
      <c r="J607" s="98">
        <v>5.0</v>
      </c>
      <c r="K607" s="98">
        <v>676.0</v>
      </c>
      <c r="L607" s="189">
        <v>-0.4296</v>
      </c>
    </row>
    <row r="608" ht="22.5" customHeight="1">
      <c r="A608" s="187" t="s">
        <v>60</v>
      </c>
      <c r="B608" s="188">
        <v>46920.0</v>
      </c>
      <c r="C608" s="187">
        <v>260.0</v>
      </c>
      <c r="D608" s="187" t="s">
        <v>107</v>
      </c>
      <c r="E608" s="98">
        <v>38.4</v>
      </c>
      <c r="F608" s="98">
        <v>38.65</v>
      </c>
      <c r="G608" s="98">
        <v>38.9</v>
      </c>
      <c r="H608" s="189">
        <v>0.5603</v>
      </c>
      <c r="I608" s="98">
        <v>-0.1318</v>
      </c>
      <c r="J608" s="98">
        <v>0.0</v>
      </c>
      <c r="K608" s="98">
        <v>49.0</v>
      </c>
      <c r="L608" s="189">
        <v>-0.4068</v>
      </c>
    </row>
    <row r="609" ht="22.5" customHeight="1">
      <c r="A609" s="187" t="s">
        <v>60</v>
      </c>
      <c r="B609" s="188">
        <v>46920.0</v>
      </c>
      <c r="C609" s="187">
        <v>270.0</v>
      </c>
      <c r="D609" s="187" t="s">
        <v>107</v>
      </c>
      <c r="E609" s="98">
        <v>41.8</v>
      </c>
      <c r="F609" s="98">
        <v>42.08</v>
      </c>
      <c r="G609" s="98">
        <v>42.35</v>
      </c>
      <c r="H609" s="189">
        <v>0.5579</v>
      </c>
      <c r="I609" s="98">
        <v>-0.1413</v>
      </c>
      <c r="J609" s="98">
        <v>0.0</v>
      </c>
      <c r="K609" s="98">
        <v>72.0</v>
      </c>
      <c r="L609" s="189">
        <v>-0.384</v>
      </c>
    </row>
    <row r="610" ht="22.5" customHeight="1">
      <c r="A610" s="187" t="s">
        <v>60</v>
      </c>
      <c r="B610" s="188">
        <v>46920.0</v>
      </c>
      <c r="C610" s="187">
        <v>280.0</v>
      </c>
      <c r="D610" s="187" t="s">
        <v>107</v>
      </c>
      <c r="E610" s="98">
        <v>45.35</v>
      </c>
      <c r="F610" s="98">
        <v>45.63</v>
      </c>
      <c r="G610" s="98">
        <v>45.9</v>
      </c>
      <c r="H610" s="189">
        <v>0.5554</v>
      </c>
      <c r="I610" s="98">
        <v>-0.1512</v>
      </c>
      <c r="J610" s="98">
        <v>0.0</v>
      </c>
      <c r="K610" s="98">
        <v>219.0</v>
      </c>
      <c r="L610" s="189">
        <v>-0.36119999999999997</v>
      </c>
    </row>
    <row r="611" ht="22.5" customHeight="1">
      <c r="A611" s="187" t="s">
        <v>60</v>
      </c>
      <c r="B611" s="188">
        <v>46920.0</v>
      </c>
      <c r="C611" s="187">
        <v>290.0</v>
      </c>
      <c r="D611" s="187" t="s">
        <v>107</v>
      </c>
      <c r="E611" s="98">
        <v>49.1</v>
      </c>
      <c r="F611" s="98">
        <v>49.38</v>
      </c>
      <c r="G611" s="98">
        <v>49.65</v>
      </c>
      <c r="H611" s="189">
        <v>0.5534</v>
      </c>
      <c r="I611" s="98">
        <v>-0.1611</v>
      </c>
      <c r="J611" s="98">
        <v>0.0</v>
      </c>
      <c r="K611" s="98">
        <v>286.0</v>
      </c>
      <c r="L611" s="189">
        <v>-0.33840000000000003</v>
      </c>
    </row>
    <row r="612" ht="22.5" customHeight="1">
      <c r="A612" s="187" t="s">
        <v>60</v>
      </c>
      <c r="B612" s="188">
        <v>46920.0</v>
      </c>
      <c r="C612" s="187">
        <v>300.0</v>
      </c>
      <c r="D612" s="187" t="s">
        <v>107</v>
      </c>
      <c r="E612" s="98">
        <v>52.95</v>
      </c>
      <c r="F612" s="98">
        <v>53.25</v>
      </c>
      <c r="G612" s="98">
        <v>53.55</v>
      </c>
      <c r="H612" s="189">
        <v>0.5522</v>
      </c>
      <c r="I612" s="98">
        <v>-0.1713</v>
      </c>
      <c r="J612" s="98">
        <v>11.0</v>
      </c>
      <c r="K612" s="98">
        <v>615.0</v>
      </c>
      <c r="L612" s="189">
        <v>-0.3155</v>
      </c>
    </row>
    <row r="613" ht="22.5" customHeight="1">
      <c r="A613" s="187" t="s">
        <v>60</v>
      </c>
      <c r="B613" s="188">
        <v>46920.0</v>
      </c>
      <c r="C613" s="187">
        <v>310.0</v>
      </c>
      <c r="D613" s="187" t="s">
        <v>107</v>
      </c>
      <c r="E613" s="98">
        <v>57.0</v>
      </c>
      <c r="F613" s="98">
        <v>57.33</v>
      </c>
      <c r="G613" s="98">
        <v>57.65</v>
      </c>
      <c r="H613" s="189">
        <v>0.5497</v>
      </c>
      <c r="I613" s="98">
        <v>-0.1814</v>
      </c>
      <c r="J613" s="98">
        <v>0.0</v>
      </c>
      <c r="K613" s="98">
        <v>68.0</v>
      </c>
      <c r="L613" s="189">
        <v>-0.2927</v>
      </c>
    </row>
    <row r="614" ht="22.5" customHeight="1">
      <c r="A614" s="187" t="s">
        <v>60</v>
      </c>
      <c r="B614" s="188">
        <v>46920.0</v>
      </c>
      <c r="C614" s="187">
        <v>320.0</v>
      </c>
      <c r="D614" s="187" t="s">
        <v>107</v>
      </c>
      <c r="E614" s="98">
        <v>61.25</v>
      </c>
      <c r="F614" s="98">
        <v>61.55</v>
      </c>
      <c r="G614" s="98">
        <v>61.85</v>
      </c>
      <c r="H614" s="189">
        <v>0.5482</v>
      </c>
      <c r="I614" s="98">
        <v>-0.1919</v>
      </c>
      <c r="J614" s="98">
        <v>0.0</v>
      </c>
      <c r="K614" s="98">
        <v>169.0</v>
      </c>
      <c r="L614" s="189">
        <v>-0.2699</v>
      </c>
    </row>
    <row r="615" ht="22.5" customHeight="1">
      <c r="A615" s="187" t="s">
        <v>60</v>
      </c>
      <c r="B615" s="188">
        <v>46920.0</v>
      </c>
      <c r="C615" s="187">
        <v>330.0</v>
      </c>
      <c r="D615" s="187" t="s">
        <v>107</v>
      </c>
      <c r="E615" s="98">
        <v>65.6</v>
      </c>
      <c r="F615" s="98">
        <v>65.93</v>
      </c>
      <c r="G615" s="98">
        <v>66.25</v>
      </c>
      <c r="H615" s="189">
        <v>0.5474</v>
      </c>
      <c r="I615" s="98">
        <v>-0.2027</v>
      </c>
      <c r="J615" s="98">
        <v>1.0</v>
      </c>
      <c r="K615" s="98">
        <v>124.0</v>
      </c>
      <c r="L615" s="189">
        <v>-0.24710000000000001</v>
      </c>
    </row>
    <row r="616" ht="22.5" customHeight="1">
      <c r="A616" s="187" t="s">
        <v>60</v>
      </c>
      <c r="B616" s="188">
        <v>46920.0</v>
      </c>
      <c r="C616" s="187">
        <v>340.0</v>
      </c>
      <c r="D616" s="187" t="s">
        <v>107</v>
      </c>
      <c r="E616" s="98">
        <v>70.1</v>
      </c>
      <c r="F616" s="98">
        <v>70.45</v>
      </c>
      <c r="G616" s="98">
        <v>70.8</v>
      </c>
      <c r="H616" s="189">
        <v>0.5455</v>
      </c>
      <c r="I616" s="98">
        <v>-0.2134</v>
      </c>
      <c r="J616" s="98">
        <v>0.0</v>
      </c>
      <c r="K616" s="98">
        <v>267.0</v>
      </c>
      <c r="L616" s="189">
        <v>-0.2243</v>
      </c>
    </row>
    <row r="617" ht="22.5" customHeight="1">
      <c r="A617" s="187" t="s">
        <v>60</v>
      </c>
      <c r="B617" s="188">
        <v>46920.0</v>
      </c>
      <c r="C617" s="187">
        <v>350.0</v>
      </c>
      <c r="D617" s="187" t="s">
        <v>107</v>
      </c>
      <c r="E617" s="98">
        <v>74.75</v>
      </c>
      <c r="F617" s="98">
        <v>75.13</v>
      </c>
      <c r="G617" s="98">
        <v>75.5</v>
      </c>
      <c r="H617" s="189">
        <v>0.5444</v>
      </c>
      <c r="I617" s="98">
        <v>-0.2239</v>
      </c>
      <c r="J617" s="98">
        <v>0.0</v>
      </c>
      <c r="K617" s="98">
        <v>377.0</v>
      </c>
      <c r="L617" s="189">
        <v>-0.20149999999999998</v>
      </c>
    </row>
    <row r="618" ht="22.5" customHeight="1">
      <c r="A618" s="187" t="s">
        <v>60</v>
      </c>
      <c r="B618" s="188">
        <v>46920.0</v>
      </c>
      <c r="C618" s="187">
        <v>360.0</v>
      </c>
      <c r="D618" s="187" t="s">
        <v>107</v>
      </c>
      <c r="E618" s="98">
        <v>79.6</v>
      </c>
      <c r="F618" s="98">
        <v>79.95</v>
      </c>
      <c r="G618" s="98">
        <v>80.3</v>
      </c>
      <c r="H618" s="189">
        <v>0.5434</v>
      </c>
      <c r="I618" s="98">
        <v>-0.2346</v>
      </c>
      <c r="J618" s="98">
        <v>0.0</v>
      </c>
      <c r="K618" s="98">
        <v>317.0</v>
      </c>
      <c r="L618" s="189">
        <v>-0.17859999999999998</v>
      </c>
    </row>
    <row r="619" ht="22.5" customHeight="1">
      <c r="A619" s="187" t="s">
        <v>60</v>
      </c>
      <c r="B619" s="188">
        <v>46920.0</v>
      </c>
      <c r="C619" s="187">
        <v>370.0</v>
      </c>
      <c r="D619" s="187" t="s">
        <v>107</v>
      </c>
      <c r="E619" s="98">
        <v>84.55</v>
      </c>
      <c r="F619" s="98">
        <v>84.93</v>
      </c>
      <c r="G619" s="98">
        <v>85.3</v>
      </c>
      <c r="H619" s="189">
        <v>0.5425</v>
      </c>
      <c r="I619" s="98">
        <v>-0.2451</v>
      </c>
      <c r="J619" s="98">
        <v>0.0</v>
      </c>
      <c r="K619" s="98">
        <v>176.0</v>
      </c>
      <c r="L619" s="189">
        <v>-0.1558</v>
      </c>
    </row>
    <row r="620" ht="22.5" customHeight="1">
      <c r="A620" s="187" t="s">
        <v>60</v>
      </c>
      <c r="B620" s="188">
        <v>46920.0</v>
      </c>
      <c r="C620" s="187">
        <v>380.0</v>
      </c>
      <c r="D620" s="187" t="s">
        <v>107</v>
      </c>
      <c r="E620" s="98">
        <v>89.65</v>
      </c>
      <c r="F620" s="98">
        <v>90.03</v>
      </c>
      <c r="G620" s="98">
        <v>90.4</v>
      </c>
      <c r="H620" s="189">
        <v>0.5417000000000001</v>
      </c>
      <c r="I620" s="98">
        <v>-0.2559</v>
      </c>
      <c r="J620" s="98">
        <v>0.0</v>
      </c>
      <c r="K620" s="98">
        <v>164.0</v>
      </c>
      <c r="L620" s="189">
        <v>-0.133</v>
      </c>
    </row>
    <row r="621" ht="22.5" customHeight="1">
      <c r="A621" s="187" t="s">
        <v>60</v>
      </c>
      <c r="B621" s="188">
        <v>46920.0</v>
      </c>
      <c r="C621" s="187">
        <v>390.0</v>
      </c>
      <c r="D621" s="187" t="s">
        <v>107</v>
      </c>
      <c r="E621" s="98">
        <v>94.85</v>
      </c>
      <c r="F621" s="98">
        <v>95.25</v>
      </c>
      <c r="G621" s="98">
        <v>95.65</v>
      </c>
      <c r="H621" s="189">
        <v>0.5421</v>
      </c>
      <c r="I621" s="98">
        <v>-0.2668</v>
      </c>
      <c r="J621" s="98">
        <v>10.0</v>
      </c>
      <c r="K621" s="98">
        <v>234.0</v>
      </c>
      <c r="L621" s="189">
        <v>-0.11019999999999999</v>
      </c>
    </row>
    <row r="622" ht="22.5" customHeight="1">
      <c r="A622" s="187" t="s">
        <v>60</v>
      </c>
      <c r="B622" s="188">
        <v>46920.0</v>
      </c>
      <c r="C622" s="187">
        <v>400.0</v>
      </c>
      <c r="D622" s="187" t="s">
        <v>107</v>
      </c>
      <c r="E622" s="98">
        <v>100.25</v>
      </c>
      <c r="F622" s="98">
        <v>100.65</v>
      </c>
      <c r="G622" s="98">
        <v>101.05</v>
      </c>
      <c r="H622" s="189">
        <v>0.5415</v>
      </c>
      <c r="I622" s="98">
        <v>-0.2774</v>
      </c>
      <c r="J622" s="98">
        <v>1.0</v>
      </c>
      <c r="K622" s="98">
        <v>496.0</v>
      </c>
      <c r="L622" s="189">
        <v>-0.0874</v>
      </c>
    </row>
    <row r="623" ht="22.5" customHeight="1">
      <c r="A623" s="187" t="s">
        <v>60</v>
      </c>
      <c r="B623" s="188">
        <v>46920.0</v>
      </c>
      <c r="C623" s="187">
        <v>410.0</v>
      </c>
      <c r="D623" s="187" t="s">
        <v>107</v>
      </c>
      <c r="E623" s="98">
        <v>105.75</v>
      </c>
      <c r="F623" s="98">
        <v>106.15</v>
      </c>
      <c r="G623" s="98">
        <v>106.55</v>
      </c>
      <c r="H623" s="189">
        <v>0.5398</v>
      </c>
      <c r="I623" s="98">
        <v>-0.2884</v>
      </c>
      <c r="J623" s="98">
        <v>0.0</v>
      </c>
      <c r="K623" s="98">
        <v>211.0</v>
      </c>
      <c r="L623" s="189">
        <v>-0.0646</v>
      </c>
    </row>
    <row r="624" ht="22.5" customHeight="1">
      <c r="A624" s="187" t="s">
        <v>60</v>
      </c>
      <c r="B624" s="188">
        <v>46920.0</v>
      </c>
      <c r="C624" s="187">
        <v>420.0</v>
      </c>
      <c r="D624" s="187" t="s">
        <v>107</v>
      </c>
      <c r="E624" s="98">
        <v>111.35</v>
      </c>
      <c r="F624" s="98">
        <v>111.78</v>
      </c>
      <c r="G624" s="98">
        <v>112.2</v>
      </c>
      <c r="H624" s="189">
        <v>0.5393</v>
      </c>
      <c r="I624" s="98">
        <v>-0.2994</v>
      </c>
      <c r="J624" s="98">
        <v>0.0</v>
      </c>
      <c r="K624" s="98">
        <v>203.0</v>
      </c>
      <c r="L624" s="189">
        <v>-0.0418</v>
      </c>
    </row>
    <row r="625" ht="22.5" customHeight="1">
      <c r="A625" s="187" t="s">
        <v>60</v>
      </c>
      <c r="B625" s="188">
        <v>46920.0</v>
      </c>
      <c r="C625" s="187">
        <v>430.0</v>
      </c>
      <c r="D625" s="187" t="s">
        <v>107</v>
      </c>
      <c r="E625" s="98">
        <v>117.1</v>
      </c>
      <c r="F625" s="98">
        <v>117.55</v>
      </c>
      <c r="G625" s="98">
        <v>118.0</v>
      </c>
      <c r="H625" s="189">
        <v>0.5407</v>
      </c>
      <c r="I625" s="98">
        <v>-0.3094</v>
      </c>
      <c r="J625" s="98">
        <v>3.0</v>
      </c>
      <c r="K625" s="98">
        <v>397.0</v>
      </c>
      <c r="L625" s="189">
        <v>-0.0189</v>
      </c>
    </row>
    <row r="626" ht="22.5" customHeight="1">
      <c r="A626" s="187" t="s">
        <v>60</v>
      </c>
      <c r="B626" s="188">
        <v>46920.0</v>
      </c>
      <c r="C626" s="187">
        <v>440.0</v>
      </c>
      <c r="D626" s="187" t="s">
        <v>107</v>
      </c>
      <c r="E626" s="98">
        <v>123.0</v>
      </c>
      <c r="F626" s="98">
        <v>123.45</v>
      </c>
      <c r="G626" s="98">
        <v>123.9</v>
      </c>
      <c r="H626" s="189">
        <v>0.5398</v>
      </c>
      <c r="I626" s="98">
        <v>-0.3205</v>
      </c>
      <c r="J626" s="98">
        <v>1.0</v>
      </c>
      <c r="K626" s="98">
        <v>435.0</v>
      </c>
      <c r="L626" s="189">
        <v>0.0039000000000000003</v>
      </c>
    </row>
    <row r="627" ht="22.5" customHeight="1">
      <c r="A627" s="187" t="s">
        <v>60</v>
      </c>
      <c r="B627" s="188">
        <v>46920.0</v>
      </c>
      <c r="C627" s="187">
        <v>450.0</v>
      </c>
      <c r="D627" s="187" t="s">
        <v>107</v>
      </c>
      <c r="E627" s="98">
        <v>129.0</v>
      </c>
      <c r="F627" s="98">
        <v>129.45</v>
      </c>
      <c r="G627" s="98">
        <v>129.9</v>
      </c>
      <c r="H627" s="189">
        <v>0.5384</v>
      </c>
      <c r="I627" s="98">
        <v>-0.3309</v>
      </c>
      <c r="J627" s="98">
        <v>0.0</v>
      </c>
      <c r="K627" s="98">
        <v>688.0</v>
      </c>
      <c r="L627" s="189">
        <v>0.026699999999999998</v>
      </c>
    </row>
    <row r="628" ht="22.5" customHeight="1">
      <c r="A628" s="187" t="s">
        <v>60</v>
      </c>
      <c r="B628" s="188">
        <v>46920.0</v>
      </c>
      <c r="C628" s="187">
        <v>460.0</v>
      </c>
      <c r="D628" s="187" t="s">
        <v>107</v>
      </c>
      <c r="E628" s="98">
        <v>135.1</v>
      </c>
      <c r="F628" s="98">
        <v>135.55</v>
      </c>
      <c r="G628" s="98">
        <v>136.0</v>
      </c>
      <c r="H628" s="189">
        <v>0.5382</v>
      </c>
      <c r="I628" s="98">
        <v>-0.3419</v>
      </c>
      <c r="J628" s="98">
        <v>0.0</v>
      </c>
      <c r="K628" s="98">
        <v>316.0</v>
      </c>
      <c r="L628" s="189">
        <v>0.0495</v>
      </c>
    </row>
    <row r="629" ht="22.5" customHeight="1">
      <c r="A629" s="187" t="s">
        <v>60</v>
      </c>
      <c r="B629" s="188">
        <v>46920.0</v>
      </c>
      <c r="C629" s="187">
        <v>470.0</v>
      </c>
      <c r="D629" s="187" t="s">
        <v>107</v>
      </c>
      <c r="E629" s="98">
        <v>141.3</v>
      </c>
      <c r="F629" s="98">
        <v>141.78</v>
      </c>
      <c r="G629" s="98">
        <v>142.25</v>
      </c>
      <c r="H629" s="189">
        <v>0.5379999999999999</v>
      </c>
      <c r="I629" s="98">
        <v>-0.3525</v>
      </c>
      <c r="J629" s="98">
        <v>0.0</v>
      </c>
      <c r="K629" s="98">
        <v>185.0</v>
      </c>
      <c r="L629" s="189">
        <v>0.0723</v>
      </c>
    </row>
    <row r="630" ht="22.5" customHeight="1">
      <c r="A630" s="187" t="s">
        <v>60</v>
      </c>
      <c r="B630" s="188">
        <v>46920.0</v>
      </c>
      <c r="C630" s="187">
        <v>480.0</v>
      </c>
      <c r="D630" s="187" t="s">
        <v>107</v>
      </c>
      <c r="E630" s="98">
        <v>147.55</v>
      </c>
      <c r="F630" s="98">
        <v>148.08</v>
      </c>
      <c r="G630" s="98">
        <v>148.6</v>
      </c>
      <c r="H630" s="189">
        <v>0.5377000000000001</v>
      </c>
      <c r="I630" s="98">
        <v>-0.3633</v>
      </c>
      <c r="J630" s="98">
        <v>0.0</v>
      </c>
      <c r="K630" s="98">
        <v>201.0</v>
      </c>
      <c r="L630" s="189">
        <v>0.0951</v>
      </c>
    </row>
    <row r="631" ht="22.5" customHeight="1">
      <c r="A631" s="187" t="s">
        <v>60</v>
      </c>
      <c r="B631" s="188">
        <v>46920.0</v>
      </c>
      <c r="C631" s="187">
        <v>490.0</v>
      </c>
      <c r="D631" s="187" t="s">
        <v>107</v>
      </c>
      <c r="E631" s="98">
        <v>154.05</v>
      </c>
      <c r="F631" s="98">
        <v>154.55</v>
      </c>
      <c r="G631" s="98">
        <v>155.05</v>
      </c>
      <c r="H631" s="189">
        <v>0.5377000000000001</v>
      </c>
      <c r="I631" s="98">
        <v>-0.3736</v>
      </c>
      <c r="J631" s="98">
        <v>0.0</v>
      </c>
      <c r="K631" s="98">
        <v>162.0</v>
      </c>
      <c r="L631" s="189">
        <v>0.11800000000000001</v>
      </c>
    </row>
    <row r="632" ht="22.5" customHeight="1">
      <c r="A632" s="187" t="s">
        <v>60</v>
      </c>
      <c r="B632" s="188">
        <v>46920.0</v>
      </c>
      <c r="C632" s="187">
        <v>500.0</v>
      </c>
      <c r="D632" s="187" t="s">
        <v>107</v>
      </c>
      <c r="E632" s="98">
        <v>160.55</v>
      </c>
      <c r="F632" s="98">
        <v>161.08</v>
      </c>
      <c r="G632" s="98">
        <v>161.6</v>
      </c>
      <c r="H632" s="189">
        <v>0.5396</v>
      </c>
      <c r="I632" s="98">
        <v>-0.3825</v>
      </c>
      <c r="J632" s="98">
        <v>4.0</v>
      </c>
      <c r="K632" s="98">
        <v>488.0</v>
      </c>
      <c r="L632" s="189">
        <v>0.1408</v>
      </c>
    </row>
    <row r="633" ht="22.5" customHeight="1">
      <c r="A633" s="187" t="s">
        <v>60</v>
      </c>
      <c r="B633" s="188">
        <v>46920.0</v>
      </c>
      <c r="C633" s="187">
        <v>510.0</v>
      </c>
      <c r="D633" s="187" t="s">
        <v>107</v>
      </c>
      <c r="E633" s="98">
        <v>167.2</v>
      </c>
      <c r="F633" s="98">
        <v>167.73</v>
      </c>
      <c r="G633" s="98">
        <v>168.25</v>
      </c>
      <c r="H633" s="189">
        <v>0.5376</v>
      </c>
      <c r="I633" s="98">
        <v>-0.3937</v>
      </c>
      <c r="J633" s="98">
        <v>0.0</v>
      </c>
      <c r="K633" s="98">
        <v>22.0</v>
      </c>
      <c r="L633" s="189">
        <v>0.1636</v>
      </c>
    </row>
    <row r="634" ht="22.5" customHeight="1">
      <c r="A634" s="187" t="s">
        <v>60</v>
      </c>
      <c r="B634" s="188">
        <v>46920.0</v>
      </c>
      <c r="C634" s="187">
        <v>520.0</v>
      </c>
      <c r="D634" s="187" t="s">
        <v>107</v>
      </c>
      <c r="E634" s="98">
        <v>173.9</v>
      </c>
      <c r="F634" s="98">
        <v>174.45</v>
      </c>
      <c r="G634" s="98">
        <v>175.0</v>
      </c>
      <c r="H634" s="189">
        <v>0.5376</v>
      </c>
      <c r="I634" s="98">
        <v>-0.4036</v>
      </c>
      <c r="J634" s="98">
        <v>0.0</v>
      </c>
      <c r="K634" s="98">
        <v>54.0</v>
      </c>
      <c r="L634" s="189">
        <v>0.1864</v>
      </c>
    </row>
    <row r="635" ht="22.5" customHeight="1">
      <c r="A635" s="187" t="s">
        <v>60</v>
      </c>
      <c r="B635" s="188">
        <v>46920.0</v>
      </c>
      <c r="C635" s="187">
        <v>530.0</v>
      </c>
      <c r="D635" s="187" t="s">
        <v>107</v>
      </c>
      <c r="E635" s="98">
        <v>180.7</v>
      </c>
      <c r="F635" s="98">
        <v>181.27</v>
      </c>
      <c r="G635" s="98">
        <v>181.85</v>
      </c>
      <c r="H635" s="189">
        <v>0.5381</v>
      </c>
      <c r="I635" s="98">
        <v>-0.4127</v>
      </c>
      <c r="J635" s="98">
        <v>1.0</v>
      </c>
      <c r="K635" s="98">
        <v>156.0</v>
      </c>
      <c r="L635" s="189">
        <v>0.20920000000000002</v>
      </c>
    </row>
    <row r="636" ht="22.5" customHeight="1">
      <c r="A636" s="187" t="s">
        <v>60</v>
      </c>
      <c r="B636" s="188">
        <v>46920.0</v>
      </c>
      <c r="C636" s="187">
        <v>540.0</v>
      </c>
      <c r="D636" s="187" t="s">
        <v>107</v>
      </c>
      <c r="E636" s="98">
        <v>187.65</v>
      </c>
      <c r="F636" s="98">
        <v>188.2</v>
      </c>
      <c r="G636" s="98">
        <v>188.75</v>
      </c>
      <c r="H636" s="189">
        <v>0.5377000000000001</v>
      </c>
      <c r="I636" s="98">
        <v>-0.4233</v>
      </c>
      <c r="J636" s="98">
        <v>0.0</v>
      </c>
      <c r="K636" s="98">
        <v>33.0</v>
      </c>
      <c r="L636" s="189">
        <v>0.23199999999999998</v>
      </c>
    </row>
    <row r="637" ht="22.5" customHeight="1">
      <c r="A637" s="187" t="s">
        <v>60</v>
      </c>
      <c r="B637" s="188">
        <v>46920.0</v>
      </c>
      <c r="C637" s="187">
        <v>550.0</v>
      </c>
      <c r="D637" s="187" t="s">
        <v>107</v>
      </c>
      <c r="E637" s="98">
        <v>194.6</v>
      </c>
      <c r="F637" s="98">
        <v>195.2</v>
      </c>
      <c r="G637" s="98">
        <v>195.8</v>
      </c>
      <c r="H637" s="189">
        <v>0.5378000000000001</v>
      </c>
      <c r="I637" s="98">
        <v>-0.4323</v>
      </c>
      <c r="J637" s="98">
        <v>0.0</v>
      </c>
      <c r="K637" s="98">
        <v>283.0</v>
      </c>
      <c r="L637" s="189">
        <v>0.2548</v>
      </c>
    </row>
    <row r="638" ht="22.5" customHeight="1">
      <c r="A638" s="187" t="s">
        <v>60</v>
      </c>
      <c r="B638" s="188">
        <v>46920.0</v>
      </c>
      <c r="C638" s="187">
        <v>560.0</v>
      </c>
      <c r="D638" s="187" t="s">
        <v>107</v>
      </c>
      <c r="E638" s="98">
        <v>201.7</v>
      </c>
      <c r="F638" s="98">
        <v>202.3</v>
      </c>
      <c r="G638" s="98">
        <v>202.9</v>
      </c>
      <c r="H638" s="189">
        <v>0.5379</v>
      </c>
      <c r="I638" s="98">
        <v>-0.4427</v>
      </c>
      <c r="J638" s="98">
        <v>0.0</v>
      </c>
      <c r="K638" s="98">
        <v>34.0</v>
      </c>
      <c r="L638" s="189">
        <v>0.2777</v>
      </c>
    </row>
    <row r="639" ht="22.5" customHeight="1">
      <c r="A639" s="187" t="s">
        <v>60</v>
      </c>
      <c r="B639" s="188">
        <v>46920.0</v>
      </c>
      <c r="C639" s="187">
        <v>570.0</v>
      </c>
      <c r="D639" s="187" t="s">
        <v>107</v>
      </c>
      <c r="E639" s="98">
        <v>208.85</v>
      </c>
      <c r="F639" s="98">
        <v>209.48</v>
      </c>
      <c r="G639" s="98">
        <v>210.1</v>
      </c>
      <c r="H639" s="189">
        <v>0.5381</v>
      </c>
      <c r="I639" s="98">
        <v>-0.4533</v>
      </c>
      <c r="J639" s="98">
        <v>0.0</v>
      </c>
      <c r="K639" s="98">
        <v>65.0</v>
      </c>
      <c r="L639" s="189">
        <v>0.3005</v>
      </c>
    </row>
    <row r="640" ht="22.5" customHeight="1">
      <c r="A640" s="187" t="s">
        <v>60</v>
      </c>
      <c r="B640" s="188">
        <v>46920.0</v>
      </c>
      <c r="C640" s="187">
        <v>580.0</v>
      </c>
      <c r="D640" s="187" t="s">
        <v>107</v>
      </c>
      <c r="E640" s="98">
        <v>216.1</v>
      </c>
      <c r="F640" s="98">
        <v>216.7</v>
      </c>
      <c r="G640" s="98">
        <v>217.3</v>
      </c>
      <c r="H640" s="189">
        <v>0.5379999999999999</v>
      </c>
      <c r="I640" s="98">
        <v>-0.4673</v>
      </c>
      <c r="J640" s="98">
        <v>0.0</v>
      </c>
      <c r="K640" s="98">
        <v>85.0</v>
      </c>
      <c r="L640" s="189">
        <v>0.3233</v>
      </c>
    </row>
    <row r="641" ht="22.5" customHeight="1">
      <c r="A641" s="187" t="s">
        <v>60</v>
      </c>
      <c r="B641" s="188">
        <v>46920.0</v>
      </c>
      <c r="C641" s="187">
        <v>590.0</v>
      </c>
      <c r="D641" s="187" t="s">
        <v>107</v>
      </c>
      <c r="E641" s="98">
        <v>223.35</v>
      </c>
      <c r="F641" s="98">
        <v>224.0</v>
      </c>
      <c r="G641" s="98">
        <v>224.65</v>
      </c>
      <c r="H641" s="189">
        <v>0.5379999999999999</v>
      </c>
      <c r="I641" s="98">
        <v>-0.476</v>
      </c>
      <c r="J641" s="98">
        <v>0.0</v>
      </c>
      <c r="K641" s="98">
        <v>80.0</v>
      </c>
      <c r="L641" s="189">
        <v>0.3461</v>
      </c>
    </row>
    <row r="642" ht="22.5" customHeight="1">
      <c r="A642" s="187" t="s">
        <v>60</v>
      </c>
      <c r="B642" s="188">
        <v>46920.0</v>
      </c>
      <c r="C642" s="187">
        <v>600.0</v>
      </c>
      <c r="D642" s="187" t="s">
        <v>107</v>
      </c>
      <c r="E642" s="98">
        <v>230.8</v>
      </c>
      <c r="F642" s="98">
        <v>231.43</v>
      </c>
      <c r="G642" s="98">
        <v>232.05</v>
      </c>
      <c r="H642" s="189">
        <v>0.5381</v>
      </c>
      <c r="I642" s="98">
        <v>-0.4843</v>
      </c>
      <c r="J642" s="98">
        <v>1.0</v>
      </c>
      <c r="K642" s="98">
        <v>116.0</v>
      </c>
      <c r="L642" s="189">
        <v>0.3689</v>
      </c>
    </row>
    <row r="643" ht="22.5" customHeight="1">
      <c r="A643" s="187" t="s">
        <v>60</v>
      </c>
      <c r="B643" s="188">
        <v>46920.0</v>
      </c>
      <c r="C643" s="187">
        <v>610.0</v>
      </c>
      <c r="D643" s="187" t="s">
        <v>107</v>
      </c>
      <c r="E643" s="98">
        <v>238.2</v>
      </c>
      <c r="F643" s="98">
        <v>238.88</v>
      </c>
      <c r="G643" s="98">
        <v>239.55</v>
      </c>
      <c r="H643" s="189">
        <v>0.5382</v>
      </c>
      <c r="I643" s="98">
        <v>-0.4927</v>
      </c>
      <c r="J643" s="98">
        <v>0.0</v>
      </c>
      <c r="K643" s="98">
        <v>21.0</v>
      </c>
      <c r="L643" s="189">
        <v>0.3917</v>
      </c>
    </row>
    <row r="644" ht="22.5" customHeight="1">
      <c r="A644" s="187" t="s">
        <v>60</v>
      </c>
      <c r="B644" s="188">
        <v>46920.0</v>
      </c>
      <c r="C644" s="187">
        <v>620.0</v>
      </c>
      <c r="D644" s="187" t="s">
        <v>107</v>
      </c>
      <c r="E644" s="98">
        <v>245.75</v>
      </c>
      <c r="F644" s="98">
        <v>246.45</v>
      </c>
      <c r="G644" s="98">
        <v>247.15</v>
      </c>
      <c r="H644" s="189">
        <v>0.5384</v>
      </c>
      <c r="I644" s="98">
        <v>-0.5014</v>
      </c>
      <c r="J644" s="98">
        <v>0.0</v>
      </c>
      <c r="K644" s="98">
        <v>29.0</v>
      </c>
      <c r="L644" s="189">
        <v>0.4146</v>
      </c>
    </row>
    <row r="645" ht="22.5" customHeight="1">
      <c r="A645" s="187" t="s">
        <v>60</v>
      </c>
      <c r="B645" s="188">
        <v>46920.0</v>
      </c>
      <c r="C645" s="187">
        <v>630.0</v>
      </c>
      <c r="D645" s="187" t="s">
        <v>107</v>
      </c>
      <c r="E645" s="98">
        <v>253.4</v>
      </c>
      <c r="F645" s="98">
        <v>254.08</v>
      </c>
      <c r="G645" s="98">
        <v>254.75</v>
      </c>
      <c r="H645" s="189">
        <v>0.5386</v>
      </c>
      <c r="I645" s="98">
        <v>-0.5094</v>
      </c>
      <c r="J645" s="98">
        <v>0.0</v>
      </c>
      <c r="K645" s="98">
        <v>25.0</v>
      </c>
      <c r="L645" s="189">
        <v>0.4374</v>
      </c>
    </row>
    <row r="646" ht="22.5" customHeight="1">
      <c r="A646" s="187" t="s">
        <v>60</v>
      </c>
      <c r="B646" s="188">
        <v>46920.0</v>
      </c>
      <c r="C646" s="187">
        <v>640.0</v>
      </c>
      <c r="D646" s="187" t="s">
        <v>107</v>
      </c>
      <c r="E646" s="98">
        <v>261.1</v>
      </c>
      <c r="F646" s="98">
        <v>261.78</v>
      </c>
      <c r="G646" s="98">
        <v>262.45</v>
      </c>
      <c r="H646" s="189">
        <v>0.5389</v>
      </c>
      <c r="I646" s="98">
        <v>-0.5172</v>
      </c>
      <c r="J646" s="98">
        <v>0.0</v>
      </c>
      <c r="K646" s="98">
        <v>17.0</v>
      </c>
      <c r="L646" s="189">
        <v>0.46020000000000005</v>
      </c>
    </row>
    <row r="647" ht="22.5" customHeight="1">
      <c r="A647" s="187" t="s">
        <v>60</v>
      </c>
      <c r="B647" s="188">
        <v>46920.0</v>
      </c>
      <c r="C647" s="187">
        <v>650.0</v>
      </c>
      <c r="D647" s="187" t="s">
        <v>107</v>
      </c>
      <c r="E647" s="98">
        <v>268.75</v>
      </c>
      <c r="F647" s="98">
        <v>269.48</v>
      </c>
      <c r="G647" s="98">
        <v>270.2</v>
      </c>
      <c r="H647" s="189">
        <v>0.539</v>
      </c>
      <c r="I647" s="98">
        <v>-0.525</v>
      </c>
      <c r="J647" s="98">
        <v>0.0</v>
      </c>
      <c r="K647" s="98">
        <v>117.0</v>
      </c>
      <c r="L647" s="189">
        <v>0.483</v>
      </c>
    </row>
    <row r="648" ht="22.5" customHeight="1">
      <c r="A648" s="187" t="s">
        <v>60</v>
      </c>
      <c r="B648" s="188">
        <v>46920.0</v>
      </c>
      <c r="C648" s="187">
        <v>660.0</v>
      </c>
      <c r="D648" s="187" t="s">
        <v>107</v>
      </c>
      <c r="E648" s="98">
        <v>276.55</v>
      </c>
      <c r="F648" s="98">
        <v>277.3</v>
      </c>
      <c r="G648" s="98">
        <v>278.05</v>
      </c>
      <c r="H648" s="189">
        <v>0.5394</v>
      </c>
      <c r="I648" s="98">
        <v>-0.5326</v>
      </c>
      <c r="J648" s="98">
        <v>0.0</v>
      </c>
      <c r="K648" s="98">
        <v>12.0</v>
      </c>
      <c r="L648" s="189">
        <v>0.5058</v>
      </c>
    </row>
    <row r="649" ht="22.5" customHeight="1">
      <c r="A649" s="187" t="s">
        <v>60</v>
      </c>
      <c r="B649" s="188">
        <v>46920.0</v>
      </c>
      <c r="C649" s="187">
        <v>670.0</v>
      </c>
      <c r="D649" s="187" t="s">
        <v>107</v>
      </c>
      <c r="E649" s="98">
        <v>284.45</v>
      </c>
      <c r="F649" s="98">
        <v>285.17</v>
      </c>
      <c r="G649" s="98">
        <v>285.9</v>
      </c>
      <c r="H649" s="189">
        <v>0.5397</v>
      </c>
      <c r="I649" s="98">
        <v>-0.5409</v>
      </c>
      <c r="J649" s="98">
        <v>0.0</v>
      </c>
      <c r="K649" s="98">
        <v>24.0</v>
      </c>
      <c r="L649" s="189">
        <v>0.5286</v>
      </c>
    </row>
    <row r="650" ht="22.5" customHeight="1">
      <c r="A650" s="187" t="s">
        <v>60</v>
      </c>
      <c r="B650" s="188">
        <v>46920.0</v>
      </c>
      <c r="C650" s="187">
        <v>680.0</v>
      </c>
      <c r="D650" s="187" t="s">
        <v>107</v>
      </c>
      <c r="E650" s="98">
        <v>292.35</v>
      </c>
      <c r="F650" s="98">
        <v>293.1</v>
      </c>
      <c r="G650" s="98">
        <v>293.85</v>
      </c>
      <c r="H650" s="189">
        <v>0.5401</v>
      </c>
      <c r="I650" s="98">
        <v>-0.5482</v>
      </c>
      <c r="J650" s="98">
        <v>0.0</v>
      </c>
      <c r="K650" s="98">
        <v>3.0</v>
      </c>
      <c r="L650" s="189">
        <v>0.5514</v>
      </c>
    </row>
    <row r="651" ht="22.5" customHeight="1">
      <c r="A651" s="187" t="s">
        <v>60</v>
      </c>
      <c r="B651" s="188">
        <v>46920.0</v>
      </c>
      <c r="C651" s="187">
        <v>690.0</v>
      </c>
      <c r="D651" s="187" t="s">
        <v>107</v>
      </c>
      <c r="E651" s="98">
        <v>300.4</v>
      </c>
      <c r="F651" s="98">
        <v>301.13</v>
      </c>
      <c r="G651" s="98">
        <v>301.85</v>
      </c>
      <c r="H651" s="189">
        <v>0.5406</v>
      </c>
      <c r="I651" s="98">
        <v>-0.5576</v>
      </c>
      <c r="J651" s="98">
        <v>0.0</v>
      </c>
      <c r="K651" s="98">
        <v>8.0</v>
      </c>
      <c r="L651" s="189">
        <v>0.5743</v>
      </c>
    </row>
    <row r="652" ht="22.5" customHeight="1">
      <c r="A652" s="187" t="s">
        <v>60</v>
      </c>
      <c r="B652" s="188">
        <v>46920.0</v>
      </c>
      <c r="C652" s="187">
        <v>700.0</v>
      </c>
      <c r="D652" s="187" t="s">
        <v>107</v>
      </c>
      <c r="E652" s="98">
        <v>308.45</v>
      </c>
      <c r="F652" s="98">
        <v>309.17</v>
      </c>
      <c r="G652" s="98">
        <v>309.9</v>
      </c>
      <c r="H652" s="189">
        <v>0.5409</v>
      </c>
      <c r="I652" s="98">
        <v>-0.5727</v>
      </c>
      <c r="J652" s="98">
        <v>0.0</v>
      </c>
      <c r="K652" s="98">
        <v>135.0</v>
      </c>
      <c r="L652" s="189">
        <v>0.5971</v>
      </c>
    </row>
    <row r="653" ht="22.5" customHeight="1">
      <c r="A653" s="187" t="s">
        <v>60</v>
      </c>
      <c r="B653" s="188">
        <v>46920.0</v>
      </c>
      <c r="C653" s="187">
        <v>710.0</v>
      </c>
      <c r="D653" s="187" t="s">
        <v>107</v>
      </c>
      <c r="E653" s="98">
        <v>316.5</v>
      </c>
      <c r="F653" s="98">
        <v>317.25</v>
      </c>
      <c r="G653" s="98">
        <v>318.0</v>
      </c>
      <c r="H653" s="189">
        <v>0.5409</v>
      </c>
      <c r="I653" s="98">
        <v>-0.5902</v>
      </c>
      <c r="J653" s="98">
        <v>0.0</v>
      </c>
      <c r="K653" s="98">
        <v>1.0</v>
      </c>
      <c r="L653" s="189">
        <v>0.6199</v>
      </c>
    </row>
    <row r="654" ht="22.5" customHeight="1">
      <c r="A654" s="187" t="s">
        <v>60</v>
      </c>
      <c r="B654" s="188">
        <v>46920.0</v>
      </c>
      <c r="C654" s="187">
        <v>720.0</v>
      </c>
      <c r="D654" s="187" t="s">
        <v>107</v>
      </c>
      <c r="E654" s="98">
        <v>324.65</v>
      </c>
      <c r="F654" s="98">
        <v>325.42</v>
      </c>
      <c r="G654" s="98">
        <v>326.2</v>
      </c>
      <c r="H654" s="189">
        <v>0.541</v>
      </c>
      <c r="I654" s="98">
        <v>-0.597</v>
      </c>
      <c r="J654" s="98">
        <v>0.0</v>
      </c>
      <c r="K654" s="98">
        <v>9.0</v>
      </c>
      <c r="L654" s="189">
        <v>0.6426999999999999</v>
      </c>
    </row>
    <row r="655" ht="22.5" customHeight="1">
      <c r="A655" s="187" t="s">
        <v>60</v>
      </c>
      <c r="B655" s="188">
        <v>46920.0</v>
      </c>
      <c r="C655" s="187">
        <v>730.0</v>
      </c>
      <c r="D655" s="187" t="s">
        <v>107</v>
      </c>
      <c r="E655" s="98">
        <v>332.85</v>
      </c>
      <c r="F655" s="98">
        <v>333.63</v>
      </c>
      <c r="G655" s="98">
        <v>334.4</v>
      </c>
      <c r="H655" s="189">
        <v>0.541</v>
      </c>
      <c r="I655" s="98">
        <v>-0.6037</v>
      </c>
      <c r="J655" s="98">
        <v>1.0</v>
      </c>
      <c r="K655" s="98">
        <v>10.0</v>
      </c>
      <c r="L655" s="189">
        <v>0.6655</v>
      </c>
    </row>
    <row r="656" ht="22.5" customHeight="1">
      <c r="A656" s="187" t="s">
        <v>60</v>
      </c>
      <c r="B656" s="188">
        <v>46920.0</v>
      </c>
      <c r="C656" s="187">
        <v>740.0</v>
      </c>
      <c r="D656" s="187" t="s">
        <v>107</v>
      </c>
      <c r="E656" s="98">
        <v>341.1</v>
      </c>
      <c r="F656" s="98">
        <v>341.88</v>
      </c>
      <c r="G656" s="98">
        <v>342.65</v>
      </c>
      <c r="H656" s="189">
        <v>0.5411</v>
      </c>
      <c r="I656" s="98">
        <v>-0.6105</v>
      </c>
      <c r="J656" s="98">
        <v>0.0</v>
      </c>
      <c r="K656" s="98">
        <v>5.0</v>
      </c>
      <c r="L656" s="189">
        <v>0.6883</v>
      </c>
    </row>
    <row r="657" ht="22.5" customHeight="1">
      <c r="A657" s="187" t="s">
        <v>60</v>
      </c>
      <c r="B657" s="188">
        <v>46920.0</v>
      </c>
      <c r="C657" s="187">
        <v>750.0</v>
      </c>
      <c r="D657" s="187" t="s">
        <v>107</v>
      </c>
      <c r="E657" s="98">
        <v>349.4</v>
      </c>
      <c r="F657" s="98">
        <v>350.17</v>
      </c>
      <c r="G657" s="98">
        <v>350.95</v>
      </c>
      <c r="H657" s="189">
        <v>0.5412</v>
      </c>
      <c r="I657" s="98">
        <v>-0.617</v>
      </c>
      <c r="J657" s="98">
        <v>0.0</v>
      </c>
      <c r="K657" s="98">
        <v>2.0</v>
      </c>
      <c r="L657" s="189">
        <v>0.7112</v>
      </c>
    </row>
    <row r="658" ht="22.5" customHeight="1">
      <c r="A658" s="187" t="s">
        <v>60</v>
      </c>
      <c r="B658" s="188">
        <v>46920.0</v>
      </c>
      <c r="C658" s="187">
        <v>760.0</v>
      </c>
      <c r="D658" s="187" t="s">
        <v>107</v>
      </c>
      <c r="E658" s="98">
        <v>357.75</v>
      </c>
      <c r="F658" s="98">
        <v>358.53</v>
      </c>
      <c r="G658" s="98">
        <v>359.3</v>
      </c>
      <c r="H658" s="189">
        <v>0.5413</v>
      </c>
      <c r="I658" s="98">
        <v>-0.6233</v>
      </c>
      <c r="J658" s="98">
        <v>0.0</v>
      </c>
      <c r="K658" s="98">
        <v>43.0</v>
      </c>
      <c r="L658" s="189">
        <v>0.7340000000000001</v>
      </c>
    </row>
    <row r="659" ht="22.5" customHeight="1">
      <c r="A659" s="187" t="s">
        <v>60</v>
      </c>
      <c r="B659" s="188">
        <v>46920.0</v>
      </c>
      <c r="C659" s="187">
        <v>770.0</v>
      </c>
      <c r="D659" s="187" t="s">
        <v>107</v>
      </c>
      <c r="E659" s="98">
        <v>366.15</v>
      </c>
      <c r="F659" s="98">
        <v>366.92</v>
      </c>
      <c r="G659" s="98">
        <v>367.7</v>
      </c>
      <c r="H659" s="189">
        <v>0.5415</v>
      </c>
      <c r="I659" s="98">
        <v>-0.6294</v>
      </c>
      <c r="J659" s="98">
        <v>0.0</v>
      </c>
      <c r="K659" s="98">
        <v>0.0</v>
      </c>
      <c r="L659" s="189">
        <v>0.7568</v>
      </c>
    </row>
    <row r="660" ht="22.5" customHeight="1">
      <c r="A660" s="187" t="s">
        <v>60</v>
      </c>
      <c r="B660" s="188">
        <v>46920.0</v>
      </c>
      <c r="C660" s="187">
        <v>780.0</v>
      </c>
      <c r="D660" s="187" t="s">
        <v>107</v>
      </c>
      <c r="E660" s="98">
        <v>374.55</v>
      </c>
      <c r="F660" s="98">
        <v>375.38</v>
      </c>
      <c r="G660" s="98">
        <v>376.2</v>
      </c>
      <c r="H660" s="189">
        <v>0.5418</v>
      </c>
      <c r="I660" s="98">
        <v>-0.6354</v>
      </c>
      <c r="J660" s="98">
        <v>0.0</v>
      </c>
      <c r="K660" s="98">
        <v>19.0</v>
      </c>
      <c r="L660" s="189">
        <v>0.7796</v>
      </c>
    </row>
    <row r="661" ht="22.5" customHeight="1">
      <c r="A661" s="187" t="s">
        <v>60</v>
      </c>
      <c r="B661" s="188">
        <v>46920.0</v>
      </c>
      <c r="C661" s="187">
        <v>790.0</v>
      </c>
      <c r="D661" s="187" t="s">
        <v>107</v>
      </c>
      <c r="E661" s="98">
        <v>383.05</v>
      </c>
      <c r="F661" s="98">
        <v>383.88</v>
      </c>
      <c r="G661" s="98">
        <v>384.7</v>
      </c>
      <c r="H661" s="189">
        <v>0.5421</v>
      </c>
      <c r="I661" s="98">
        <v>-0.6413</v>
      </c>
      <c r="J661" s="98">
        <v>0.0</v>
      </c>
      <c r="K661" s="98">
        <v>11.0</v>
      </c>
      <c r="L661" s="189">
        <v>0.8024</v>
      </c>
    </row>
    <row r="662" ht="22.5" customHeight="1">
      <c r="A662" s="187" t="s">
        <v>60</v>
      </c>
      <c r="B662" s="188">
        <v>46920.0</v>
      </c>
      <c r="C662" s="187">
        <v>800.0</v>
      </c>
      <c r="D662" s="187" t="s">
        <v>107</v>
      </c>
      <c r="E662" s="98">
        <v>391.55</v>
      </c>
      <c r="F662" s="98">
        <v>392.38</v>
      </c>
      <c r="G662" s="98">
        <v>393.2</v>
      </c>
      <c r="H662" s="189">
        <v>0.5423</v>
      </c>
      <c r="I662" s="98">
        <v>-0.6471</v>
      </c>
      <c r="J662" s="98">
        <v>0.0</v>
      </c>
      <c r="K662" s="98">
        <v>91.0</v>
      </c>
      <c r="L662" s="189">
        <v>0.8251999999999999</v>
      </c>
    </row>
    <row r="663" ht="22.5" customHeight="1">
      <c r="A663" s="187" t="s">
        <v>60</v>
      </c>
      <c r="B663" s="188">
        <v>46920.0</v>
      </c>
      <c r="C663" s="187">
        <v>810.0</v>
      </c>
      <c r="D663" s="187" t="s">
        <v>107</v>
      </c>
      <c r="E663" s="98">
        <v>400.1</v>
      </c>
      <c r="F663" s="98">
        <v>400.93</v>
      </c>
      <c r="G663" s="98">
        <v>401.75</v>
      </c>
      <c r="H663" s="189">
        <v>0.5426</v>
      </c>
      <c r="I663" s="98">
        <v>-0.6528</v>
      </c>
      <c r="J663" s="98">
        <v>0.0</v>
      </c>
      <c r="K663" s="98">
        <v>56.0</v>
      </c>
      <c r="L663" s="189">
        <v>0.848</v>
      </c>
    </row>
    <row r="664" ht="22.5" customHeight="1">
      <c r="A664" s="187" t="s">
        <v>60</v>
      </c>
      <c r="B664" s="188">
        <v>46920.0</v>
      </c>
      <c r="C664" s="187">
        <v>820.0</v>
      </c>
      <c r="D664" s="187" t="s">
        <v>107</v>
      </c>
      <c r="E664" s="98">
        <v>408.95</v>
      </c>
      <c r="F664" s="98">
        <v>409.67</v>
      </c>
      <c r="G664" s="98">
        <v>410.4</v>
      </c>
      <c r="H664" s="189">
        <v>0.5435</v>
      </c>
      <c r="I664" s="98">
        <v>-0.6684</v>
      </c>
      <c r="J664" s="98">
        <v>0.0</v>
      </c>
      <c r="K664" s="98">
        <v>11.0</v>
      </c>
      <c r="L664" s="189">
        <v>0.8709</v>
      </c>
    </row>
    <row r="665" ht="22.5" customHeight="1">
      <c r="A665" s="187" t="s">
        <v>60</v>
      </c>
      <c r="B665" s="188">
        <v>46920.0</v>
      </c>
      <c r="C665" s="187">
        <v>830.0</v>
      </c>
      <c r="D665" s="187" t="s">
        <v>107</v>
      </c>
      <c r="E665" s="98">
        <v>417.5</v>
      </c>
      <c r="F665" s="98">
        <v>418.3</v>
      </c>
      <c r="G665" s="98">
        <v>419.1</v>
      </c>
      <c r="H665" s="189">
        <v>0.5436</v>
      </c>
      <c r="I665" s="98">
        <v>-0.6738</v>
      </c>
      <c r="J665" s="98">
        <v>0.0</v>
      </c>
      <c r="K665" s="98">
        <v>74.0</v>
      </c>
      <c r="L665" s="189">
        <v>0.8937</v>
      </c>
    </row>
    <row r="666" ht="22.5" customHeight="1">
      <c r="A666" s="187" t="s">
        <v>60</v>
      </c>
      <c r="B666" s="188">
        <v>46920.0</v>
      </c>
      <c r="C666" s="187">
        <v>840.0</v>
      </c>
      <c r="D666" s="187" t="s">
        <v>107</v>
      </c>
      <c r="E666" s="98">
        <v>426.1</v>
      </c>
      <c r="F666" s="98">
        <v>426.95</v>
      </c>
      <c r="G666" s="98">
        <v>427.8</v>
      </c>
      <c r="H666" s="189">
        <v>0.5436</v>
      </c>
      <c r="I666" s="98">
        <v>-0.6866</v>
      </c>
      <c r="J666" s="98">
        <v>0.0</v>
      </c>
      <c r="K666" s="98">
        <v>10.0</v>
      </c>
      <c r="L666" s="189">
        <v>0.9165000000000001</v>
      </c>
    </row>
    <row r="667" ht="22.5" customHeight="1">
      <c r="A667" s="187" t="s">
        <v>60</v>
      </c>
      <c r="B667" s="188">
        <v>46920.0</v>
      </c>
      <c r="C667" s="187">
        <v>850.0</v>
      </c>
      <c r="D667" s="187" t="s">
        <v>107</v>
      </c>
      <c r="E667" s="98">
        <v>434.8</v>
      </c>
      <c r="F667" s="98">
        <v>435.68</v>
      </c>
      <c r="G667" s="98">
        <v>436.55</v>
      </c>
      <c r="H667" s="189">
        <v>0.5437</v>
      </c>
      <c r="I667" s="98">
        <v>-0.6918</v>
      </c>
      <c r="J667" s="98">
        <v>0.0</v>
      </c>
      <c r="K667" s="98">
        <v>0.0</v>
      </c>
      <c r="L667" s="189">
        <v>0.9393</v>
      </c>
    </row>
    <row r="668" ht="22.5" customHeight="1">
      <c r="A668" s="187" t="s">
        <v>60</v>
      </c>
      <c r="B668" s="188">
        <v>46920.0</v>
      </c>
      <c r="C668" s="187">
        <v>860.0</v>
      </c>
      <c r="D668" s="187" t="s">
        <v>107</v>
      </c>
      <c r="E668" s="98">
        <v>443.55</v>
      </c>
      <c r="F668" s="98">
        <v>444.43</v>
      </c>
      <c r="G668" s="98">
        <v>445.3</v>
      </c>
      <c r="H668" s="189">
        <v>0.5437</v>
      </c>
      <c r="I668" s="98">
        <v>-0.7019</v>
      </c>
      <c r="J668" s="98">
        <v>0.0</v>
      </c>
      <c r="K668" s="98">
        <v>2.0</v>
      </c>
      <c r="L668" s="189">
        <v>0.9621</v>
      </c>
    </row>
    <row r="669" ht="22.5" customHeight="1">
      <c r="A669" s="187" t="s">
        <v>60</v>
      </c>
      <c r="B669" s="188">
        <v>46920.0</v>
      </c>
      <c r="C669" s="187">
        <v>870.0</v>
      </c>
      <c r="D669" s="187" t="s">
        <v>107</v>
      </c>
      <c r="E669" s="98">
        <v>452.35</v>
      </c>
      <c r="F669" s="98">
        <v>453.23</v>
      </c>
      <c r="G669" s="98">
        <v>454.1</v>
      </c>
      <c r="H669" s="189">
        <v>0.5439</v>
      </c>
      <c r="I669" s="98">
        <v>-0.7069</v>
      </c>
      <c r="J669" s="98">
        <v>0.0</v>
      </c>
      <c r="K669" s="98">
        <v>0.0</v>
      </c>
      <c r="L669" s="189">
        <v>0.9849</v>
      </c>
    </row>
    <row r="670" ht="22.5" customHeight="1">
      <c r="A670" s="187" t="s">
        <v>60</v>
      </c>
      <c r="B670" s="188">
        <v>46920.0</v>
      </c>
      <c r="C670" s="187">
        <v>880.0</v>
      </c>
      <c r="D670" s="187" t="s">
        <v>107</v>
      </c>
      <c r="E670" s="98">
        <v>461.15</v>
      </c>
      <c r="F670" s="98">
        <v>462.05</v>
      </c>
      <c r="G670" s="98">
        <v>462.95</v>
      </c>
      <c r="H670" s="189">
        <v>0.5439</v>
      </c>
      <c r="I670" s="98">
        <v>-0.7154</v>
      </c>
      <c r="J670" s="98">
        <v>0.0</v>
      </c>
      <c r="K670" s="98">
        <v>4.0</v>
      </c>
      <c r="L670" s="189">
        <v>1.0078</v>
      </c>
    </row>
    <row r="671" ht="22.5" customHeight="1">
      <c r="A671" s="187" t="s">
        <v>60</v>
      </c>
      <c r="B671" s="188">
        <v>46920.0</v>
      </c>
      <c r="C671" s="187">
        <v>890.0</v>
      </c>
      <c r="D671" s="187" t="s">
        <v>107</v>
      </c>
      <c r="E671" s="98">
        <v>470.3</v>
      </c>
      <c r="F671" s="98">
        <v>471.63</v>
      </c>
      <c r="G671" s="98">
        <v>472.95</v>
      </c>
      <c r="H671" s="189">
        <v>0.5474</v>
      </c>
      <c r="I671" s="98">
        <v>-0.7175</v>
      </c>
      <c r="J671" s="98">
        <v>0.0</v>
      </c>
      <c r="K671" s="98">
        <v>1.0</v>
      </c>
      <c r="L671" s="189">
        <v>1.0306</v>
      </c>
    </row>
    <row r="672" ht="22.5" customHeight="1">
      <c r="A672" s="187" t="s">
        <v>60</v>
      </c>
      <c r="B672" s="188">
        <v>46920.0</v>
      </c>
      <c r="C672" s="187">
        <v>900.0</v>
      </c>
      <c r="D672" s="187" t="s">
        <v>107</v>
      </c>
      <c r="E672" s="98">
        <v>479.25</v>
      </c>
      <c r="F672" s="98">
        <v>480.53</v>
      </c>
      <c r="G672" s="98">
        <v>481.8</v>
      </c>
      <c r="H672" s="189">
        <v>0.5476</v>
      </c>
      <c r="I672" s="98">
        <v>-0.7221</v>
      </c>
      <c r="J672" s="98">
        <v>0.0</v>
      </c>
      <c r="K672" s="98">
        <v>43.0</v>
      </c>
      <c r="L672" s="189">
        <v>1.0534000000000001</v>
      </c>
    </row>
    <row r="673" ht="22.5" customHeight="1">
      <c r="A673" s="187" t="s">
        <v>60</v>
      </c>
      <c r="B673" s="188">
        <v>46920.0</v>
      </c>
      <c r="C673" s="187">
        <v>910.0</v>
      </c>
      <c r="D673" s="187" t="s">
        <v>107</v>
      </c>
      <c r="E673" s="98">
        <v>488.3</v>
      </c>
      <c r="F673" s="98">
        <v>489.55</v>
      </c>
      <c r="G673" s="98">
        <v>490.8</v>
      </c>
      <c r="H673" s="189">
        <v>0.5483</v>
      </c>
      <c r="I673" s="98">
        <v>-0.7289</v>
      </c>
      <c r="J673" s="98">
        <v>0.0</v>
      </c>
      <c r="K673" s="98">
        <v>1.0</v>
      </c>
      <c r="L673" s="189">
        <v>1.0762</v>
      </c>
    </row>
    <row r="674" ht="22.5" customHeight="1">
      <c r="A674" s="187" t="s">
        <v>60</v>
      </c>
      <c r="B674" s="188">
        <v>46920.0</v>
      </c>
      <c r="C674" s="187">
        <v>920.0</v>
      </c>
      <c r="D674" s="187" t="s">
        <v>107</v>
      </c>
      <c r="E674" s="98">
        <v>496.65</v>
      </c>
      <c r="F674" s="98">
        <v>498.28</v>
      </c>
      <c r="G674" s="98">
        <v>499.9</v>
      </c>
      <c r="H674" s="189">
        <v>0.5473</v>
      </c>
      <c r="I674" s="98">
        <v>-0.7341</v>
      </c>
      <c r="J674" s="98">
        <v>0.0</v>
      </c>
      <c r="K674" s="98">
        <v>1.0</v>
      </c>
      <c r="L674" s="189">
        <v>1.099</v>
      </c>
    </row>
    <row r="675" ht="22.5" customHeight="1">
      <c r="A675" s="187" t="s">
        <v>60</v>
      </c>
      <c r="B675" s="188">
        <v>46920.0</v>
      </c>
      <c r="C675" s="187">
        <v>930.0</v>
      </c>
      <c r="D675" s="187" t="s">
        <v>107</v>
      </c>
      <c r="E675" s="98">
        <v>505.75</v>
      </c>
      <c r="F675" s="98">
        <v>507.35</v>
      </c>
      <c r="G675" s="98">
        <v>508.95</v>
      </c>
      <c r="H675" s="189">
        <v>0.5478999999999999</v>
      </c>
      <c r="I675" s="98">
        <v>-0.74</v>
      </c>
      <c r="J675" s="98">
        <v>0.0</v>
      </c>
      <c r="K675" s="98">
        <v>5.0</v>
      </c>
      <c r="L675" s="189">
        <v>1.1218000000000001</v>
      </c>
    </row>
    <row r="676" ht="22.5" customHeight="1">
      <c r="A676" s="187" t="s">
        <v>60</v>
      </c>
      <c r="B676" s="188">
        <v>46920.0</v>
      </c>
      <c r="C676" s="187">
        <v>940.0</v>
      </c>
      <c r="D676" s="187" t="s">
        <v>107</v>
      </c>
      <c r="E676" s="98">
        <v>515.3</v>
      </c>
      <c r="F676" s="98">
        <v>516.63</v>
      </c>
      <c r="G676" s="98">
        <v>517.95</v>
      </c>
      <c r="H676" s="189">
        <v>0.5495</v>
      </c>
      <c r="I676" s="98">
        <v>-0.7432</v>
      </c>
      <c r="J676" s="98">
        <v>0.0</v>
      </c>
      <c r="K676" s="98">
        <v>2.0</v>
      </c>
      <c r="L676" s="189">
        <v>1.1445999999999998</v>
      </c>
    </row>
    <row r="677" ht="22.5" customHeight="1">
      <c r="A677" s="187" t="s">
        <v>60</v>
      </c>
      <c r="B677" s="188">
        <v>46920.0</v>
      </c>
      <c r="C677" s="187">
        <v>950.0</v>
      </c>
      <c r="D677" s="187" t="s">
        <v>107</v>
      </c>
      <c r="E677" s="98">
        <v>524.4</v>
      </c>
      <c r="F677" s="98">
        <v>525.72</v>
      </c>
      <c r="G677" s="98">
        <v>527.05</v>
      </c>
      <c r="H677" s="189">
        <v>0.55</v>
      </c>
      <c r="I677" s="98">
        <v>-0.7471</v>
      </c>
      <c r="J677" s="98">
        <v>0.0</v>
      </c>
      <c r="K677" s="98">
        <v>1.0</v>
      </c>
      <c r="L677" s="189">
        <v>1.1675</v>
      </c>
    </row>
    <row r="678" ht="22.5" customHeight="1">
      <c r="A678" s="187" t="s">
        <v>60</v>
      </c>
      <c r="B678" s="188">
        <v>46920.0</v>
      </c>
      <c r="C678" s="187">
        <v>960.0</v>
      </c>
      <c r="D678" s="187" t="s">
        <v>107</v>
      </c>
      <c r="E678" s="98">
        <v>532.9</v>
      </c>
      <c r="F678" s="98">
        <v>534.55</v>
      </c>
      <c r="G678" s="98">
        <v>536.2</v>
      </c>
      <c r="H678" s="189">
        <v>0.5489</v>
      </c>
      <c r="I678" s="98">
        <v>-0.7746</v>
      </c>
      <c r="J678" s="98">
        <v>0.0</v>
      </c>
      <c r="K678" s="98">
        <v>0.0</v>
      </c>
      <c r="L678" s="189">
        <v>1.1903</v>
      </c>
    </row>
    <row r="679" ht="22.5" customHeight="1">
      <c r="A679" s="187" t="s">
        <v>60</v>
      </c>
      <c r="B679" s="188">
        <v>46920.0</v>
      </c>
      <c r="C679" s="187">
        <v>970.0</v>
      </c>
      <c r="D679" s="187" t="s">
        <v>107</v>
      </c>
      <c r="E679" s="98">
        <v>542.05</v>
      </c>
      <c r="F679" s="98">
        <v>543.8</v>
      </c>
      <c r="G679" s="98">
        <v>545.55</v>
      </c>
      <c r="H679" s="189">
        <v>0.5496</v>
      </c>
      <c r="I679" s="98">
        <v>-0.7779</v>
      </c>
      <c r="J679" s="98">
        <v>0.0</v>
      </c>
      <c r="K679" s="98">
        <v>11.0</v>
      </c>
      <c r="L679" s="189">
        <v>1.2131</v>
      </c>
    </row>
    <row r="680" ht="22.5" customHeight="1">
      <c r="A680" s="187" t="s">
        <v>60</v>
      </c>
      <c r="B680" s="188">
        <v>46920.0</v>
      </c>
      <c r="C680" s="187">
        <v>980.0</v>
      </c>
      <c r="D680" s="187" t="s">
        <v>107</v>
      </c>
      <c r="E680" s="98">
        <v>551.25</v>
      </c>
      <c r="F680" s="98">
        <v>552.9</v>
      </c>
      <c r="G680" s="98">
        <v>554.55</v>
      </c>
      <c r="H680" s="189">
        <v>0.5493</v>
      </c>
      <c r="I680" s="98">
        <v>-0.7819</v>
      </c>
      <c r="J680" s="98">
        <v>0.0</v>
      </c>
      <c r="K680" s="98">
        <v>10.0</v>
      </c>
      <c r="L680" s="189">
        <v>1.2359</v>
      </c>
    </row>
    <row r="681" ht="22.5" customHeight="1">
      <c r="A681" s="187" t="s">
        <v>60</v>
      </c>
      <c r="B681" s="188">
        <v>46920.0</v>
      </c>
      <c r="C681" s="187">
        <v>990.0</v>
      </c>
      <c r="D681" s="187" t="s">
        <v>107</v>
      </c>
      <c r="E681" s="98">
        <v>560.5</v>
      </c>
      <c r="F681" s="98">
        <v>562.2</v>
      </c>
      <c r="G681" s="98">
        <v>563.9</v>
      </c>
      <c r="H681" s="189">
        <v>0.5501</v>
      </c>
      <c r="I681" s="98">
        <v>-0.7859</v>
      </c>
      <c r="J681" s="98">
        <v>0.0</v>
      </c>
      <c r="K681" s="98">
        <v>68.0</v>
      </c>
      <c r="L681" s="189">
        <v>1.2587000000000002</v>
      </c>
    </row>
    <row r="682" ht="22.5" customHeight="1">
      <c r="A682" s="187" t="s">
        <v>60</v>
      </c>
      <c r="B682" s="188">
        <v>47102.0</v>
      </c>
      <c r="C682" s="187">
        <v>5.0</v>
      </c>
      <c r="D682" s="187" t="s">
        <v>106</v>
      </c>
      <c r="E682" s="98">
        <v>428.0</v>
      </c>
      <c r="F682" s="98">
        <v>430.3</v>
      </c>
      <c r="G682" s="98">
        <v>432.6</v>
      </c>
      <c r="H682" s="189">
        <v>0.0</v>
      </c>
      <c r="I682" s="98">
        <v>0.0</v>
      </c>
      <c r="J682" s="98">
        <v>1.0</v>
      </c>
      <c r="K682" s="98">
        <v>4.0</v>
      </c>
      <c r="L682" s="189">
        <v>0.9884999999999999</v>
      </c>
    </row>
    <row r="683" ht="22.5" customHeight="1">
      <c r="A683" s="187" t="s">
        <v>60</v>
      </c>
      <c r="B683" s="188">
        <v>47102.0</v>
      </c>
      <c r="C683" s="187">
        <v>10.0</v>
      </c>
      <c r="D683" s="187" t="s">
        <v>106</v>
      </c>
      <c r="E683" s="98">
        <v>424.0</v>
      </c>
      <c r="F683" s="98">
        <v>429.0</v>
      </c>
      <c r="G683" s="98">
        <v>434.0</v>
      </c>
      <c r="H683" s="189">
        <v>1.5518</v>
      </c>
      <c r="I683" s="98">
        <v>0.9974</v>
      </c>
      <c r="J683" s="98">
        <v>0.0</v>
      </c>
      <c r="K683" s="98">
        <v>1.0</v>
      </c>
      <c r="L683" s="189">
        <v>0.977</v>
      </c>
    </row>
    <row r="684" ht="22.5" customHeight="1">
      <c r="A684" s="187" t="s">
        <v>60</v>
      </c>
      <c r="B684" s="188">
        <v>47102.0</v>
      </c>
      <c r="C684" s="187">
        <v>15.0</v>
      </c>
      <c r="D684" s="187" t="s">
        <v>106</v>
      </c>
      <c r="E684" s="98">
        <v>419.0</v>
      </c>
      <c r="F684" s="98">
        <v>424.0</v>
      </c>
      <c r="G684" s="98">
        <v>429.0</v>
      </c>
      <c r="H684" s="189">
        <v>1.2512</v>
      </c>
      <c r="I684" s="98">
        <v>0.9965</v>
      </c>
      <c r="J684" s="98">
        <v>0.0</v>
      </c>
      <c r="K684" s="98">
        <v>0.0</v>
      </c>
      <c r="L684" s="189">
        <v>0.9656</v>
      </c>
    </row>
    <row r="685" ht="22.5" customHeight="1">
      <c r="A685" s="187" t="s">
        <v>60</v>
      </c>
      <c r="B685" s="188">
        <v>47102.0</v>
      </c>
      <c r="C685" s="187">
        <v>20.0</v>
      </c>
      <c r="D685" s="187" t="s">
        <v>106</v>
      </c>
      <c r="E685" s="98">
        <v>415.0</v>
      </c>
      <c r="F685" s="98">
        <v>420.0</v>
      </c>
      <c r="G685" s="98">
        <v>425.0</v>
      </c>
      <c r="H685" s="189">
        <v>1.168</v>
      </c>
      <c r="I685" s="98">
        <v>0.9953</v>
      </c>
      <c r="J685" s="98">
        <v>0.0</v>
      </c>
      <c r="K685" s="98">
        <v>0.0</v>
      </c>
      <c r="L685" s="189">
        <v>0.9541</v>
      </c>
    </row>
    <row r="686" ht="22.5" customHeight="1">
      <c r="A686" s="187" t="s">
        <v>60</v>
      </c>
      <c r="B686" s="188">
        <v>47102.0</v>
      </c>
      <c r="C686" s="187">
        <v>25.0</v>
      </c>
      <c r="D686" s="187" t="s">
        <v>106</v>
      </c>
      <c r="E686" s="98">
        <v>411.0</v>
      </c>
      <c r="F686" s="98">
        <v>416.0</v>
      </c>
      <c r="G686" s="98">
        <v>421.0</v>
      </c>
      <c r="H686" s="189">
        <v>1.1064</v>
      </c>
      <c r="I686" s="98">
        <v>0.994</v>
      </c>
      <c r="J686" s="98">
        <v>0.0</v>
      </c>
      <c r="K686" s="98">
        <v>0.0</v>
      </c>
      <c r="L686" s="189">
        <v>0.9426000000000001</v>
      </c>
    </row>
    <row r="687" ht="22.5" customHeight="1">
      <c r="A687" s="187" t="s">
        <v>60</v>
      </c>
      <c r="B687" s="188">
        <v>47102.0</v>
      </c>
      <c r="C687" s="187">
        <v>30.0</v>
      </c>
      <c r="D687" s="187" t="s">
        <v>106</v>
      </c>
      <c r="E687" s="98">
        <v>407.0</v>
      </c>
      <c r="F687" s="98">
        <v>411.5</v>
      </c>
      <c r="G687" s="98">
        <v>416.0</v>
      </c>
      <c r="H687" s="189">
        <v>1.0228</v>
      </c>
      <c r="I687" s="98">
        <v>0.9932</v>
      </c>
      <c r="J687" s="98">
        <v>0.0</v>
      </c>
      <c r="K687" s="98">
        <v>0.0</v>
      </c>
      <c r="L687" s="189">
        <v>0.9311</v>
      </c>
    </row>
    <row r="688" ht="22.5" customHeight="1">
      <c r="A688" s="187" t="s">
        <v>60</v>
      </c>
      <c r="B688" s="188">
        <v>47102.0</v>
      </c>
      <c r="C688" s="187">
        <v>35.0</v>
      </c>
      <c r="D688" s="187" t="s">
        <v>106</v>
      </c>
      <c r="E688" s="98">
        <v>402.0</v>
      </c>
      <c r="F688" s="98">
        <v>407.0</v>
      </c>
      <c r="G688" s="98">
        <v>412.0</v>
      </c>
      <c r="H688" s="189">
        <v>0.9556999999999999</v>
      </c>
      <c r="I688" s="98">
        <v>0.9924</v>
      </c>
      <c r="J688" s="98">
        <v>0.0</v>
      </c>
      <c r="K688" s="98">
        <v>0.0</v>
      </c>
      <c r="L688" s="189">
        <v>0.9197</v>
      </c>
    </row>
    <row r="689" ht="22.5" customHeight="1">
      <c r="A689" s="187" t="s">
        <v>60</v>
      </c>
      <c r="B689" s="188">
        <v>47102.0</v>
      </c>
      <c r="C689" s="187">
        <v>40.0</v>
      </c>
      <c r="D689" s="187" t="s">
        <v>106</v>
      </c>
      <c r="E689" s="98">
        <v>398.0</v>
      </c>
      <c r="F689" s="98">
        <v>403.0</v>
      </c>
      <c r="G689" s="98">
        <v>408.0</v>
      </c>
      <c r="H689" s="189">
        <v>0.9285</v>
      </c>
      <c r="I689" s="98">
        <v>0.9911</v>
      </c>
      <c r="J689" s="98">
        <v>0.0</v>
      </c>
      <c r="K689" s="98">
        <v>0.0</v>
      </c>
      <c r="L689" s="189">
        <v>0.9081999999999999</v>
      </c>
    </row>
    <row r="690" ht="22.5" customHeight="1">
      <c r="A690" s="187" t="s">
        <v>60</v>
      </c>
      <c r="B690" s="188">
        <v>47102.0</v>
      </c>
      <c r="C690" s="187">
        <v>45.0</v>
      </c>
      <c r="D690" s="187" t="s">
        <v>106</v>
      </c>
      <c r="E690" s="98">
        <v>394.0</v>
      </c>
      <c r="F690" s="98">
        <v>399.0</v>
      </c>
      <c r="G690" s="98">
        <v>404.0</v>
      </c>
      <c r="H690" s="189">
        <v>0.9039</v>
      </c>
      <c r="I690" s="98">
        <v>0.9896</v>
      </c>
      <c r="J690" s="98">
        <v>0.0</v>
      </c>
      <c r="K690" s="98">
        <v>0.0</v>
      </c>
      <c r="L690" s="189">
        <v>0.8967</v>
      </c>
    </row>
    <row r="691" ht="22.5" customHeight="1">
      <c r="A691" s="187" t="s">
        <v>60</v>
      </c>
      <c r="B691" s="188">
        <v>47102.0</v>
      </c>
      <c r="C691" s="187">
        <v>50.0</v>
      </c>
      <c r="D691" s="187" t="s">
        <v>106</v>
      </c>
      <c r="E691" s="98">
        <v>390.0</v>
      </c>
      <c r="F691" s="98">
        <v>395.0</v>
      </c>
      <c r="G691" s="98">
        <v>400.0</v>
      </c>
      <c r="H691" s="189">
        <v>0.8813</v>
      </c>
      <c r="I691" s="98">
        <v>0.9882</v>
      </c>
      <c r="J691" s="98">
        <v>0.0</v>
      </c>
      <c r="K691" s="98">
        <v>0.0</v>
      </c>
      <c r="L691" s="189">
        <v>0.8852</v>
      </c>
    </row>
    <row r="692" ht="22.5" customHeight="1">
      <c r="A692" s="187" t="s">
        <v>60</v>
      </c>
      <c r="B692" s="188">
        <v>47102.0</v>
      </c>
      <c r="C692" s="187">
        <v>60.0</v>
      </c>
      <c r="D692" s="187" t="s">
        <v>106</v>
      </c>
      <c r="E692" s="98">
        <v>381.0</v>
      </c>
      <c r="F692" s="98">
        <v>386.0</v>
      </c>
      <c r="G692" s="98">
        <v>391.0</v>
      </c>
      <c r="H692" s="189">
        <v>0.8036</v>
      </c>
      <c r="I692" s="98">
        <v>0.9865</v>
      </c>
      <c r="J692" s="98">
        <v>0.0</v>
      </c>
      <c r="K692" s="98">
        <v>0.0</v>
      </c>
      <c r="L692" s="189">
        <v>0.8623000000000001</v>
      </c>
    </row>
    <row r="693" ht="22.5" customHeight="1">
      <c r="A693" s="187" t="s">
        <v>60</v>
      </c>
      <c r="B693" s="188">
        <v>47102.0</v>
      </c>
      <c r="C693" s="187">
        <v>70.0</v>
      </c>
      <c r="D693" s="187" t="s">
        <v>106</v>
      </c>
      <c r="E693" s="98">
        <v>373.0</v>
      </c>
      <c r="F693" s="98">
        <v>378.0</v>
      </c>
      <c r="G693" s="98">
        <v>383.0</v>
      </c>
      <c r="H693" s="189">
        <v>0.7742</v>
      </c>
      <c r="I693" s="98">
        <v>0.9832</v>
      </c>
      <c r="J693" s="98">
        <v>0.0</v>
      </c>
      <c r="K693" s="98">
        <v>0.0</v>
      </c>
      <c r="L693" s="189">
        <v>0.8393</v>
      </c>
    </row>
    <row r="694" ht="22.5" customHeight="1">
      <c r="A694" s="187" t="s">
        <v>60</v>
      </c>
      <c r="B694" s="188">
        <v>47102.0</v>
      </c>
      <c r="C694" s="187">
        <v>80.0</v>
      </c>
      <c r="D694" s="187" t="s">
        <v>106</v>
      </c>
      <c r="E694" s="98">
        <v>365.0</v>
      </c>
      <c r="F694" s="98">
        <v>370.0</v>
      </c>
      <c r="G694" s="98">
        <v>375.0</v>
      </c>
      <c r="H694" s="189">
        <v>0.747</v>
      </c>
      <c r="I694" s="98">
        <v>0.9799</v>
      </c>
      <c r="J694" s="98">
        <v>0.0</v>
      </c>
      <c r="K694" s="98">
        <v>0.0</v>
      </c>
      <c r="L694" s="189">
        <v>0.8164</v>
      </c>
    </row>
    <row r="695" ht="22.5" customHeight="1">
      <c r="A695" s="187" t="s">
        <v>60</v>
      </c>
      <c r="B695" s="188">
        <v>47102.0</v>
      </c>
      <c r="C695" s="187">
        <v>90.0</v>
      </c>
      <c r="D695" s="187" t="s">
        <v>106</v>
      </c>
      <c r="E695" s="98">
        <v>357.0</v>
      </c>
      <c r="F695" s="98">
        <v>362.0</v>
      </c>
      <c r="G695" s="98">
        <v>367.0</v>
      </c>
      <c r="H695" s="189">
        <v>0.7216</v>
      </c>
      <c r="I695" s="98">
        <v>0.9763</v>
      </c>
      <c r="J695" s="98">
        <v>0.0</v>
      </c>
      <c r="K695" s="98">
        <v>1.0</v>
      </c>
      <c r="L695" s="189">
        <v>0.7934</v>
      </c>
    </row>
    <row r="696" ht="22.5" customHeight="1">
      <c r="A696" s="187" t="s">
        <v>60</v>
      </c>
      <c r="B696" s="188">
        <v>47102.0</v>
      </c>
      <c r="C696" s="187">
        <v>100.0</v>
      </c>
      <c r="D696" s="187" t="s">
        <v>106</v>
      </c>
      <c r="E696" s="98">
        <v>350.0</v>
      </c>
      <c r="F696" s="98">
        <v>354.28</v>
      </c>
      <c r="G696" s="98">
        <v>358.55</v>
      </c>
      <c r="H696" s="189">
        <v>0.7038</v>
      </c>
      <c r="I696" s="98">
        <v>0.9722</v>
      </c>
      <c r="J696" s="98">
        <v>0.0</v>
      </c>
      <c r="K696" s="98">
        <v>181.0</v>
      </c>
      <c r="L696" s="189">
        <v>0.7704000000000001</v>
      </c>
    </row>
    <row r="697" ht="22.5" customHeight="1">
      <c r="A697" s="187" t="s">
        <v>60</v>
      </c>
      <c r="B697" s="188">
        <v>47102.0</v>
      </c>
      <c r="C697" s="187">
        <v>110.0</v>
      </c>
      <c r="D697" s="187" t="s">
        <v>106</v>
      </c>
      <c r="E697" s="98">
        <v>342.0</v>
      </c>
      <c r="F697" s="98">
        <v>347.0</v>
      </c>
      <c r="G697" s="98">
        <v>352.0</v>
      </c>
      <c r="H697" s="189">
        <v>0.6945</v>
      </c>
      <c r="I697" s="98">
        <v>0.9674</v>
      </c>
      <c r="J697" s="98">
        <v>0.0</v>
      </c>
      <c r="K697" s="98">
        <v>20.0</v>
      </c>
      <c r="L697" s="189">
        <v>0.7475</v>
      </c>
    </row>
    <row r="698" ht="22.5" customHeight="1">
      <c r="A698" s="187" t="s">
        <v>60</v>
      </c>
      <c r="B698" s="188">
        <v>47102.0</v>
      </c>
      <c r="C698" s="187">
        <v>120.0</v>
      </c>
      <c r="D698" s="187" t="s">
        <v>106</v>
      </c>
      <c r="E698" s="98">
        <v>334.0</v>
      </c>
      <c r="F698" s="98">
        <v>339.0</v>
      </c>
      <c r="G698" s="98">
        <v>344.0</v>
      </c>
      <c r="H698" s="189">
        <v>0.6716</v>
      </c>
      <c r="I698" s="98">
        <v>0.9633</v>
      </c>
      <c r="J698" s="98">
        <v>0.0</v>
      </c>
      <c r="K698" s="98">
        <v>11.0</v>
      </c>
      <c r="L698" s="189">
        <v>0.7245</v>
      </c>
    </row>
    <row r="699" ht="22.5" customHeight="1">
      <c r="A699" s="187" t="s">
        <v>60</v>
      </c>
      <c r="B699" s="188">
        <v>47102.0</v>
      </c>
      <c r="C699" s="187">
        <v>130.0</v>
      </c>
      <c r="D699" s="187" t="s">
        <v>106</v>
      </c>
      <c r="E699" s="98">
        <v>327.0</v>
      </c>
      <c r="F699" s="98">
        <v>331.95</v>
      </c>
      <c r="G699" s="98">
        <v>336.9</v>
      </c>
      <c r="H699" s="189">
        <v>0.6646</v>
      </c>
      <c r="I699" s="98">
        <v>0.9579</v>
      </c>
      <c r="J699" s="98">
        <v>0.0</v>
      </c>
      <c r="K699" s="98">
        <v>2.0</v>
      </c>
      <c r="L699" s="189">
        <v>0.7016</v>
      </c>
    </row>
    <row r="700" ht="22.5" customHeight="1">
      <c r="A700" s="187" t="s">
        <v>60</v>
      </c>
      <c r="B700" s="188">
        <v>47102.0</v>
      </c>
      <c r="C700" s="187">
        <v>140.0</v>
      </c>
      <c r="D700" s="187" t="s">
        <v>106</v>
      </c>
      <c r="E700" s="98">
        <v>320.0</v>
      </c>
      <c r="F700" s="98">
        <v>324.5</v>
      </c>
      <c r="G700" s="98">
        <v>329.0</v>
      </c>
      <c r="H700" s="189">
        <v>0.6507999999999999</v>
      </c>
      <c r="I700" s="98">
        <v>0.9528</v>
      </c>
      <c r="J700" s="98">
        <v>0.0</v>
      </c>
      <c r="K700" s="98">
        <v>9.0</v>
      </c>
      <c r="L700" s="189">
        <v>0.6786</v>
      </c>
    </row>
    <row r="701" ht="22.5" customHeight="1">
      <c r="A701" s="187" t="s">
        <v>60</v>
      </c>
      <c r="B701" s="188">
        <v>47102.0</v>
      </c>
      <c r="C701" s="187">
        <v>150.0</v>
      </c>
      <c r="D701" s="187" t="s">
        <v>106</v>
      </c>
      <c r="E701" s="98">
        <v>312.0</v>
      </c>
      <c r="F701" s="98">
        <v>317.0</v>
      </c>
      <c r="G701" s="98">
        <v>322.0</v>
      </c>
      <c r="H701" s="189">
        <v>0.6363</v>
      </c>
      <c r="I701" s="98">
        <v>0.9476</v>
      </c>
      <c r="J701" s="98">
        <v>0.0</v>
      </c>
      <c r="K701" s="98">
        <v>19.0</v>
      </c>
      <c r="L701" s="189">
        <v>0.6557</v>
      </c>
    </row>
    <row r="702" ht="22.5" customHeight="1">
      <c r="A702" s="187" t="s">
        <v>60</v>
      </c>
      <c r="B702" s="188">
        <v>47102.0</v>
      </c>
      <c r="C702" s="187">
        <v>160.0</v>
      </c>
      <c r="D702" s="187" t="s">
        <v>106</v>
      </c>
      <c r="E702" s="98">
        <v>305.0</v>
      </c>
      <c r="F702" s="98">
        <v>310.0</v>
      </c>
      <c r="G702" s="98">
        <v>315.0</v>
      </c>
      <c r="H702" s="189">
        <v>0.6278</v>
      </c>
      <c r="I702" s="98">
        <v>0.9417</v>
      </c>
      <c r="J702" s="98">
        <v>0.0</v>
      </c>
      <c r="K702" s="98">
        <v>29.0</v>
      </c>
      <c r="L702" s="189">
        <v>0.6327</v>
      </c>
    </row>
    <row r="703" ht="22.5" customHeight="1">
      <c r="A703" s="187" t="s">
        <v>60</v>
      </c>
      <c r="B703" s="188">
        <v>47102.0</v>
      </c>
      <c r="C703" s="187">
        <v>170.0</v>
      </c>
      <c r="D703" s="187" t="s">
        <v>106</v>
      </c>
      <c r="E703" s="187">
        <v>298.0</v>
      </c>
      <c r="F703" s="187">
        <v>301.88</v>
      </c>
      <c r="G703" s="98">
        <v>305.75</v>
      </c>
      <c r="H703" s="189">
        <v>0.6065</v>
      </c>
      <c r="I703" s="98">
        <v>0.9368</v>
      </c>
      <c r="J703" s="98">
        <v>0.0</v>
      </c>
      <c r="K703" s="98">
        <v>41.0</v>
      </c>
      <c r="L703" s="189">
        <v>0.6098</v>
      </c>
    </row>
    <row r="704" ht="22.5" customHeight="1">
      <c r="A704" s="187" t="s">
        <v>60</v>
      </c>
      <c r="B704" s="188">
        <v>47102.0</v>
      </c>
      <c r="C704" s="187">
        <v>180.0</v>
      </c>
      <c r="D704" s="187" t="s">
        <v>106</v>
      </c>
      <c r="E704" s="98">
        <v>292.0</v>
      </c>
      <c r="F704" s="98">
        <v>296.88</v>
      </c>
      <c r="G704" s="98">
        <v>301.75</v>
      </c>
      <c r="H704" s="189">
        <v>0.6178</v>
      </c>
      <c r="I704" s="98">
        <v>0.9285</v>
      </c>
      <c r="J704" s="98">
        <v>20.0</v>
      </c>
      <c r="K704" s="98">
        <v>41.0</v>
      </c>
      <c r="L704" s="189">
        <v>0.5868</v>
      </c>
    </row>
    <row r="705" ht="22.5" customHeight="1">
      <c r="A705" s="187" t="s">
        <v>60</v>
      </c>
      <c r="B705" s="188">
        <v>47102.0</v>
      </c>
      <c r="C705" s="187">
        <v>190.0</v>
      </c>
      <c r="D705" s="187" t="s">
        <v>106</v>
      </c>
      <c r="E705" s="98">
        <v>285.0</v>
      </c>
      <c r="F705" s="98">
        <v>290.0</v>
      </c>
      <c r="G705" s="98">
        <v>295.0</v>
      </c>
      <c r="H705" s="189">
        <v>0.6315</v>
      </c>
      <c r="I705" s="98">
        <v>0.9201</v>
      </c>
      <c r="J705" s="98">
        <v>31.0</v>
      </c>
      <c r="K705" s="98">
        <v>3.0</v>
      </c>
      <c r="L705" s="189">
        <v>0.5639</v>
      </c>
    </row>
    <row r="706" ht="22.5" customHeight="1">
      <c r="A706" s="187" t="s">
        <v>60</v>
      </c>
      <c r="B706" s="188">
        <v>47102.0</v>
      </c>
      <c r="C706" s="187">
        <v>195.0</v>
      </c>
      <c r="D706" s="187" t="s">
        <v>106</v>
      </c>
      <c r="E706" s="98">
        <v>282.0</v>
      </c>
      <c r="F706" s="98">
        <v>286.95</v>
      </c>
      <c r="G706" s="98">
        <v>291.9</v>
      </c>
      <c r="H706" s="189">
        <v>0.6073</v>
      </c>
      <c r="I706" s="98">
        <v>0.9185</v>
      </c>
      <c r="J706" s="98">
        <v>0.0</v>
      </c>
      <c r="K706" s="98">
        <v>0.0</v>
      </c>
      <c r="L706" s="189">
        <v>0.5524</v>
      </c>
    </row>
    <row r="707" ht="22.5" customHeight="1">
      <c r="A707" s="187" t="s">
        <v>60</v>
      </c>
      <c r="B707" s="188">
        <v>47102.0</v>
      </c>
      <c r="C707" s="187">
        <v>200.0</v>
      </c>
      <c r="D707" s="187" t="s">
        <v>106</v>
      </c>
      <c r="E707" s="98">
        <v>279.0</v>
      </c>
      <c r="F707" s="98">
        <v>283.85</v>
      </c>
      <c r="G707" s="98">
        <v>288.7</v>
      </c>
      <c r="H707" s="189">
        <v>0.6178</v>
      </c>
      <c r="I707" s="98">
        <v>0.9138</v>
      </c>
      <c r="J707" s="98">
        <v>49.0</v>
      </c>
      <c r="K707" s="98">
        <v>54.0</v>
      </c>
      <c r="L707" s="189">
        <v>0.5409</v>
      </c>
    </row>
    <row r="708" ht="22.5" customHeight="1">
      <c r="A708" s="187" t="s">
        <v>60</v>
      </c>
      <c r="B708" s="188">
        <v>47102.0</v>
      </c>
      <c r="C708" s="187">
        <v>210.0</v>
      </c>
      <c r="D708" s="187" t="s">
        <v>106</v>
      </c>
      <c r="E708" s="98">
        <v>272.0</v>
      </c>
      <c r="F708" s="98">
        <v>277.0</v>
      </c>
      <c r="G708" s="98">
        <v>282.0</v>
      </c>
      <c r="H708" s="189">
        <v>0.6199</v>
      </c>
      <c r="I708" s="98">
        <v>0.9061</v>
      </c>
      <c r="J708" s="98">
        <v>1.0</v>
      </c>
      <c r="K708" s="98">
        <v>35.0</v>
      </c>
      <c r="L708" s="189">
        <v>0.5179</v>
      </c>
    </row>
    <row r="709" ht="22.5" customHeight="1">
      <c r="A709" s="187" t="s">
        <v>60</v>
      </c>
      <c r="B709" s="188">
        <v>47102.0</v>
      </c>
      <c r="C709" s="187">
        <v>220.0</v>
      </c>
      <c r="D709" s="187" t="s">
        <v>106</v>
      </c>
      <c r="E709" s="98">
        <v>266.0</v>
      </c>
      <c r="F709" s="98">
        <v>271.0</v>
      </c>
      <c r="G709" s="98">
        <v>276.0</v>
      </c>
      <c r="H709" s="189">
        <v>0.5919</v>
      </c>
      <c r="I709" s="98">
        <v>0.9005</v>
      </c>
      <c r="J709" s="98">
        <v>0.0</v>
      </c>
      <c r="K709" s="98">
        <v>47.0</v>
      </c>
      <c r="L709" s="189">
        <v>0.495</v>
      </c>
    </row>
    <row r="710" ht="22.5" customHeight="1">
      <c r="A710" s="187" t="s">
        <v>60</v>
      </c>
      <c r="B710" s="188">
        <v>47102.0</v>
      </c>
      <c r="C710" s="187">
        <v>230.0</v>
      </c>
      <c r="D710" s="187" t="s">
        <v>106</v>
      </c>
      <c r="E710" s="98">
        <v>260.0</v>
      </c>
      <c r="F710" s="98">
        <v>265.0</v>
      </c>
      <c r="G710" s="98">
        <v>270.0</v>
      </c>
      <c r="H710" s="189">
        <v>0.5876</v>
      </c>
      <c r="I710" s="98">
        <v>0.8929</v>
      </c>
      <c r="J710" s="98">
        <v>0.0</v>
      </c>
      <c r="K710" s="98">
        <v>17.0</v>
      </c>
      <c r="L710" s="189">
        <v>0.47200000000000003</v>
      </c>
    </row>
    <row r="711" ht="22.5" customHeight="1">
      <c r="A711" s="187" t="s">
        <v>60</v>
      </c>
      <c r="B711" s="188">
        <v>47102.0</v>
      </c>
      <c r="C711" s="187">
        <v>240.0</v>
      </c>
      <c r="D711" s="187" t="s">
        <v>106</v>
      </c>
      <c r="E711" s="98">
        <v>257.0</v>
      </c>
      <c r="F711" s="98">
        <v>260.5</v>
      </c>
      <c r="G711" s="98">
        <v>264.0</v>
      </c>
      <c r="H711" s="189">
        <v>0.5932</v>
      </c>
      <c r="I711" s="98">
        <v>0.8845</v>
      </c>
      <c r="J711" s="98">
        <v>0.0</v>
      </c>
      <c r="K711" s="98">
        <v>13.0</v>
      </c>
      <c r="L711" s="189">
        <v>0.44909999999999994</v>
      </c>
    </row>
    <row r="712" ht="22.5" customHeight="1">
      <c r="A712" s="187" t="s">
        <v>60</v>
      </c>
      <c r="B712" s="188">
        <v>47102.0</v>
      </c>
      <c r="C712" s="187">
        <v>250.0</v>
      </c>
      <c r="D712" s="187" t="s">
        <v>106</v>
      </c>
      <c r="E712" s="98">
        <v>251.35</v>
      </c>
      <c r="F712" s="98">
        <v>255.0</v>
      </c>
      <c r="G712" s="98">
        <v>258.65</v>
      </c>
      <c r="H712" s="189">
        <v>0.5939</v>
      </c>
      <c r="I712" s="98">
        <v>0.8764</v>
      </c>
      <c r="J712" s="98">
        <v>2.0</v>
      </c>
      <c r="K712" s="98">
        <v>224.0</v>
      </c>
      <c r="L712" s="189">
        <v>0.4261</v>
      </c>
    </row>
    <row r="713" ht="22.5" customHeight="1">
      <c r="A713" s="187" t="s">
        <v>60</v>
      </c>
      <c r="B713" s="188">
        <v>47102.0</v>
      </c>
      <c r="C713" s="187">
        <v>260.0</v>
      </c>
      <c r="D713" s="187" t="s">
        <v>106</v>
      </c>
      <c r="E713" s="98">
        <v>245.85</v>
      </c>
      <c r="F713" s="98">
        <v>249.43</v>
      </c>
      <c r="G713" s="98">
        <v>253.0</v>
      </c>
      <c r="H713" s="189">
        <v>0.5869</v>
      </c>
      <c r="I713" s="98">
        <v>0.8685</v>
      </c>
      <c r="J713" s="98">
        <v>0.0</v>
      </c>
      <c r="K713" s="98">
        <v>16.0</v>
      </c>
      <c r="L713" s="189">
        <v>0.4032</v>
      </c>
    </row>
    <row r="714" ht="22.5" customHeight="1">
      <c r="A714" s="187" t="s">
        <v>60</v>
      </c>
      <c r="B714" s="188">
        <v>47102.0</v>
      </c>
      <c r="C714" s="187">
        <v>270.0</v>
      </c>
      <c r="D714" s="187" t="s">
        <v>106</v>
      </c>
      <c r="E714" s="98">
        <v>240.05</v>
      </c>
      <c r="F714" s="98">
        <v>243.85</v>
      </c>
      <c r="G714" s="98">
        <v>247.65</v>
      </c>
      <c r="H714" s="189">
        <v>0.5826</v>
      </c>
      <c r="I714" s="98">
        <v>0.8604</v>
      </c>
      <c r="J714" s="98">
        <v>0.0</v>
      </c>
      <c r="K714" s="98">
        <v>31.0</v>
      </c>
      <c r="L714" s="189">
        <v>0.38020000000000004</v>
      </c>
    </row>
    <row r="715" ht="22.5" customHeight="1">
      <c r="A715" s="187" t="s">
        <v>60</v>
      </c>
      <c r="B715" s="188">
        <v>47102.0</v>
      </c>
      <c r="C715" s="187">
        <v>280.0</v>
      </c>
      <c r="D715" s="187" t="s">
        <v>106</v>
      </c>
      <c r="E715" s="98">
        <v>235.3</v>
      </c>
      <c r="F715" s="98">
        <v>238.88</v>
      </c>
      <c r="G715" s="98">
        <v>242.45</v>
      </c>
      <c r="H715" s="189">
        <v>0.5814</v>
      </c>
      <c r="I715" s="98">
        <v>0.8521</v>
      </c>
      <c r="J715" s="98">
        <v>0.0</v>
      </c>
      <c r="K715" s="98">
        <v>11.0</v>
      </c>
      <c r="L715" s="189">
        <v>0.35729999999999995</v>
      </c>
    </row>
    <row r="716" ht="22.5" customHeight="1">
      <c r="A716" s="187" t="s">
        <v>60</v>
      </c>
      <c r="B716" s="188">
        <v>47102.0</v>
      </c>
      <c r="C716" s="187">
        <v>290.0</v>
      </c>
      <c r="D716" s="187" t="s">
        <v>106</v>
      </c>
      <c r="E716" s="98">
        <v>230.25</v>
      </c>
      <c r="F716" s="98">
        <v>233.63</v>
      </c>
      <c r="G716" s="98">
        <v>237.0</v>
      </c>
      <c r="H716" s="189">
        <v>0.5811</v>
      </c>
      <c r="I716" s="98">
        <v>0.8438</v>
      </c>
      <c r="J716" s="98">
        <v>12.0</v>
      </c>
      <c r="K716" s="98">
        <v>42.0</v>
      </c>
      <c r="L716" s="189">
        <v>0.3343</v>
      </c>
    </row>
    <row r="717" ht="22.5" customHeight="1">
      <c r="A717" s="187" t="s">
        <v>60</v>
      </c>
      <c r="B717" s="188">
        <v>47102.0</v>
      </c>
      <c r="C717" s="187">
        <v>300.0</v>
      </c>
      <c r="D717" s="187" t="s">
        <v>106</v>
      </c>
      <c r="E717" s="98">
        <v>225.35</v>
      </c>
      <c r="F717" s="98">
        <v>228.0</v>
      </c>
      <c r="G717" s="98">
        <v>230.65</v>
      </c>
      <c r="H717" s="189">
        <v>0.5722999999999999</v>
      </c>
      <c r="I717" s="98">
        <v>0.8354</v>
      </c>
      <c r="J717" s="98">
        <v>8.0</v>
      </c>
      <c r="K717" s="98">
        <v>135.0</v>
      </c>
      <c r="L717" s="189">
        <v>0.31129999999999997</v>
      </c>
    </row>
    <row r="718" ht="22.5" customHeight="1">
      <c r="A718" s="187" t="s">
        <v>60</v>
      </c>
      <c r="B718" s="188">
        <v>47102.0</v>
      </c>
      <c r="C718" s="187">
        <v>310.0</v>
      </c>
      <c r="D718" s="187" t="s">
        <v>106</v>
      </c>
      <c r="E718" s="98">
        <v>220.5</v>
      </c>
      <c r="F718" s="98">
        <v>222.55</v>
      </c>
      <c r="G718" s="98">
        <v>224.6</v>
      </c>
      <c r="H718" s="189">
        <v>0.5745</v>
      </c>
      <c r="I718" s="98">
        <v>0.8269</v>
      </c>
      <c r="J718" s="98">
        <v>8.0</v>
      </c>
      <c r="K718" s="98">
        <v>62.0</v>
      </c>
      <c r="L718" s="189">
        <v>0.2884</v>
      </c>
    </row>
    <row r="719" ht="22.5" customHeight="1">
      <c r="A719" s="187" t="s">
        <v>60</v>
      </c>
      <c r="B719" s="188">
        <v>47102.0</v>
      </c>
      <c r="C719" s="187">
        <v>320.0</v>
      </c>
      <c r="D719" s="187" t="s">
        <v>106</v>
      </c>
      <c r="E719" s="98">
        <v>215.85</v>
      </c>
      <c r="F719" s="98">
        <v>219.27</v>
      </c>
      <c r="G719" s="98">
        <v>222.7</v>
      </c>
      <c r="H719" s="189">
        <v>0.5672999999999999</v>
      </c>
      <c r="I719" s="98">
        <v>0.8183</v>
      </c>
      <c r="J719" s="98">
        <v>4.0</v>
      </c>
      <c r="K719" s="98">
        <v>41.0</v>
      </c>
      <c r="L719" s="189">
        <v>0.26539999999999997</v>
      </c>
    </row>
    <row r="720" ht="22.5" customHeight="1">
      <c r="A720" s="187" t="s">
        <v>60</v>
      </c>
      <c r="B720" s="188">
        <v>47102.0</v>
      </c>
      <c r="C720" s="187">
        <v>330.0</v>
      </c>
      <c r="D720" s="187" t="s">
        <v>106</v>
      </c>
      <c r="E720" s="98">
        <v>211.3</v>
      </c>
      <c r="F720" s="98">
        <v>214.65</v>
      </c>
      <c r="G720" s="98">
        <v>218.0</v>
      </c>
      <c r="H720" s="189">
        <v>0.5804</v>
      </c>
      <c r="I720" s="98">
        <v>0.8103</v>
      </c>
      <c r="J720" s="98">
        <v>1.0</v>
      </c>
      <c r="K720" s="98">
        <v>15.0</v>
      </c>
      <c r="L720" s="189">
        <v>0.2425</v>
      </c>
    </row>
    <row r="721" ht="22.5" customHeight="1">
      <c r="A721" s="187" t="s">
        <v>60</v>
      </c>
      <c r="B721" s="188">
        <v>47102.0</v>
      </c>
      <c r="C721" s="187">
        <v>340.0</v>
      </c>
      <c r="D721" s="187" t="s">
        <v>106</v>
      </c>
      <c r="E721" s="98">
        <v>206.9</v>
      </c>
      <c r="F721" s="98">
        <v>210.1</v>
      </c>
      <c r="G721" s="98">
        <v>213.3</v>
      </c>
      <c r="H721" s="189">
        <v>0.5684</v>
      </c>
      <c r="I721" s="98">
        <v>0.8013</v>
      </c>
      <c r="J721" s="98">
        <v>0.0</v>
      </c>
      <c r="K721" s="98">
        <v>69.0</v>
      </c>
      <c r="L721" s="189">
        <v>0.2195</v>
      </c>
    </row>
    <row r="722" ht="22.5" customHeight="1">
      <c r="A722" s="187" t="s">
        <v>60</v>
      </c>
      <c r="B722" s="188">
        <v>47102.0</v>
      </c>
      <c r="C722" s="187">
        <v>350.0</v>
      </c>
      <c r="D722" s="187" t="s">
        <v>106</v>
      </c>
      <c r="E722" s="98">
        <v>202.6</v>
      </c>
      <c r="F722" s="98">
        <v>205.35</v>
      </c>
      <c r="G722" s="98">
        <v>208.1</v>
      </c>
      <c r="H722" s="189">
        <v>0.5706</v>
      </c>
      <c r="I722" s="98">
        <v>0.793</v>
      </c>
      <c r="J722" s="98">
        <v>19.0</v>
      </c>
      <c r="K722" s="98">
        <v>81.0</v>
      </c>
      <c r="L722" s="189">
        <v>0.1966</v>
      </c>
    </row>
    <row r="723" ht="22.5" customHeight="1">
      <c r="A723" s="187" t="s">
        <v>60</v>
      </c>
      <c r="B723" s="188">
        <v>47102.0</v>
      </c>
      <c r="C723" s="187">
        <v>360.0</v>
      </c>
      <c r="D723" s="187" t="s">
        <v>106</v>
      </c>
      <c r="E723" s="98">
        <v>198.4</v>
      </c>
      <c r="F723" s="98">
        <v>201.05</v>
      </c>
      <c r="G723" s="98">
        <v>203.7</v>
      </c>
      <c r="H723" s="189">
        <v>0.5608</v>
      </c>
      <c r="I723" s="98">
        <v>0.7837</v>
      </c>
      <c r="J723" s="98">
        <v>2.0</v>
      </c>
      <c r="K723" s="98">
        <v>205.0</v>
      </c>
      <c r="L723" s="189">
        <v>0.1736</v>
      </c>
    </row>
    <row r="724" ht="22.5" customHeight="1">
      <c r="A724" s="187" t="s">
        <v>60</v>
      </c>
      <c r="B724" s="188">
        <v>47102.0</v>
      </c>
      <c r="C724" s="187">
        <v>370.0</v>
      </c>
      <c r="D724" s="187" t="s">
        <v>106</v>
      </c>
      <c r="E724" s="98">
        <v>194.35</v>
      </c>
      <c r="F724" s="98">
        <v>197.68</v>
      </c>
      <c r="G724" s="98">
        <v>201.0</v>
      </c>
      <c r="H724" s="189">
        <v>0.5654</v>
      </c>
      <c r="I724" s="98">
        <v>0.7756</v>
      </c>
      <c r="J724" s="98">
        <v>0.0</v>
      </c>
      <c r="K724" s="98">
        <v>74.0</v>
      </c>
      <c r="L724" s="189">
        <v>0.1507</v>
      </c>
    </row>
    <row r="725" ht="22.5" customHeight="1">
      <c r="A725" s="187" t="s">
        <v>60</v>
      </c>
      <c r="B725" s="188">
        <v>47102.0</v>
      </c>
      <c r="C725" s="187">
        <v>380.0</v>
      </c>
      <c r="D725" s="187" t="s">
        <v>106</v>
      </c>
      <c r="E725" s="98">
        <v>190.4</v>
      </c>
      <c r="F725" s="98">
        <v>193.7</v>
      </c>
      <c r="G725" s="98">
        <v>197.0</v>
      </c>
      <c r="H725" s="189">
        <v>0.5732</v>
      </c>
      <c r="I725" s="98">
        <v>0.7682</v>
      </c>
      <c r="J725" s="98">
        <v>3.0</v>
      </c>
      <c r="K725" s="98">
        <v>94.0</v>
      </c>
      <c r="L725" s="189">
        <v>0.1277</v>
      </c>
    </row>
    <row r="726" ht="22.5" customHeight="1">
      <c r="A726" s="187" t="s">
        <v>60</v>
      </c>
      <c r="B726" s="188">
        <v>47102.0</v>
      </c>
      <c r="C726" s="187">
        <v>390.0</v>
      </c>
      <c r="D726" s="187" t="s">
        <v>106</v>
      </c>
      <c r="E726" s="98">
        <v>186.55</v>
      </c>
      <c r="F726" s="98">
        <v>189.85</v>
      </c>
      <c r="G726" s="98">
        <v>193.15</v>
      </c>
      <c r="H726" s="189">
        <v>0.5688</v>
      </c>
      <c r="I726" s="98">
        <v>0.7594</v>
      </c>
      <c r="J726" s="98">
        <v>3.0</v>
      </c>
      <c r="K726" s="98">
        <v>47.0</v>
      </c>
      <c r="L726" s="189">
        <v>0.1047</v>
      </c>
    </row>
    <row r="727" ht="22.5" customHeight="1">
      <c r="A727" s="187" t="s">
        <v>60</v>
      </c>
      <c r="B727" s="188">
        <v>47102.0</v>
      </c>
      <c r="C727" s="187">
        <v>400.0</v>
      </c>
      <c r="D727" s="187" t="s">
        <v>106</v>
      </c>
      <c r="E727" s="98">
        <v>182.8</v>
      </c>
      <c r="F727" s="98">
        <v>185.9</v>
      </c>
      <c r="G727" s="98">
        <v>189.0</v>
      </c>
      <c r="H727" s="189">
        <v>0.5707</v>
      </c>
      <c r="I727" s="98">
        <v>0.7515</v>
      </c>
      <c r="J727" s="98">
        <v>17.0</v>
      </c>
      <c r="K727" s="98">
        <v>331.0</v>
      </c>
      <c r="L727" s="189">
        <v>0.0818</v>
      </c>
    </row>
    <row r="728" ht="22.5" customHeight="1">
      <c r="A728" s="187" t="s">
        <v>60</v>
      </c>
      <c r="B728" s="188">
        <v>47102.0</v>
      </c>
      <c r="C728" s="187">
        <v>410.0</v>
      </c>
      <c r="D728" s="187" t="s">
        <v>106</v>
      </c>
      <c r="E728" s="98">
        <v>179.2</v>
      </c>
      <c r="F728" s="98">
        <v>182.48</v>
      </c>
      <c r="G728" s="98">
        <v>185.75</v>
      </c>
      <c r="H728" s="189">
        <v>0.5626</v>
      </c>
      <c r="I728" s="98">
        <v>0.7419</v>
      </c>
      <c r="J728" s="98">
        <v>4.0</v>
      </c>
      <c r="K728" s="98">
        <v>50.0</v>
      </c>
      <c r="L728" s="189">
        <v>0.0588</v>
      </c>
    </row>
    <row r="729" ht="22.5" customHeight="1">
      <c r="A729" s="187" t="s">
        <v>60</v>
      </c>
      <c r="B729" s="188">
        <v>47102.0</v>
      </c>
      <c r="C729" s="187">
        <v>420.0</v>
      </c>
      <c r="D729" s="187" t="s">
        <v>106</v>
      </c>
      <c r="E729" s="98">
        <v>175.65</v>
      </c>
      <c r="F729" s="98">
        <v>177.83</v>
      </c>
      <c r="G729" s="98">
        <v>180.0</v>
      </c>
      <c r="H729" s="189">
        <v>0.5656</v>
      </c>
      <c r="I729" s="98">
        <v>0.7343</v>
      </c>
      <c r="J729" s="98">
        <v>6.0</v>
      </c>
      <c r="K729" s="98">
        <v>123.0</v>
      </c>
      <c r="L729" s="189">
        <v>0.0359</v>
      </c>
    </row>
    <row r="730" ht="22.5" customHeight="1">
      <c r="A730" s="187" t="s">
        <v>60</v>
      </c>
      <c r="B730" s="188">
        <v>47102.0</v>
      </c>
      <c r="C730" s="187">
        <v>430.0</v>
      </c>
      <c r="D730" s="187" t="s">
        <v>106</v>
      </c>
      <c r="E730" s="98">
        <v>172.25</v>
      </c>
      <c r="F730" s="98">
        <v>174.73</v>
      </c>
      <c r="G730" s="98">
        <v>177.2</v>
      </c>
      <c r="H730" s="189">
        <v>0.5579</v>
      </c>
      <c r="I730" s="98">
        <v>0.7245</v>
      </c>
      <c r="J730" s="98">
        <v>10.0</v>
      </c>
      <c r="K730" s="98">
        <v>183.0</v>
      </c>
      <c r="L730" s="189">
        <v>0.0129</v>
      </c>
    </row>
    <row r="731" ht="22.5" customHeight="1">
      <c r="A731" s="187" t="s">
        <v>60</v>
      </c>
      <c r="B731" s="188">
        <v>47102.0</v>
      </c>
      <c r="C731" s="187">
        <v>440.0</v>
      </c>
      <c r="D731" s="187" t="s">
        <v>106</v>
      </c>
      <c r="E731" s="98">
        <v>168.5</v>
      </c>
      <c r="F731" s="98">
        <v>170.85</v>
      </c>
      <c r="G731" s="98">
        <v>173.2</v>
      </c>
      <c r="H731" s="189">
        <v>0.5593</v>
      </c>
      <c r="I731" s="98">
        <v>0.7167</v>
      </c>
      <c r="J731" s="98">
        <v>12.0</v>
      </c>
      <c r="K731" s="98">
        <v>132.0</v>
      </c>
      <c r="L731" s="189">
        <v>-0.01</v>
      </c>
    </row>
    <row r="732" ht="22.5" customHeight="1">
      <c r="A732" s="187" t="s">
        <v>60</v>
      </c>
      <c r="B732" s="188">
        <v>47102.0</v>
      </c>
      <c r="C732" s="187">
        <v>450.0</v>
      </c>
      <c r="D732" s="187" t="s">
        <v>106</v>
      </c>
      <c r="E732" s="98">
        <v>167.0</v>
      </c>
      <c r="F732" s="98">
        <v>168.73</v>
      </c>
      <c r="G732" s="98">
        <v>170.45</v>
      </c>
      <c r="H732" s="189">
        <v>0.5550999999999999</v>
      </c>
      <c r="I732" s="98">
        <v>0.7076</v>
      </c>
      <c r="J732" s="98">
        <v>166.0</v>
      </c>
      <c r="K732" s="98">
        <v>690.0</v>
      </c>
      <c r="L732" s="189">
        <v>-0.033</v>
      </c>
    </row>
    <row r="733" ht="22.5" customHeight="1">
      <c r="A733" s="187" t="s">
        <v>60</v>
      </c>
      <c r="B733" s="188">
        <v>47102.0</v>
      </c>
      <c r="C733" s="187">
        <v>460.0</v>
      </c>
      <c r="D733" s="187" t="s">
        <v>106</v>
      </c>
      <c r="E733" s="98">
        <v>159.85</v>
      </c>
      <c r="F733" s="98">
        <v>164.2</v>
      </c>
      <c r="G733" s="98">
        <v>168.55</v>
      </c>
      <c r="H733" s="189">
        <v>0.5533</v>
      </c>
      <c r="I733" s="98">
        <v>0.6991</v>
      </c>
      <c r="J733" s="98">
        <v>80.0</v>
      </c>
      <c r="K733" s="98">
        <v>73.0</v>
      </c>
      <c r="L733" s="189">
        <v>-0.0559</v>
      </c>
    </row>
    <row r="734" ht="22.5" customHeight="1">
      <c r="A734" s="187" t="s">
        <v>60</v>
      </c>
      <c r="B734" s="188">
        <v>47102.0</v>
      </c>
      <c r="C734" s="187">
        <v>470.0</v>
      </c>
      <c r="D734" s="187" t="s">
        <v>106</v>
      </c>
      <c r="E734" s="98">
        <v>159.45</v>
      </c>
      <c r="F734" s="98">
        <v>161.15</v>
      </c>
      <c r="G734" s="98">
        <v>162.85</v>
      </c>
      <c r="H734" s="189">
        <v>0.5595</v>
      </c>
      <c r="I734" s="98">
        <v>0.6928</v>
      </c>
      <c r="J734" s="98">
        <v>9.0</v>
      </c>
      <c r="K734" s="98">
        <v>71.0</v>
      </c>
      <c r="L734" s="189">
        <v>-0.0789</v>
      </c>
    </row>
    <row r="735" ht="22.5" customHeight="1">
      <c r="A735" s="187" t="s">
        <v>60</v>
      </c>
      <c r="B735" s="188">
        <v>47102.0</v>
      </c>
      <c r="C735" s="187">
        <v>480.0</v>
      </c>
      <c r="D735" s="187" t="s">
        <v>106</v>
      </c>
      <c r="E735" s="98">
        <v>156.5</v>
      </c>
      <c r="F735" s="98">
        <v>158.95</v>
      </c>
      <c r="G735" s="98">
        <v>161.4</v>
      </c>
      <c r="H735" s="189">
        <v>0.5596</v>
      </c>
      <c r="I735" s="98">
        <v>0.685</v>
      </c>
      <c r="J735" s="98">
        <v>29.0</v>
      </c>
      <c r="K735" s="98">
        <v>131.0</v>
      </c>
      <c r="L735" s="189">
        <v>-0.10189999999999999</v>
      </c>
    </row>
    <row r="736" ht="22.5" customHeight="1">
      <c r="A736" s="187" t="s">
        <v>60</v>
      </c>
      <c r="B736" s="188">
        <v>47102.0</v>
      </c>
      <c r="C736" s="187">
        <v>490.0</v>
      </c>
      <c r="D736" s="187" t="s">
        <v>106</v>
      </c>
      <c r="E736" s="98">
        <v>153.6</v>
      </c>
      <c r="F736" s="98">
        <v>156.75</v>
      </c>
      <c r="G736" s="98">
        <v>159.9</v>
      </c>
      <c r="H736" s="189">
        <v>0.5539000000000001</v>
      </c>
      <c r="I736" s="98">
        <v>0.6755</v>
      </c>
      <c r="J736" s="98">
        <v>3.0</v>
      </c>
      <c r="K736" s="98">
        <v>91.0</v>
      </c>
      <c r="L736" s="189">
        <v>-0.12480000000000001</v>
      </c>
    </row>
    <row r="737" ht="22.5" customHeight="1">
      <c r="A737" s="187" t="s">
        <v>60</v>
      </c>
      <c r="B737" s="188">
        <v>47102.0</v>
      </c>
      <c r="C737" s="187">
        <v>500.0</v>
      </c>
      <c r="D737" s="187" t="s">
        <v>106</v>
      </c>
      <c r="E737" s="98">
        <v>150.75</v>
      </c>
      <c r="F737" s="98">
        <v>152.93</v>
      </c>
      <c r="G737" s="98">
        <v>155.1</v>
      </c>
      <c r="H737" s="189">
        <v>0.5545</v>
      </c>
      <c r="I737" s="98">
        <v>0.6679</v>
      </c>
      <c r="J737" s="98">
        <v>30.0</v>
      </c>
      <c r="K737" s="98">
        <v>1208.0</v>
      </c>
      <c r="L737" s="189">
        <v>-0.1478</v>
      </c>
    </row>
    <row r="738" ht="22.5" customHeight="1">
      <c r="A738" s="187" t="s">
        <v>60</v>
      </c>
      <c r="B738" s="188">
        <v>47102.0</v>
      </c>
      <c r="C738" s="187">
        <v>510.0</v>
      </c>
      <c r="D738" s="187" t="s">
        <v>106</v>
      </c>
      <c r="E738" s="98">
        <v>148.25</v>
      </c>
      <c r="F738" s="98">
        <v>150.58</v>
      </c>
      <c r="G738" s="98">
        <v>152.9</v>
      </c>
      <c r="H738" s="189">
        <v>0.5619</v>
      </c>
      <c r="I738" s="98">
        <v>0.6628</v>
      </c>
      <c r="J738" s="98">
        <v>10.0</v>
      </c>
      <c r="K738" s="98">
        <v>26.0</v>
      </c>
      <c r="L738" s="189">
        <v>-0.1707</v>
      </c>
    </row>
    <row r="739" ht="22.5" customHeight="1">
      <c r="A739" s="187" t="s">
        <v>60</v>
      </c>
      <c r="B739" s="188">
        <v>47102.0</v>
      </c>
      <c r="C739" s="187">
        <v>520.0</v>
      </c>
      <c r="D739" s="187" t="s">
        <v>106</v>
      </c>
      <c r="E739" s="98">
        <v>145.35</v>
      </c>
      <c r="F739" s="98">
        <v>148.23</v>
      </c>
      <c r="G739" s="98">
        <v>151.1</v>
      </c>
      <c r="H739" s="189">
        <v>0.5672</v>
      </c>
      <c r="I739" s="98">
        <v>0.6573</v>
      </c>
      <c r="J739" s="98">
        <v>1.0</v>
      </c>
      <c r="K739" s="98">
        <v>81.0</v>
      </c>
      <c r="L739" s="189">
        <v>-0.1937</v>
      </c>
    </row>
    <row r="740" ht="22.5" customHeight="1">
      <c r="A740" s="187" t="s">
        <v>60</v>
      </c>
      <c r="B740" s="188">
        <v>47102.0</v>
      </c>
      <c r="C740" s="187">
        <v>530.0</v>
      </c>
      <c r="D740" s="187" t="s">
        <v>106</v>
      </c>
      <c r="E740" s="98">
        <v>142.8</v>
      </c>
      <c r="F740" s="98">
        <v>145.9</v>
      </c>
      <c r="G740" s="98">
        <v>149.0</v>
      </c>
      <c r="H740" s="189">
        <v>0.5579999999999999</v>
      </c>
      <c r="I740" s="98">
        <v>0.6465</v>
      </c>
      <c r="J740" s="98">
        <v>2.0</v>
      </c>
      <c r="K740" s="98">
        <v>59.0</v>
      </c>
      <c r="L740" s="189">
        <v>-0.21660000000000001</v>
      </c>
    </row>
    <row r="741" ht="22.5" customHeight="1">
      <c r="A741" s="187" t="s">
        <v>60</v>
      </c>
      <c r="B741" s="188">
        <v>47102.0</v>
      </c>
      <c r="C741" s="187">
        <v>540.0</v>
      </c>
      <c r="D741" s="187" t="s">
        <v>106</v>
      </c>
      <c r="E741" s="98">
        <v>140.25</v>
      </c>
      <c r="F741" s="98">
        <v>143.35</v>
      </c>
      <c r="G741" s="98">
        <v>146.45</v>
      </c>
      <c r="H741" s="189">
        <v>0.5615</v>
      </c>
      <c r="I741" s="98">
        <v>0.6405</v>
      </c>
      <c r="J741" s="98">
        <v>4.0</v>
      </c>
      <c r="K741" s="98">
        <v>58.0</v>
      </c>
      <c r="L741" s="189">
        <v>-0.2396</v>
      </c>
    </row>
    <row r="742" ht="22.5" customHeight="1">
      <c r="A742" s="187" t="s">
        <v>60</v>
      </c>
      <c r="B742" s="188">
        <v>47102.0</v>
      </c>
      <c r="C742" s="187">
        <v>550.0</v>
      </c>
      <c r="D742" s="187" t="s">
        <v>106</v>
      </c>
      <c r="E742" s="98">
        <v>137.85</v>
      </c>
      <c r="F742" s="98">
        <v>140.9</v>
      </c>
      <c r="G742" s="98">
        <v>143.95</v>
      </c>
      <c r="H742" s="189">
        <v>0.561</v>
      </c>
      <c r="I742" s="98">
        <v>0.6331</v>
      </c>
      <c r="J742" s="98">
        <v>23.0</v>
      </c>
      <c r="K742" s="98">
        <v>88.0</v>
      </c>
      <c r="L742" s="189">
        <v>-0.2625</v>
      </c>
    </row>
    <row r="743" ht="22.5" customHeight="1">
      <c r="A743" s="187" t="s">
        <v>60</v>
      </c>
      <c r="B743" s="188">
        <v>47102.0</v>
      </c>
      <c r="C743" s="187">
        <v>560.0</v>
      </c>
      <c r="D743" s="187" t="s">
        <v>106</v>
      </c>
      <c r="E743" s="98">
        <v>135.45</v>
      </c>
      <c r="F743" s="98">
        <v>138.5</v>
      </c>
      <c r="G743" s="98">
        <v>141.55</v>
      </c>
      <c r="H743" s="189">
        <v>0.5599000000000001</v>
      </c>
      <c r="I743" s="98">
        <v>0.6255</v>
      </c>
      <c r="J743" s="98">
        <v>3.0</v>
      </c>
      <c r="K743" s="98">
        <v>8.0</v>
      </c>
      <c r="L743" s="189">
        <v>-0.28550000000000003</v>
      </c>
    </row>
    <row r="744" ht="22.5" customHeight="1">
      <c r="A744" s="187" t="s">
        <v>60</v>
      </c>
      <c r="B744" s="188">
        <v>47102.0</v>
      </c>
      <c r="C744" s="187">
        <v>570.0</v>
      </c>
      <c r="D744" s="187" t="s">
        <v>106</v>
      </c>
      <c r="E744" s="98">
        <v>133.15</v>
      </c>
      <c r="F744" s="98">
        <v>136.18</v>
      </c>
      <c r="G744" s="98">
        <v>139.2</v>
      </c>
      <c r="H744" s="189">
        <v>0.561</v>
      </c>
      <c r="I744" s="98">
        <v>0.6189</v>
      </c>
      <c r="J744" s="98">
        <v>28.0</v>
      </c>
      <c r="K744" s="98">
        <v>80.0</v>
      </c>
      <c r="L744" s="189">
        <v>-0.3084</v>
      </c>
    </row>
    <row r="745" ht="22.5" customHeight="1">
      <c r="A745" s="187" t="s">
        <v>60</v>
      </c>
      <c r="B745" s="188">
        <v>47102.0</v>
      </c>
      <c r="C745" s="187">
        <v>580.0</v>
      </c>
      <c r="D745" s="187" t="s">
        <v>106</v>
      </c>
      <c r="E745" s="98">
        <v>130.75</v>
      </c>
      <c r="F745" s="98">
        <v>133.93</v>
      </c>
      <c r="G745" s="98">
        <v>137.1</v>
      </c>
      <c r="H745" s="189">
        <v>0.5583</v>
      </c>
      <c r="I745" s="98">
        <v>0.6107</v>
      </c>
      <c r="J745" s="98">
        <v>0.0</v>
      </c>
      <c r="K745" s="98">
        <v>49.0</v>
      </c>
      <c r="L745" s="189">
        <v>-0.33140000000000003</v>
      </c>
    </row>
    <row r="746" ht="22.5" customHeight="1">
      <c r="A746" s="187" t="s">
        <v>60</v>
      </c>
      <c r="B746" s="188">
        <v>47102.0</v>
      </c>
      <c r="C746" s="187">
        <v>590.0</v>
      </c>
      <c r="D746" s="187" t="s">
        <v>106</v>
      </c>
      <c r="E746" s="98">
        <v>128.55</v>
      </c>
      <c r="F746" s="98">
        <v>131.73</v>
      </c>
      <c r="G746" s="98">
        <v>134.9</v>
      </c>
      <c r="H746" s="189">
        <v>0.5584</v>
      </c>
      <c r="I746" s="98">
        <v>0.6038</v>
      </c>
      <c r="J746" s="98">
        <v>0.0</v>
      </c>
      <c r="K746" s="98">
        <v>14.0</v>
      </c>
      <c r="L746" s="189">
        <v>-0.3544</v>
      </c>
    </row>
    <row r="747" ht="22.5" customHeight="1">
      <c r="A747" s="187" t="s">
        <v>60</v>
      </c>
      <c r="B747" s="188">
        <v>47102.0</v>
      </c>
      <c r="C747" s="187">
        <v>600.0</v>
      </c>
      <c r="D747" s="187" t="s">
        <v>106</v>
      </c>
      <c r="E747" s="98">
        <v>126.9</v>
      </c>
      <c r="F747" s="98">
        <v>129.0</v>
      </c>
      <c r="G747" s="98">
        <v>131.1</v>
      </c>
      <c r="H747" s="189">
        <v>0.5557</v>
      </c>
      <c r="I747" s="98">
        <v>0.5957</v>
      </c>
      <c r="J747" s="98">
        <v>37.0</v>
      </c>
      <c r="K747" s="98">
        <v>361.0</v>
      </c>
      <c r="L747" s="189">
        <v>-0.37729999999999997</v>
      </c>
    </row>
    <row r="748" ht="22.5" customHeight="1">
      <c r="A748" s="187" t="s">
        <v>60</v>
      </c>
      <c r="B748" s="188">
        <v>47102.0</v>
      </c>
      <c r="C748" s="187">
        <v>610.0</v>
      </c>
      <c r="D748" s="187" t="s">
        <v>106</v>
      </c>
      <c r="E748" s="98">
        <v>125.0</v>
      </c>
      <c r="F748" s="98">
        <v>126.8</v>
      </c>
      <c r="G748" s="98">
        <v>128.6</v>
      </c>
      <c r="H748" s="189">
        <v>0.5564</v>
      </c>
      <c r="I748" s="98">
        <v>0.5892</v>
      </c>
      <c r="J748" s="98">
        <v>0.0</v>
      </c>
      <c r="K748" s="98">
        <v>27.0</v>
      </c>
      <c r="L748" s="189">
        <v>-0.4003</v>
      </c>
    </row>
    <row r="749" ht="22.5" customHeight="1">
      <c r="A749" s="187" t="s">
        <v>60</v>
      </c>
      <c r="B749" s="188">
        <v>47102.0</v>
      </c>
      <c r="C749" s="187">
        <v>620.0</v>
      </c>
      <c r="D749" s="187" t="s">
        <v>106</v>
      </c>
      <c r="E749" s="98">
        <v>122.75</v>
      </c>
      <c r="F749" s="98">
        <v>124.65</v>
      </c>
      <c r="G749" s="98">
        <v>126.55</v>
      </c>
      <c r="H749" s="189">
        <v>0.5562</v>
      </c>
      <c r="I749" s="98">
        <v>0.5824</v>
      </c>
      <c r="J749" s="98">
        <v>0.0</v>
      </c>
      <c r="K749" s="98">
        <v>9.0</v>
      </c>
      <c r="L749" s="189">
        <v>-0.4232</v>
      </c>
    </row>
    <row r="750" ht="22.5" customHeight="1">
      <c r="A750" s="187" t="s">
        <v>60</v>
      </c>
      <c r="B750" s="188">
        <v>47102.0</v>
      </c>
      <c r="C750" s="187">
        <v>630.0</v>
      </c>
      <c r="D750" s="187" t="s">
        <v>106</v>
      </c>
      <c r="E750" s="98">
        <v>120.75</v>
      </c>
      <c r="F750" s="98">
        <v>122.65</v>
      </c>
      <c r="G750" s="98">
        <v>124.55</v>
      </c>
      <c r="H750" s="189">
        <v>0.5564</v>
      </c>
      <c r="I750" s="98">
        <v>0.5759</v>
      </c>
      <c r="J750" s="98">
        <v>0.0</v>
      </c>
      <c r="K750" s="98">
        <v>11.0</v>
      </c>
      <c r="L750" s="189">
        <v>-0.4462</v>
      </c>
    </row>
    <row r="751" ht="22.5" customHeight="1">
      <c r="A751" s="187" t="s">
        <v>60</v>
      </c>
      <c r="B751" s="188">
        <v>47102.0</v>
      </c>
      <c r="C751" s="187">
        <v>640.0</v>
      </c>
      <c r="D751" s="187" t="s">
        <v>106</v>
      </c>
      <c r="E751" s="98">
        <v>119.1</v>
      </c>
      <c r="F751" s="98">
        <v>120.85</v>
      </c>
      <c r="G751" s="98">
        <v>122.6</v>
      </c>
      <c r="H751" s="189">
        <v>0.5571</v>
      </c>
      <c r="I751" s="98">
        <v>0.5698</v>
      </c>
      <c r="J751" s="98">
        <v>0.0</v>
      </c>
      <c r="K751" s="98">
        <v>108.0</v>
      </c>
      <c r="L751" s="189">
        <v>-0.46909999999999996</v>
      </c>
    </row>
    <row r="752" ht="22.5" customHeight="1">
      <c r="A752" s="187" t="s">
        <v>60</v>
      </c>
      <c r="B752" s="188">
        <v>47102.0</v>
      </c>
      <c r="C752" s="187">
        <v>650.0</v>
      </c>
      <c r="D752" s="187" t="s">
        <v>106</v>
      </c>
      <c r="E752" s="98">
        <v>116.9</v>
      </c>
      <c r="F752" s="98">
        <v>118.7</v>
      </c>
      <c r="G752" s="98">
        <v>120.5</v>
      </c>
      <c r="H752" s="189">
        <v>0.5573</v>
      </c>
      <c r="I752" s="98">
        <v>0.5634</v>
      </c>
      <c r="J752" s="98">
        <v>6.0</v>
      </c>
      <c r="K752" s="98">
        <v>224.0</v>
      </c>
      <c r="L752" s="189">
        <v>-0.4921</v>
      </c>
    </row>
    <row r="753" ht="22.5" customHeight="1">
      <c r="A753" s="187" t="s">
        <v>60</v>
      </c>
      <c r="B753" s="188">
        <v>47102.0</v>
      </c>
      <c r="C753" s="187">
        <v>660.0</v>
      </c>
      <c r="D753" s="187" t="s">
        <v>106</v>
      </c>
      <c r="E753" s="98">
        <v>115.05</v>
      </c>
      <c r="F753" s="98">
        <v>116.95</v>
      </c>
      <c r="G753" s="98">
        <v>118.85</v>
      </c>
      <c r="H753" s="189">
        <v>0.5571</v>
      </c>
      <c r="I753" s="98">
        <v>0.5569</v>
      </c>
      <c r="J753" s="98">
        <v>0.0</v>
      </c>
      <c r="K753" s="98">
        <v>14.0</v>
      </c>
      <c r="L753" s="189">
        <v>-0.515</v>
      </c>
    </row>
    <row r="754" ht="22.5" customHeight="1">
      <c r="A754" s="187" t="s">
        <v>60</v>
      </c>
      <c r="B754" s="188">
        <v>47102.0</v>
      </c>
      <c r="C754" s="187">
        <v>670.0</v>
      </c>
      <c r="D754" s="187" t="s">
        <v>106</v>
      </c>
      <c r="E754" s="98">
        <v>113.25</v>
      </c>
      <c r="F754" s="98">
        <v>115.15</v>
      </c>
      <c r="G754" s="98">
        <v>117.05</v>
      </c>
      <c r="H754" s="189">
        <v>0.5574</v>
      </c>
      <c r="I754" s="98">
        <v>0.5508</v>
      </c>
      <c r="J754" s="98">
        <v>0.0</v>
      </c>
      <c r="K754" s="98">
        <v>24.0</v>
      </c>
      <c r="L754" s="189">
        <v>-0.5379999999999999</v>
      </c>
    </row>
    <row r="755" ht="22.5" customHeight="1">
      <c r="A755" s="187" t="s">
        <v>60</v>
      </c>
      <c r="B755" s="188">
        <v>47102.0</v>
      </c>
      <c r="C755" s="187">
        <v>680.0</v>
      </c>
      <c r="D755" s="187" t="s">
        <v>106</v>
      </c>
      <c r="E755" s="98">
        <v>111.5</v>
      </c>
      <c r="F755" s="98">
        <v>113.4</v>
      </c>
      <c r="G755" s="98">
        <v>115.3</v>
      </c>
      <c r="H755" s="189">
        <v>0.5602</v>
      </c>
      <c r="I755" s="98">
        <v>0.5463</v>
      </c>
      <c r="J755" s="98">
        <v>1.0</v>
      </c>
      <c r="K755" s="98">
        <v>75.0</v>
      </c>
      <c r="L755" s="189">
        <v>-0.561</v>
      </c>
    </row>
    <row r="756" ht="22.5" customHeight="1">
      <c r="A756" s="187" t="s">
        <v>60</v>
      </c>
      <c r="B756" s="188">
        <v>47102.0</v>
      </c>
      <c r="C756" s="187">
        <v>690.0</v>
      </c>
      <c r="D756" s="187" t="s">
        <v>106</v>
      </c>
      <c r="E756" s="98">
        <v>109.75</v>
      </c>
      <c r="F756" s="98">
        <v>111.68</v>
      </c>
      <c r="G756" s="98">
        <v>113.6</v>
      </c>
      <c r="H756" s="189">
        <v>0.5579</v>
      </c>
      <c r="I756" s="98">
        <v>0.5388</v>
      </c>
      <c r="J756" s="98">
        <v>0.0</v>
      </c>
      <c r="K756" s="98">
        <v>49.0</v>
      </c>
      <c r="L756" s="189">
        <v>-0.5839</v>
      </c>
    </row>
    <row r="757" ht="22.5" customHeight="1">
      <c r="A757" s="187" t="s">
        <v>60</v>
      </c>
      <c r="B757" s="188">
        <v>47102.0</v>
      </c>
      <c r="C757" s="187">
        <v>700.0</v>
      </c>
      <c r="D757" s="187" t="s">
        <v>106</v>
      </c>
      <c r="E757" s="98">
        <v>108.1</v>
      </c>
      <c r="F757" s="98">
        <v>110.0</v>
      </c>
      <c r="G757" s="98">
        <v>111.9</v>
      </c>
      <c r="H757" s="189">
        <v>0.5579</v>
      </c>
      <c r="I757" s="98">
        <v>0.5328</v>
      </c>
      <c r="J757" s="98">
        <v>69.0</v>
      </c>
      <c r="K757" s="98">
        <v>631.0</v>
      </c>
      <c r="L757" s="189">
        <v>-0.6069</v>
      </c>
    </row>
    <row r="758" ht="22.5" customHeight="1">
      <c r="A758" s="187" t="s">
        <v>60</v>
      </c>
      <c r="B758" s="188">
        <v>47102.0</v>
      </c>
      <c r="C758" s="187">
        <v>710.0</v>
      </c>
      <c r="D758" s="187" t="s">
        <v>106</v>
      </c>
      <c r="E758" s="98">
        <v>106.45</v>
      </c>
      <c r="F758" s="98">
        <v>108.35</v>
      </c>
      <c r="G758" s="98">
        <v>110.25</v>
      </c>
      <c r="H758" s="189">
        <v>0.5585</v>
      </c>
      <c r="I758" s="98">
        <v>0.5272</v>
      </c>
      <c r="J758" s="98">
        <v>0.0</v>
      </c>
      <c r="K758" s="98">
        <v>30.0</v>
      </c>
      <c r="L758" s="189">
        <v>-0.6297999999999999</v>
      </c>
    </row>
    <row r="759" ht="22.5" customHeight="1">
      <c r="A759" s="187" t="s">
        <v>60</v>
      </c>
      <c r="B759" s="188">
        <v>47102.0</v>
      </c>
      <c r="C759" s="187">
        <v>720.0</v>
      </c>
      <c r="D759" s="187" t="s">
        <v>106</v>
      </c>
      <c r="E759" s="98">
        <v>104.85</v>
      </c>
      <c r="F759" s="98">
        <v>106.75</v>
      </c>
      <c r="G759" s="98">
        <v>108.65</v>
      </c>
      <c r="H759" s="189">
        <v>0.5588000000000001</v>
      </c>
      <c r="I759" s="98">
        <v>0.5215</v>
      </c>
      <c r="J759" s="98">
        <v>0.0</v>
      </c>
      <c r="K759" s="98">
        <v>11.0</v>
      </c>
      <c r="L759" s="189">
        <v>-0.6528</v>
      </c>
    </row>
    <row r="760" ht="22.5" customHeight="1">
      <c r="A760" s="187" t="s">
        <v>60</v>
      </c>
      <c r="B760" s="188">
        <v>47102.0</v>
      </c>
      <c r="C760" s="187">
        <v>730.0</v>
      </c>
      <c r="D760" s="187" t="s">
        <v>106</v>
      </c>
      <c r="E760" s="98">
        <v>103.3</v>
      </c>
      <c r="F760" s="98">
        <v>105.2</v>
      </c>
      <c r="G760" s="98">
        <v>107.1</v>
      </c>
      <c r="H760" s="189">
        <v>0.5590999999999999</v>
      </c>
      <c r="I760" s="98">
        <v>0.5159</v>
      </c>
      <c r="J760" s="98">
        <v>0.0</v>
      </c>
      <c r="K760" s="98">
        <v>5.0</v>
      </c>
      <c r="L760" s="189">
        <v>-0.6757</v>
      </c>
    </row>
    <row r="761" ht="22.5" customHeight="1">
      <c r="A761" s="187" t="s">
        <v>60</v>
      </c>
      <c r="B761" s="188">
        <v>47102.0</v>
      </c>
      <c r="C761" s="187">
        <v>740.0</v>
      </c>
      <c r="D761" s="187" t="s">
        <v>106</v>
      </c>
      <c r="E761" s="98">
        <v>102.0</v>
      </c>
      <c r="F761" s="98">
        <v>103.4</v>
      </c>
      <c r="G761" s="98">
        <v>104.8</v>
      </c>
      <c r="H761" s="189">
        <v>0.5585</v>
      </c>
      <c r="I761" s="98">
        <v>0.5098</v>
      </c>
      <c r="J761" s="98">
        <v>1.0</v>
      </c>
      <c r="K761" s="98">
        <v>29.0</v>
      </c>
      <c r="L761" s="189">
        <v>-0.6987000000000001</v>
      </c>
    </row>
    <row r="762" ht="22.5" customHeight="1">
      <c r="A762" s="187" t="s">
        <v>60</v>
      </c>
      <c r="B762" s="188">
        <v>47102.0</v>
      </c>
      <c r="C762" s="187">
        <v>750.0</v>
      </c>
      <c r="D762" s="187" t="s">
        <v>106</v>
      </c>
      <c r="E762" s="98">
        <v>100.3</v>
      </c>
      <c r="F762" s="98">
        <v>102.2</v>
      </c>
      <c r="G762" s="98">
        <v>104.1</v>
      </c>
      <c r="H762" s="189">
        <v>0.564</v>
      </c>
      <c r="I762" s="98">
        <v>0.5078</v>
      </c>
      <c r="J762" s="98">
        <v>3.0</v>
      </c>
      <c r="K762" s="98">
        <v>65.0</v>
      </c>
      <c r="L762" s="189">
        <v>-0.7216</v>
      </c>
    </row>
    <row r="763" ht="22.5" customHeight="1">
      <c r="A763" s="187" t="s">
        <v>60</v>
      </c>
      <c r="B763" s="188">
        <v>47102.0</v>
      </c>
      <c r="C763" s="187">
        <v>760.0</v>
      </c>
      <c r="D763" s="187" t="s">
        <v>106</v>
      </c>
      <c r="E763" s="98">
        <v>98.85</v>
      </c>
      <c r="F763" s="98">
        <v>100.75</v>
      </c>
      <c r="G763" s="98">
        <v>102.65</v>
      </c>
      <c r="H763" s="189">
        <v>0.5600999999999999</v>
      </c>
      <c r="I763" s="98">
        <v>0.4997</v>
      </c>
      <c r="J763" s="98">
        <v>2.0</v>
      </c>
      <c r="K763" s="98">
        <v>16.0</v>
      </c>
      <c r="L763" s="189">
        <v>-0.7445999999999999</v>
      </c>
    </row>
    <row r="764" ht="22.5" customHeight="1">
      <c r="A764" s="187" t="s">
        <v>60</v>
      </c>
      <c r="B764" s="188">
        <v>47102.0</v>
      </c>
      <c r="C764" s="187">
        <v>770.0</v>
      </c>
      <c r="D764" s="187" t="s">
        <v>106</v>
      </c>
      <c r="E764" s="98">
        <v>97.45</v>
      </c>
      <c r="F764" s="98">
        <v>98.7</v>
      </c>
      <c r="G764" s="98">
        <v>99.95</v>
      </c>
      <c r="H764" s="189">
        <v>0.5583</v>
      </c>
      <c r="I764" s="98">
        <v>0.493</v>
      </c>
      <c r="J764" s="98">
        <v>2.0</v>
      </c>
      <c r="K764" s="98">
        <v>15.0</v>
      </c>
      <c r="L764" s="189">
        <v>-0.7676000000000001</v>
      </c>
    </row>
    <row r="765" ht="22.5" customHeight="1">
      <c r="A765" s="187" t="s">
        <v>60</v>
      </c>
      <c r="B765" s="188">
        <v>47102.0</v>
      </c>
      <c r="C765" s="187">
        <v>780.0</v>
      </c>
      <c r="D765" s="187" t="s">
        <v>106</v>
      </c>
      <c r="E765" s="98">
        <v>96.05</v>
      </c>
      <c r="F765" s="98">
        <v>97.95</v>
      </c>
      <c r="G765" s="98">
        <v>99.85</v>
      </c>
      <c r="H765" s="189">
        <v>0.5609000000000001</v>
      </c>
      <c r="I765" s="98">
        <v>0.4893</v>
      </c>
      <c r="J765" s="98">
        <v>0.0</v>
      </c>
      <c r="K765" s="98">
        <v>9.0</v>
      </c>
      <c r="L765" s="189">
        <v>-0.7905</v>
      </c>
    </row>
    <row r="766" ht="22.5" customHeight="1">
      <c r="A766" s="187" t="s">
        <v>60</v>
      </c>
      <c r="B766" s="188">
        <v>47102.0</v>
      </c>
      <c r="C766" s="187">
        <v>790.0</v>
      </c>
      <c r="D766" s="187" t="s">
        <v>106</v>
      </c>
      <c r="E766" s="98">
        <v>94.7</v>
      </c>
      <c r="F766" s="98">
        <v>96.6</v>
      </c>
      <c r="G766" s="98">
        <v>98.5</v>
      </c>
      <c r="H766" s="189">
        <v>0.5675</v>
      </c>
      <c r="I766" s="98">
        <v>0.4887</v>
      </c>
      <c r="J766" s="98">
        <v>2.0</v>
      </c>
      <c r="K766" s="98">
        <v>6.0</v>
      </c>
      <c r="L766" s="189">
        <v>-0.8134999999999999</v>
      </c>
    </row>
    <row r="767" ht="22.5" customHeight="1">
      <c r="A767" s="187" t="s">
        <v>60</v>
      </c>
      <c r="B767" s="188">
        <v>47102.0</v>
      </c>
      <c r="C767" s="187">
        <v>800.0</v>
      </c>
      <c r="D767" s="187" t="s">
        <v>106</v>
      </c>
      <c r="E767" s="98">
        <v>94.5</v>
      </c>
      <c r="F767" s="98">
        <v>95.83</v>
      </c>
      <c r="G767" s="98">
        <v>97.15</v>
      </c>
      <c r="H767" s="189">
        <v>0.5617</v>
      </c>
      <c r="I767" s="98">
        <v>0.4793</v>
      </c>
      <c r="J767" s="98">
        <v>164.0</v>
      </c>
      <c r="K767" s="98">
        <v>383.0</v>
      </c>
      <c r="L767" s="189">
        <v>-0.8364</v>
      </c>
    </row>
    <row r="768" ht="22.5" customHeight="1">
      <c r="A768" s="187" t="s">
        <v>60</v>
      </c>
      <c r="B768" s="188">
        <v>47102.0</v>
      </c>
      <c r="C768" s="187">
        <v>810.0</v>
      </c>
      <c r="D768" s="187" t="s">
        <v>106</v>
      </c>
      <c r="E768" s="98">
        <v>92.1</v>
      </c>
      <c r="F768" s="98">
        <v>94.0</v>
      </c>
      <c r="G768" s="98">
        <v>95.9</v>
      </c>
      <c r="H768" s="189">
        <v>0.5668</v>
      </c>
      <c r="I768" s="98">
        <v>0.4778</v>
      </c>
      <c r="J768" s="98">
        <v>4.0</v>
      </c>
      <c r="K768" s="98">
        <v>9.0</v>
      </c>
      <c r="L768" s="189">
        <v>-0.8593999999999999</v>
      </c>
    </row>
    <row r="769" ht="22.5" customHeight="1">
      <c r="A769" s="187" t="s">
        <v>60</v>
      </c>
      <c r="B769" s="188">
        <v>47102.0</v>
      </c>
      <c r="C769" s="187">
        <v>820.0</v>
      </c>
      <c r="D769" s="187" t="s">
        <v>106</v>
      </c>
      <c r="E769" s="98">
        <v>90.8</v>
      </c>
      <c r="F769" s="98">
        <v>92.7</v>
      </c>
      <c r="G769" s="98">
        <v>94.6</v>
      </c>
      <c r="H769" s="189">
        <v>0.5640999999999999</v>
      </c>
      <c r="I769" s="98">
        <v>0.4708</v>
      </c>
      <c r="J769" s="98">
        <v>5.0</v>
      </c>
      <c r="K769" s="98">
        <v>22.0</v>
      </c>
      <c r="L769" s="189">
        <v>-0.8823000000000001</v>
      </c>
    </row>
    <row r="770" ht="22.5" customHeight="1">
      <c r="A770" s="187" t="s">
        <v>60</v>
      </c>
      <c r="B770" s="188">
        <v>47102.0</v>
      </c>
      <c r="C770" s="187">
        <v>830.0</v>
      </c>
      <c r="D770" s="187" t="s">
        <v>106</v>
      </c>
      <c r="E770" s="98">
        <v>89.6</v>
      </c>
      <c r="F770" s="98">
        <v>91.5</v>
      </c>
      <c r="G770" s="98">
        <v>93.4</v>
      </c>
      <c r="H770" s="189">
        <v>0.564</v>
      </c>
      <c r="I770" s="98">
        <v>0.4657</v>
      </c>
      <c r="J770" s="98">
        <v>7.0</v>
      </c>
      <c r="K770" s="98">
        <v>3.0</v>
      </c>
      <c r="L770" s="189">
        <v>-0.9053</v>
      </c>
    </row>
    <row r="771" ht="22.5" customHeight="1">
      <c r="A771" s="187" t="s">
        <v>60</v>
      </c>
      <c r="B771" s="188">
        <v>47102.0</v>
      </c>
      <c r="C771" s="187">
        <v>840.0</v>
      </c>
      <c r="D771" s="187" t="s">
        <v>106</v>
      </c>
      <c r="E771" s="98">
        <v>88.4</v>
      </c>
      <c r="F771" s="98">
        <v>90.28</v>
      </c>
      <c r="G771" s="98">
        <v>92.15</v>
      </c>
      <c r="H771" s="189">
        <v>0.5631</v>
      </c>
      <c r="I771" s="98">
        <v>0.4601</v>
      </c>
      <c r="J771" s="98">
        <v>0.0</v>
      </c>
      <c r="K771" s="98">
        <v>4.0</v>
      </c>
      <c r="L771" s="189">
        <v>-0.9281999999999999</v>
      </c>
    </row>
    <row r="772" ht="22.5" customHeight="1">
      <c r="A772" s="187" t="s">
        <v>60</v>
      </c>
      <c r="B772" s="188">
        <v>47102.0</v>
      </c>
      <c r="C772" s="187">
        <v>850.0</v>
      </c>
      <c r="D772" s="187" t="s">
        <v>106</v>
      </c>
      <c r="E772" s="98">
        <v>87.25</v>
      </c>
      <c r="F772" s="98">
        <v>89.13</v>
      </c>
      <c r="G772" s="98">
        <v>91.0</v>
      </c>
      <c r="H772" s="189">
        <v>0.5632</v>
      </c>
      <c r="I772" s="98">
        <v>0.4552</v>
      </c>
      <c r="J772" s="98">
        <v>2.0</v>
      </c>
      <c r="K772" s="98">
        <v>62.0</v>
      </c>
      <c r="L772" s="189">
        <v>-0.9512</v>
      </c>
    </row>
    <row r="773" ht="22.5" customHeight="1">
      <c r="A773" s="187" t="s">
        <v>60</v>
      </c>
      <c r="B773" s="188">
        <v>47102.0</v>
      </c>
      <c r="C773" s="187">
        <v>860.0</v>
      </c>
      <c r="D773" s="187" t="s">
        <v>106</v>
      </c>
      <c r="E773" s="98">
        <v>86.25</v>
      </c>
      <c r="F773" s="98">
        <v>88.03</v>
      </c>
      <c r="G773" s="98">
        <v>89.8</v>
      </c>
      <c r="H773" s="189">
        <v>0.5661999999999999</v>
      </c>
      <c r="I773" s="98">
        <v>0.4527</v>
      </c>
      <c r="J773" s="98">
        <v>171.0</v>
      </c>
      <c r="K773" s="98">
        <v>362.0</v>
      </c>
      <c r="L773" s="189">
        <v>-0.9742000000000001</v>
      </c>
    </row>
    <row r="774" ht="22.5" customHeight="1">
      <c r="A774" s="187" t="s">
        <v>60</v>
      </c>
      <c r="B774" s="188">
        <v>47102.0</v>
      </c>
      <c r="C774" s="187">
        <v>870.0</v>
      </c>
      <c r="D774" s="187" t="s">
        <v>106</v>
      </c>
      <c r="E774" s="98">
        <v>84.9</v>
      </c>
      <c r="F774" s="98">
        <v>86.2</v>
      </c>
      <c r="G774" s="98">
        <v>87.5</v>
      </c>
      <c r="H774" s="189">
        <v>0.5653</v>
      </c>
      <c r="I774" s="98">
        <v>0.4472</v>
      </c>
      <c r="J774" s="98">
        <v>87.0</v>
      </c>
      <c r="K774" s="98">
        <v>1057.0</v>
      </c>
      <c r="L774" s="189">
        <v>-0.9971</v>
      </c>
    </row>
    <row r="775" ht="22.5" customHeight="1">
      <c r="A775" s="187" t="s">
        <v>60</v>
      </c>
      <c r="B775" s="188">
        <v>47102.0</v>
      </c>
      <c r="C775" s="187">
        <v>5.0</v>
      </c>
      <c r="D775" s="187" t="s">
        <v>107</v>
      </c>
      <c r="E775" s="98">
        <v>0.05</v>
      </c>
      <c r="F775" s="98">
        <v>0.11</v>
      </c>
      <c r="G775" s="98">
        <v>0.16</v>
      </c>
      <c r="H775" s="189">
        <v>1.0678</v>
      </c>
      <c r="I775" s="98">
        <v>-3.0E-4</v>
      </c>
      <c r="J775" s="98">
        <v>1.0</v>
      </c>
      <c r="K775" s="98">
        <v>265.0</v>
      </c>
      <c r="L775" s="189">
        <v>-0.9884999999999999</v>
      </c>
    </row>
    <row r="776" ht="22.5" customHeight="1">
      <c r="A776" s="187" t="s">
        <v>60</v>
      </c>
      <c r="B776" s="188">
        <v>47102.0</v>
      </c>
      <c r="C776" s="187">
        <v>10.0</v>
      </c>
      <c r="D776" s="187" t="s">
        <v>107</v>
      </c>
      <c r="E776" s="98">
        <v>0.0</v>
      </c>
      <c r="F776" s="98">
        <v>0.1</v>
      </c>
      <c r="G776" s="98">
        <v>0.19</v>
      </c>
      <c r="H776" s="189">
        <v>0.9359999999999999</v>
      </c>
      <c r="I776" s="98">
        <v>-6.0E-4</v>
      </c>
      <c r="J776" s="98">
        <v>0.0</v>
      </c>
      <c r="K776" s="98">
        <v>2.0</v>
      </c>
      <c r="L776" s="189">
        <v>-0.977</v>
      </c>
    </row>
    <row r="777" ht="22.5" customHeight="1">
      <c r="A777" s="187" t="s">
        <v>60</v>
      </c>
      <c r="B777" s="188">
        <v>47102.0</v>
      </c>
      <c r="C777" s="187">
        <v>15.0</v>
      </c>
      <c r="D777" s="187" t="s">
        <v>107</v>
      </c>
      <c r="E777" s="98">
        <v>0.0</v>
      </c>
      <c r="F777" s="98">
        <v>0.5</v>
      </c>
      <c r="G777" s="98">
        <v>1.0</v>
      </c>
      <c r="H777" s="189">
        <v>1.0492</v>
      </c>
      <c r="I777" s="98">
        <v>-0.0023</v>
      </c>
      <c r="J777" s="98">
        <v>0.0</v>
      </c>
      <c r="K777" s="98">
        <v>14.0</v>
      </c>
      <c r="L777" s="189">
        <v>-0.9656</v>
      </c>
    </row>
    <row r="778" ht="22.5" customHeight="1">
      <c r="A778" s="187" t="s">
        <v>60</v>
      </c>
      <c r="B778" s="188">
        <v>47102.0</v>
      </c>
      <c r="C778" s="187">
        <v>20.0</v>
      </c>
      <c r="D778" s="187" t="s">
        <v>107</v>
      </c>
      <c r="E778" s="98">
        <v>0.21</v>
      </c>
      <c r="F778" s="98">
        <v>0.45</v>
      </c>
      <c r="G778" s="98">
        <v>0.7</v>
      </c>
      <c r="H778" s="189">
        <v>0.8361</v>
      </c>
      <c r="I778" s="98">
        <v>-0.0016</v>
      </c>
      <c r="J778" s="98">
        <v>0.0</v>
      </c>
      <c r="K778" s="98">
        <v>0.0</v>
      </c>
      <c r="L778" s="189">
        <v>-0.9541</v>
      </c>
    </row>
    <row r="779" ht="22.5" customHeight="1">
      <c r="A779" s="187" t="s">
        <v>60</v>
      </c>
      <c r="B779" s="188">
        <v>47102.0</v>
      </c>
      <c r="C779" s="187">
        <v>25.0</v>
      </c>
      <c r="D779" s="187" t="s">
        <v>107</v>
      </c>
      <c r="E779" s="98">
        <v>0.0</v>
      </c>
      <c r="F779" s="98">
        <v>0.35</v>
      </c>
      <c r="G779" s="98">
        <v>0.7</v>
      </c>
      <c r="H779" s="189">
        <v>0.8051</v>
      </c>
      <c r="I779" s="98">
        <v>-0.0022</v>
      </c>
      <c r="J779" s="98">
        <v>2.0</v>
      </c>
      <c r="K779" s="98">
        <v>6.0</v>
      </c>
      <c r="L779" s="189">
        <v>-0.9426000000000001</v>
      </c>
    </row>
    <row r="780" ht="22.5" customHeight="1">
      <c r="A780" s="187" t="s">
        <v>60</v>
      </c>
      <c r="B780" s="188">
        <v>47102.0</v>
      </c>
      <c r="C780" s="187">
        <v>30.0</v>
      </c>
      <c r="D780" s="187" t="s">
        <v>107</v>
      </c>
      <c r="E780" s="98">
        <v>0.0</v>
      </c>
      <c r="F780" s="98">
        <v>0.39</v>
      </c>
      <c r="G780" s="98">
        <v>0.78</v>
      </c>
      <c r="H780" s="189">
        <v>0.7714</v>
      </c>
      <c r="I780" s="98">
        <v>-0.0028</v>
      </c>
      <c r="J780" s="98">
        <v>2.0</v>
      </c>
      <c r="K780" s="98">
        <v>73.0</v>
      </c>
      <c r="L780" s="189">
        <v>-0.9311</v>
      </c>
    </row>
    <row r="781" ht="22.5" customHeight="1">
      <c r="A781" s="187" t="s">
        <v>60</v>
      </c>
      <c r="B781" s="188">
        <v>47102.0</v>
      </c>
      <c r="C781" s="187">
        <v>35.0</v>
      </c>
      <c r="D781" s="187" t="s">
        <v>107</v>
      </c>
      <c r="E781" s="98">
        <v>0.03</v>
      </c>
      <c r="F781" s="98">
        <v>0.49</v>
      </c>
      <c r="G781" s="98">
        <v>0.95</v>
      </c>
      <c r="H781" s="189">
        <v>0.7423000000000001</v>
      </c>
      <c r="I781" s="98">
        <v>-0.0034</v>
      </c>
      <c r="J781" s="98">
        <v>2.0</v>
      </c>
      <c r="K781" s="98">
        <v>54.0</v>
      </c>
      <c r="L781" s="189">
        <v>-0.9197</v>
      </c>
    </row>
    <row r="782" ht="22.5" customHeight="1">
      <c r="A782" s="187" t="s">
        <v>60</v>
      </c>
      <c r="B782" s="188">
        <v>47102.0</v>
      </c>
      <c r="C782" s="187">
        <v>40.0</v>
      </c>
      <c r="D782" s="187" t="s">
        <v>107</v>
      </c>
      <c r="E782" s="98">
        <v>0.08</v>
      </c>
      <c r="F782" s="98">
        <v>0.65</v>
      </c>
      <c r="G782" s="98">
        <v>1.22</v>
      </c>
      <c r="H782" s="189">
        <v>0.7315999999999999</v>
      </c>
      <c r="I782" s="98">
        <v>-0.0044</v>
      </c>
      <c r="J782" s="98">
        <v>1.0</v>
      </c>
      <c r="K782" s="98">
        <v>5.0</v>
      </c>
      <c r="L782" s="189">
        <v>-0.9081999999999999</v>
      </c>
    </row>
    <row r="783" ht="22.5" customHeight="1">
      <c r="A783" s="187" t="s">
        <v>60</v>
      </c>
      <c r="B783" s="188">
        <v>47102.0</v>
      </c>
      <c r="C783" s="187">
        <v>45.0</v>
      </c>
      <c r="D783" s="187" t="s">
        <v>107</v>
      </c>
      <c r="E783" s="98">
        <v>0.32</v>
      </c>
      <c r="F783" s="98">
        <v>0.96</v>
      </c>
      <c r="G783" s="98">
        <v>1.6</v>
      </c>
      <c r="H783" s="189">
        <v>0.7299</v>
      </c>
      <c r="I783" s="98">
        <v>-0.0058</v>
      </c>
      <c r="J783" s="98">
        <v>1.0</v>
      </c>
      <c r="K783" s="98">
        <v>1.0</v>
      </c>
      <c r="L783" s="189">
        <v>-0.8967</v>
      </c>
    </row>
    <row r="784" ht="22.5" customHeight="1">
      <c r="A784" s="187" t="s">
        <v>60</v>
      </c>
      <c r="B784" s="188">
        <v>47102.0</v>
      </c>
      <c r="C784" s="187">
        <v>50.0</v>
      </c>
      <c r="D784" s="187" t="s">
        <v>107</v>
      </c>
      <c r="E784" s="98">
        <v>1.24</v>
      </c>
      <c r="F784" s="98">
        <v>1.57</v>
      </c>
      <c r="G784" s="98">
        <v>1.9</v>
      </c>
      <c r="H784" s="189">
        <v>0.71</v>
      </c>
      <c r="I784" s="98">
        <v>-0.0067</v>
      </c>
      <c r="J784" s="98">
        <v>1.0</v>
      </c>
      <c r="K784" s="98">
        <v>285.0</v>
      </c>
      <c r="L784" s="189">
        <v>-0.8852</v>
      </c>
    </row>
    <row r="785" ht="22.5" customHeight="1">
      <c r="A785" s="187" t="s">
        <v>60</v>
      </c>
      <c r="B785" s="188">
        <v>47102.0</v>
      </c>
      <c r="C785" s="187">
        <v>60.0</v>
      </c>
      <c r="D785" s="187" t="s">
        <v>107</v>
      </c>
      <c r="E785" s="98">
        <v>1.77</v>
      </c>
      <c r="F785" s="98">
        <v>2.39</v>
      </c>
      <c r="G785" s="98">
        <v>3.0</v>
      </c>
      <c r="H785" s="189">
        <v>0.6989</v>
      </c>
      <c r="I785" s="98">
        <v>-0.0096</v>
      </c>
      <c r="J785" s="98">
        <v>50.0</v>
      </c>
      <c r="K785" s="98">
        <v>41.0</v>
      </c>
      <c r="L785" s="189">
        <v>-0.8623000000000001</v>
      </c>
    </row>
    <row r="786" ht="22.5" customHeight="1">
      <c r="A786" s="187" t="s">
        <v>60</v>
      </c>
      <c r="B786" s="188">
        <v>47102.0</v>
      </c>
      <c r="C786" s="187">
        <v>70.0</v>
      </c>
      <c r="D786" s="187" t="s">
        <v>107</v>
      </c>
      <c r="E786" s="98">
        <v>2.58</v>
      </c>
      <c r="F786" s="98">
        <v>3.29</v>
      </c>
      <c r="G786" s="98">
        <v>4.0</v>
      </c>
      <c r="H786" s="189">
        <v>0.6756</v>
      </c>
      <c r="I786" s="98">
        <v>-0.0123</v>
      </c>
      <c r="J786" s="98">
        <v>0.0</v>
      </c>
      <c r="K786" s="98">
        <v>24.0</v>
      </c>
      <c r="L786" s="189">
        <v>-0.8393</v>
      </c>
    </row>
    <row r="787" ht="22.5" customHeight="1">
      <c r="A787" s="187" t="s">
        <v>60</v>
      </c>
      <c r="B787" s="188">
        <v>47102.0</v>
      </c>
      <c r="C787" s="187">
        <v>80.0</v>
      </c>
      <c r="D787" s="187" t="s">
        <v>107</v>
      </c>
      <c r="E787" s="98">
        <v>3.45</v>
      </c>
      <c r="F787" s="98">
        <v>4.23</v>
      </c>
      <c r="G787" s="98">
        <v>5.0</v>
      </c>
      <c r="H787" s="189">
        <v>0.6614</v>
      </c>
      <c r="I787" s="98">
        <v>-0.0157</v>
      </c>
      <c r="J787" s="98">
        <v>0.0</v>
      </c>
      <c r="K787" s="98">
        <v>55.0</v>
      </c>
      <c r="L787" s="189">
        <v>-0.8164</v>
      </c>
    </row>
    <row r="788" ht="22.5" customHeight="1">
      <c r="A788" s="187" t="s">
        <v>60</v>
      </c>
      <c r="B788" s="188">
        <v>47102.0</v>
      </c>
      <c r="C788" s="187">
        <v>90.0</v>
      </c>
      <c r="D788" s="187" t="s">
        <v>107</v>
      </c>
      <c r="E788" s="98">
        <v>4.5</v>
      </c>
      <c r="F788" s="98">
        <v>4.88</v>
      </c>
      <c r="G788" s="98">
        <v>5.25</v>
      </c>
      <c r="H788" s="189">
        <v>0.6451</v>
      </c>
      <c r="I788" s="98">
        <v>-0.0192</v>
      </c>
      <c r="J788" s="98">
        <v>2.0</v>
      </c>
      <c r="K788" s="98">
        <v>216.0</v>
      </c>
      <c r="L788" s="189">
        <v>-0.7934</v>
      </c>
    </row>
    <row r="789" ht="22.5" customHeight="1">
      <c r="A789" s="187" t="s">
        <v>60</v>
      </c>
      <c r="B789" s="188">
        <v>47102.0</v>
      </c>
      <c r="C789" s="187">
        <v>100.0</v>
      </c>
      <c r="D789" s="187" t="s">
        <v>107</v>
      </c>
      <c r="E789" s="98">
        <v>5.7</v>
      </c>
      <c r="F789" s="98">
        <v>6.18</v>
      </c>
      <c r="G789" s="98">
        <v>6.65</v>
      </c>
      <c r="H789" s="189">
        <v>0.635</v>
      </c>
      <c r="I789" s="98">
        <v>-0.0235</v>
      </c>
      <c r="J789" s="98">
        <v>15.0</v>
      </c>
      <c r="K789" s="98">
        <v>179.0</v>
      </c>
      <c r="L789" s="189">
        <v>-0.7704000000000001</v>
      </c>
    </row>
    <row r="790" ht="22.5" customHeight="1">
      <c r="A790" s="187" t="s">
        <v>60</v>
      </c>
      <c r="B790" s="188">
        <v>47102.0</v>
      </c>
      <c r="C790" s="187">
        <v>110.0</v>
      </c>
      <c r="D790" s="187" t="s">
        <v>107</v>
      </c>
      <c r="E790" s="98">
        <v>6.9</v>
      </c>
      <c r="F790" s="98">
        <v>7.3</v>
      </c>
      <c r="G790" s="98">
        <v>7.7</v>
      </c>
      <c r="H790" s="189">
        <v>0.6242</v>
      </c>
      <c r="I790" s="98">
        <v>-0.0279</v>
      </c>
      <c r="J790" s="98">
        <v>2.0</v>
      </c>
      <c r="K790" s="98">
        <v>189.0</v>
      </c>
      <c r="L790" s="189">
        <v>-0.7475</v>
      </c>
    </row>
    <row r="791" ht="22.5" customHeight="1">
      <c r="A791" s="187" t="s">
        <v>60</v>
      </c>
      <c r="B791" s="188">
        <v>47102.0</v>
      </c>
      <c r="C791" s="187">
        <v>120.0</v>
      </c>
      <c r="D791" s="187" t="s">
        <v>107</v>
      </c>
      <c r="E791" s="98">
        <v>8.3</v>
      </c>
      <c r="F791" s="98">
        <v>8.78</v>
      </c>
      <c r="G791" s="98">
        <v>9.25</v>
      </c>
      <c r="H791" s="189">
        <v>0.615</v>
      </c>
      <c r="I791" s="98">
        <v>-0.0328</v>
      </c>
      <c r="J791" s="98">
        <v>3.0</v>
      </c>
      <c r="K791" s="98">
        <v>163.0</v>
      </c>
      <c r="L791" s="189">
        <v>-0.7245</v>
      </c>
    </row>
    <row r="792" ht="22.5" customHeight="1">
      <c r="A792" s="187" t="s">
        <v>60</v>
      </c>
      <c r="B792" s="188">
        <v>47102.0</v>
      </c>
      <c r="C792" s="187">
        <v>130.0</v>
      </c>
      <c r="D792" s="187" t="s">
        <v>107</v>
      </c>
      <c r="E792" s="98">
        <v>9.8</v>
      </c>
      <c r="F792" s="98">
        <v>10.68</v>
      </c>
      <c r="G792" s="98">
        <v>11.55</v>
      </c>
      <c r="H792" s="189">
        <v>0.609</v>
      </c>
      <c r="I792" s="98">
        <v>-0.0383</v>
      </c>
      <c r="J792" s="98">
        <v>0.0</v>
      </c>
      <c r="K792" s="98">
        <v>77.0</v>
      </c>
      <c r="L792" s="189">
        <v>-0.7016</v>
      </c>
    </row>
    <row r="793" ht="22.5" customHeight="1">
      <c r="A793" s="187" t="s">
        <v>60</v>
      </c>
      <c r="B793" s="188">
        <v>47102.0</v>
      </c>
      <c r="C793" s="187">
        <v>140.0</v>
      </c>
      <c r="D793" s="187" t="s">
        <v>107</v>
      </c>
      <c r="E793" s="98">
        <v>11.5</v>
      </c>
      <c r="F793" s="98">
        <v>12.4</v>
      </c>
      <c r="G793" s="98">
        <v>13.3</v>
      </c>
      <c r="H793" s="189">
        <v>0.6013000000000001</v>
      </c>
      <c r="I793" s="98">
        <v>-0.0439</v>
      </c>
      <c r="J793" s="98">
        <v>1.0</v>
      </c>
      <c r="K793" s="98">
        <v>36.0</v>
      </c>
      <c r="L793" s="189">
        <v>-0.6786</v>
      </c>
    </row>
    <row r="794" ht="22.5" customHeight="1">
      <c r="A794" s="187" t="s">
        <v>60</v>
      </c>
      <c r="B794" s="188">
        <v>47102.0</v>
      </c>
      <c r="C794" s="187">
        <v>150.0</v>
      </c>
      <c r="D794" s="187" t="s">
        <v>107</v>
      </c>
      <c r="E794" s="98">
        <v>13.3</v>
      </c>
      <c r="F794" s="98">
        <v>14.1</v>
      </c>
      <c r="G794" s="98">
        <v>14.9</v>
      </c>
      <c r="H794" s="189">
        <v>0.5934</v>
      </c>
      <c r="I794" s="98">
        <v>-0.0498</v>
      </c>
      <c r="J794" s="98">
        <v>37.0</v>
      </c>
      <c r="K794" s="98">
        <v>263.0</v>
      </c>
      <c r="L794" s="189">
        <v>-0.6557</v>
      </c>
    </row>
    <row r="795" ht="22.5" customHeight="1">
      <c r="A795" s="187" t="s">
        <v>60</v>
      </c>
      <c r="B795" s="188">
        <v>47102.0</v>
      </c>
      <c r="C795" s="187">
        <v>160.0</v>
      </c>
      <c r="D795" s="187" t="s">
        <v>107</v>
      </c>
      <c r="E795" s="98">
        <v>15.25</v>
      </c>
      <c r="F795" s="98">
        <v>16.0</v>
      </c>
      <c r="G795" s="98">
        <v>16.75</v>
      </c>
      <c r="H795" s="189">
        <v>0.5865</v>
      </c>
      <c r="I795" s="98">
        <v>-0.056</v>
      </c>
      <c r="J795" s="98">
        <v>1.0</v>
      </c>
      <c r="K795" s="98">
        <v>49.0</v>
      </c>
      <c r="L795" s="189">
        <v>-0.6327</v>
      </c>
    </row>
    <row r="796" ht="22.5" customHeight="1">
      <c r="A796" s="187" t="s">
        <v>60</v>
      </c>
      <c r="B796" s="188">
        <v>47102.0</v>
      </c>
      <c r="C796" s="187">
        <v>170.0</v>
      </c>
      <c r="D796" s="187" t="s">
        <v>107</v>
      </c>
      <c r="E796" s="98">
        <v>17.75</v>
      </c>
      <c r="F796" s="98">
        <v>18.53</v>
      </c>
      <c r="G796" s="98">
        <v>19.3</v>
      </c>
      <c r="H796" s="189">
        <v>0.5826</v>
      </c>
      <c r="I796" s="98">
        <v>-0.063</v>
      </c>
      <c r="J796" s="98">
        <v>1.0</v>
      </c>
      <c r="K796" s="98">
        <v>165.0</v>
      </c>
      <c r="L796" s="189">
        <v>-0.6098</v>
      </c>
    </row>
    <row r="797" ht="22.5" customHeight="1">
      <c r="A797" s="187" t="s">
        <v>60</v>
      </c>
      <c r="B797" s="188">
        <v>47102.0</v>
      </c>
      <c r="C797" s="187">
        <v>180.0</v>
      </c>
      <c r="D797" s="187" t="s">
        <v>107</v>
      </c>
      <c r="E797" s="98">
        <v>19.65</v>
      </c>
      <c r="F797" s="98">
        <v>20.42</v>
      </c>
      <c r="G797" s="98">
        <v>21.2</v>
      </c>
      <c r="H797" s="189">
        <v>0.5763</v>
      </c>
      <c r="I797" s="98">
        <v>-0.0698</v>
      </c>
      <c r="J797" s="98">
        <v>0.0</v>
      </c>
      <c r="K797" s="98">
        <v>191.0</v>
      </c>
      <c r="L797" s="189">
        <v>-0.5868</v>
      </c>
    </row>
    <row r="798" ht="22.5" customHeight="1">
      <c r="A798" s="187" t="s">
        <v>60</v>
      </c>
      <c r="B798" s="188">
        <v>47102.0</v>
      </c>
      <c r="C798" s="187">
        <v>190.0</v>
      </c>
      <c r="D798" s="187" t="s">
        <v>107</v>
      </c>
      <c r="E798" s="98">
        <v>22.1</v>
      </c>
      <c r="F798" s="98">
        <v>23.03</v>
      </c>
      <c r="G798" s="98">
        <v>23.95</v>
      </c>
      <c r="H798" s="189">
        <v>0.5711999999999999</v>
      </c>
      <c r="I798" s="98">
        <v>-0.077</v>
      </c>
      <c r="J798" s="98">
        <v>1.0</v>
      </c>
      <c r="K798" s="98">
        <v>99.0</v>
      </c>
      <c r="L798" s="189">
        <v>-0.5639</v>
      </c>
    </row>
    <row r="799" ht="22.5" customHeight="1">
      <c r="A799" s="187" t="s">
        <v>60</v>
      </c>
      <c r="B799" s="188">
        <v>47102.0</v>
      </c>
      <c r="C799" s="187">
        <v>195.0</v>
      </c>
      <c r="D799" s="187" t="s">
        <v>107</v>
      </c>
      <c r="E799" s="98">
        <v>23.35</v>
      </c>
      <c r="F799" s="98">
        <v>24.45</v>
      </c>
      <c r="G799" s="98">
        <v>25.55</v>
      </c>
      <c r="H799" s="189">
        <v>0.5726</v>
      </c>
      <c r="I799" s="98">
        <v>-0.0812</v>
      </c>
      <c r="J799" s="98">
        <v>0.0</v>
      </c>
      <c r="K799" s="98">
        <v>12.0</v>
      </c>
      <c r="L799" s="189">
        <v>-0.5524</v>
      </c>
    </row>
    <row r="800" ht="22.5" customHeight="1">
      <c r="A800" s="187" t="s">
        <v>60</v>
      </c>
      <c r="B800" s="188">
        <v>47102.0</v>
      </c>
      <c r="C800" s="187">
        <v>200.0</v>
      </c>
      <c r="D800" s="187" t="s">
        <v>107</v>
      </c>
      <c r="E800" s="98">
        <v>25.0</v>
      </c>
      <c r="F800" s="98">
        <v>25.78</v>
      </c>
      <c r="G800" s="98">
        <v>26.55</v>
      </c>
      <c r="H800" s="189">
        <v>0.5708</v>
      </c>
      <c r="I800" s="98">
        <v>-0.0851</v>
      </c>
      <c r="J800" s="98">
        <v>35.0</v>
      </c>
      <c r="K800" s="98">
        <v>205.0</v>
      </c>
      <c r="L800" s="189">
        <v>-0.5409</v>
      </c>
    </row>
    <row r="801" ht="22.5" customHeight="1">
      <c r="A801" s="187" t="s">
        <v>60</v>
      </c>
      <c r="B801" s="188">
        <v>47102.0</v>
      </c>
      <c r="C801" s="187">
        <v>210.0</v>
      </c>
      <c r="D801" s="187" t="s">
        <v>107</v>
      </c>
      <c r="E801" s="98">
        <v>27.4</v>
      </c>
      <c r="F801" s="98">
        <v>28.55</v>
      </c>
      <c r="G801" s="98">
        <v>29.7</v>
      </c>
      <c r="H801" s="189">
        <v>0.5669</v>
      </c>
      <c r="I801" s="98">
        <v>-0.0929</v>
      </c>
      <c r="J801" s="98">
        <v>2.0</v>
      </c>
      <c r="K801" s="98">
        <v>53.0</v>
      </c>
      <c r="L801" s="189">
        <v>-0.5179</v>
      </c>
    </row>
    <row r="802" ht="22.5" customHeight="1">
      <c r="A802" s="187" t="s">
        <v>60</v>
      </c>
      <c r="B802" s="188">
        <v>47102.0</v>
      </c>
      <c r="C802" s="187">
        <v>220.0</v>
      </c>
      <c r="D802" s="187" t="s">
        <v>107</v>
      </c>
      <c r="E802" s="98">
        <v>30.35</v>
      </c>
      <c r="F802" s="98">
        <v>31.3</v>
      </c>
      <c r="G802" s="98">
        <v>32.25</v>
      </c>
      <c r="H802" s="189">
        <v>0.5625</v>
      </c>
      <c r="I802" s="98">
        <v>-0.101</v>
      </c>
      <c r="J802" s="98">
        <v>4.0</v>
      </c>
      <c r="K802" s="98">
        <v>158.0</v>
      </c>
      <c r="L802" s="189">
        <v>-0.495</v>
      </c>
    </row>
    <row r="803" ht="22.5" customHeight="1">
      <c r="A803" s="187" t="s">
        <v>60</v>
      </c>
      <c r="B803" s="188">
        <v>47102.0</v>
      </c>
      <c r="C803" s="187">
        <v>230.0</v>
      </c>
      <c r="D803" s="187" t="s">
        <v>107</v>
      </c>
      <c r="E803" s="98">
        <v>33.4</v>
      </c>
      <c r="F803" s="98">
        <v>34.6</v>
      </c>
      <c r="G803" s="98">
        <v>35.8</v>
      </c>
      <c r="H803" s="189">
        <v>0.5582</v>
      </c>
      <c r="I803" s="98">
        <v>-0.1092</v>
      </c>
      <c r="J803" s="98">
        <v>2.0</v>
      </c>
      <c r="K803" s="98">
        <v>10.0</v>
      </c>
      <c r="L803" s="189">
        <v>-0.47200000000000003</v>
      </c>
    </row>
    <row r="804" ht="22.5" customHeight="1">
      <c r="A804" s="187" t="s">
        <v>60</v>
      </c>
      <c r="B804" s="188">
        <v>47102.0</v>
      </c>
      <c r="C804" s="187">
        <v>240.0</v>
      </c>
      <c r="D804" s="187" t="s">
        <v>107</v>
      </c>
      <c r="E804" s="98">
        <v>36.65</v>
      </c>
      <c r="F804" s="98">
        <v>37.75</v>
      </c>
      <c r="G804" s="98">
        <v>38.85</v>
      </c>
      <c r="H804" s="189">
        <v>0.5571</v>
      </c>
      <c r="I804" s="98">
        <v>-0.1179</v>
      </c>
      <c r="J804" s="98">
        <v>0.0</v>
      </c>
      <c r="K804" s="98">
        <v>80.0</v>
      </c>
      <c r="L804" s="189">
        <v>-0.44909999999999994</v>
      </c>
    </row>
    <row r="805" ht="22.5" customHeight="1">
      <c r="A805" s="187" t="s">
        <v>60</v>
      </c>
      <c r="B805" s="188">
        <v>47102.0</v>
      </c>
      <c r="C805" s="187">
        <v>250.0</v>
      </c>
      <c r="D805" s="187" t="s">
        <v>107</v>
      </c>
      <c r="E805" s="98">
        <v>40.5</v>
      </c>
      <c r="F805" s="98">
        <v>41.53</v>
      </c>
      <c r="G805" s="98">
        <v>42.55</v>
      </c>
      <c r="H805" s="189">
        <v>0.5562</v>
      </c>
      <c r="I805" s="98">
        <v>-0.127</v>
      </c>
      <c r="J805" s="98">
        <v>29.0</v>
      </c>
      <c r="K805" s="98">
        <v>202.0</v>
      </c>
      <c r="L805" s="189">
        <v>-0.4261</v>
      </c>
    </row>
    <row r="806" ht="22.5" customHeight="1">
      <c r="A806" s="187" t="s">
        <v>60</v>
      </c>
      <c r="B806" s="188">
        <v>47102.0</v>
      </c>
      <c r="C806" s="187">
        <v>260.0</v>
      </c>
      <c r="D806" s="187" t="s">
        <v>107</v>
      </c>
      <c r="E806" s="98">
        <v>44.1</v>
      </c>
      <c r="F806" s="98">
        <v>45.13</v>
      </c>
      <c r="G806" s="98">
        <v>46.15</v>
      </c>
      <c r="H806" s="189">
        <v>0.5518</v>
      </c>
      <c r="I806" s="98">
        <v>-0.136</v>
      </c>
      <c r="J806" s="98">
        <v>34.0</v>
      </c>
      <c r="K806" s="98">
        <v>215.0</v>
      </c>
      <c r="L806" s="189">
        <v>-0.4032</v>
      </c>
    </row>
    <row r="807" ht="22.5" customHeight="1">
      <c r="A807" s="187" t="s">
        <v>60</v>
      </c>
      <c r="B807" s="188">
        <v>47102.0</v>
      </c>
      <c r="C807" s="187">
        <v>270.0</v>
      </c>
      <c r="D807" s="187" t="s">
        <v>107</v>
      </c>
      <c r="E807" s="98">
        <v>47.85</v>
      </c>
      <c r="F807" s="98">
        <v>48.88</v>
      </c>
      <c r="G807" s="98">
        <v>49.9</v>
      </c>
      <c r="H807" s="189">
        <v>0.5528</v>
      </c>
      <c r="I807" s="98">
        <v>-0.1454</v>
      </c>
      <c r="J807" s="98">
        <v>0.0</v>
      </c>
      <c r="K807" s="98">
        <v>401.0</v>
      </c>
      <c r="L807" s="189">
        <v>-0.38020000000000004</v>
      </c>
    </row>
    <row r="808" ht="22.5" customHeight="1">
      <c r="A808" s="187" t="s">
        <v>60</v>
      </c>
      <c r="B808" s="188">
        <v>47102.0</v>
      </c>
      <c r="C808" s="187">
        <v>280.0</v>
      </c>
      <c r="D808" s="187" t="s">
        <v>107</v>
      </c>
      <c r="E808" s="98">
        <v>51.75</v>
      </c>
      <c r="F808" s="98">
        <v>52.58</v>
      </c>
      <c r="G808" s="98">
        <v>53.4</v>
      </c>
      <c r="H808" s="189">
        <v>0.5478999999999999</v>
      </c>
      <c r="I808" s="98">
        <v>-0.1546</v>
      </c>
      <c r="J808" s="98">
        <v>90.0</v>
      </c>
      <c r="K808" s="98">
        <v>871.0</v>
      </c>
      <c r="L808" s="189">
        <v>-0.35729999999999995</v>
      </c>
    </row>
    <row r="809" ht="22.5" customHeight="1">
      <c r="A809" s="187" t="s">
        <v>60</v>
      </c>
      <c r="B809" s="188">
        <v>47102.0</v>
      </c>
      <c r="C809" s="187">
        <v>290.0</v>
      </c>
      <c r="D809" s="187" t="s">
        <v>107</v>
      </c>
      <c r="E809" s="98">
        <v>55.9</v>
      </c>
      <c r="F809" s="98">
        <v>56.9</v>
      </c>
      <c r="G809" s="98">
        <v>57.9</v>
      </c>
      <c r="H809" s="189">
        <v>0.5496</v>
      </c>
      <c r="I809" s="98">
        <v>-0.164</v>
      </c>
      <c r="J809" s="98">
        <v>0.0</v>
      </c>
      <c r="K809" s="98">
        <v>36.0</v>
      </c>
      <c r="L809" s="189">
        <v>-0.3343</v>
      </c>
    </row>
    <row r="810" ht="22.5" customHeight="1">
      <c r="A810" s="187" t="s">
        <v>60</v>
      </c>
      <c r="B810" s="188">
        <v>47102.0</v>
      </c>
      <c r="C810" s="187">
        <v>300.0</v>
      </c>
      <c r="D810" s="187" t="s">
        <v>107</v>
      </c>
      <c r="E810" s="98">
        <v>60.1</v>
      </c>
      <c r="F810" s="98">
        <v>60.55</v>
      </c>
      <c r="G810" s="98">
        <v>61.0</v>
      </c>
      <c r="H810" s="189">
        <v>0.5462</v>
      </c>
      <c r="I810" s="98">
        <v>-0.1739</v>
      </c>
      <c r="J810" s="98">
        <v>46.0</v>
      </c>
      <c r="K810" s="98">
        <v>258.0</v>
      </c>
      <c r="L810" s="189">
        <v>-0.31129999999999997</v>
      </c>
    </row>
    <row r="811" ht="22.5" customHeight="1">
      <c r="A811" s="187" t="s">
        <v>60</v>
      </c>
      <c r="B811" s="188">
        <v>47102.0</v>
      </c>
      <c r="C811" s="187">
        <v>310.0</v>
      </c>
      <c r="D811" s="187" t="s">
        <v>107</v>
      </c>
      <c r="E811" s="98">
        <v>64.35</v>
      </c>
      <c r="F811" s="98">
        <v>65.45</v>
      </c>
      <c r="G811" s="98">
        <v>66.55</v>
      </c>
      <c r="H811" s="189">
        <v>0.5466</v>
      </c>
      <c r="I811" s="98">
        <v>-0.1834</v>
      </c>
      <c r="J811" s="98">
        <v>18.0</v>
      </c>
      <c r="K811" s="98">
        <v>308.0</v>
      </c>
      <c r="L811" s="189">
        <v>-0.2884</v>
      </c>
    </row>
    <row r="812" ht="22.5" customHeight="1">
      <c r="A812" s="187" t="s">
        <v>60</v>
      </c>
      <c r="B812" s="188">
        <v>47102.0</v>
      </c>
      <c r="C812" s="187">
        <v>320.0</v>
      </c>
      <c r="D812" s="187" t="s">
        <v>107</v>
      </c>
      <c r="E812" s="98">
        <v>68.8</v>
      </c>
      <c r="F812" s="98">
        <v>69.93</v>
      </c>
      <c r="G812" s="98">
        <v>71.05</v>
      </c>
      <c r="H812" s="189">
        <v>0.5416</v>
      </c>
      <c r="I812" s="98">
        <v>-0.1933</v>
      </c>
      <c r="J812" s="98">
        <v>1.0</v>
      </c>
      <c r="K812" s="98">
        <v>116.0</v>
      </c>
      <c r="L812" s="189">
        <v>-0.26539999999999997</v>
      </c>
    </row>
    <row r="813" ht="22.5" customHeight="1">
      <c r="A813" s="187" t="s">
        <v>60</v>
      </c>
      <c r="B813" s="188">
        <v>47102.0</v>
      </c>
      <c r="C813" s="187">
        <v>330.0</v>
      </c>
      <c r="D813" s="187" t="s">
        <v>107</v>
      </c>
      <c r="E813" s="98">
        <v>73.35</v>
      </c>
      <c r="F813" s="98">
        <v>74.55</v>
      </c>
      <c r="G813" s="98">
        <v>75.75</v>
      </c>
      <c r="H813" s="189">
        <v>0.5399</v>
      </c>
      <c r="I813" s="98">
        <v>-0.2029</v>
      </c>
      <c r="J813" s="98">
        <v>1.0</v>
      </c>
      <c r="K813" s="98">
        <v>258.0</v>
      </c>
      <c r="L813" s="189">
        <v>-0.2425</v>
      </c>
    </row>
    <row r="814" ht="22.5" customHeight="1">
      <c r="A814" s="187" t="s">
        <v>60</v>
      </c>
      <c r="B814" s="188">
        <v>47102.0</v>
      </c>
      <c r="C814" s="187">
        <v>340.0</v>
      </c>
      <c r="D814" s="187" t="s">
        <v>107</v>
      </c>
      <c r="E814" s="98">
        <v>78.1</v>
      </c>
      <c r="F814" s="98">
        <v>79.32</v>
      </c>
      <c r="G814" s="98">
        <v>80.55</v>
      </c>
      <c r="H814" s="189">
        <v>0.5429999999999999</v>
      </c>
      <c r="I814" s="98">
        <v>-0.2123</v>
      </c>
      <c r="J814" s="98">
        <v>0.0</v>
      </c>
      <c r="K814" s="98">
        <v>313.0</v>
      </c>
      <c r="L814" s="189">
        <v>-0.2195</v>
      </c>
    </row>
    <row r="815" ht="22.5" customHeight="1">
      <c r="A815" s="187" t="s">
        <v>60</v>
      </c>
      <c r="B815" s="188">
        <v>47102.0</v>
      </c>
      <c r="C815" s="187">
        <v>350.0</v>
      </c>
      <c r="D815" s="187" t="s">
        <v>107</v>
      </c>
      <c r="E815" s="98">
        <v>83.0</v>
      </c>
      <c r="F815" s="98">
        <v>84.33</v>
      </c>
      <c r="G815" s="98">
        <v>85.65</v>
      </c>
      <c r="H815" s="189">
        <v>0.537</v>
      </c>
      <c r="I815" s="98">
        <v>-0.223</v>
      </c>
      <c r="J815" s="98">
        <v>85.0</v>
      </c>
      <c r="K815" s="98">
        <v>217.0</v>
      </c>
      <c r="L815" s="189">
        <v>-0.1966</v>
      </c>
    </row>
    <row r="816" ht="22.5" customHeight="1">
      <c r="A816" s="187" t="s">
        <v>60</v>
      </c>
      <c r="B816" s="188">
        <v>47102.0</v>
      </c>
      <c r="C816" s="187">
        <v>360.0</v>
      </c>
      <c r="D816" s="187" t="s">
        <v>107</v>
      </c>
      <c r="E816" s="98">
        <v>87.15</v>
      </c>
      <c r="F816" s="98">
        <v>88.5</v>
      </c>
      <c r="G816" s="98">
        <v>89.85</v>
      </c>
      <c r="H816" s="189">
        <v>0.5386</v>
      </c>
      <c r="I816" s="98">
        <v>-0.2325</v>
      </c>
      <c r="J816" s="98">
        <v>9.0</v>
      </c>
      <c r="K816" s="98">
        <v>41.0</v>
      </c>
      <c r="L816" s="189">
        <v>-0.1736</v>
      </c>
    </row>
    <row r="817" ht="22.5" customHeight="1">
      <c r="A817" s="187" t="s">
        <v>60</v>
      </c>
      <c r="B817" s="188">
        <v>47102.0</v>
      </c>
      <c r="C817" s="187">
        <v>370.0</v>
      </c>
      <c r="D817" s="187" t="s">
        <v>107</v>
      </c>
      <c r="E817" s="98">
        <v>93.0</v>
      </c>
      <c r="F817" s="98">
        <v>94.4</v>
      </c>
      <c r="G817" s="98">
        <v>95.8</v>
      </c>
      <c r="H817" s="189">
        <v>0.5362</v>
      </c>
      <c r="I817" s="98">
        <v>-0.2429</v>
      </c>
      <c r="J817" s="98">
        <v>2.0</v>
      </c>
      <c r="K817" s="98">
        <v>38.0</v>
      </c>
      <c r="L817" s="189">
        <v>-0.1507</v>
      </c>
    </row>
    <row r="818" ht="22.5" customHeight="1">
      <c r="A818" s="187" t="s">
        <v>60</v>
      </c>
      <c r="B818" s="188">
        <v>47102.0</v>
      </c>
      <c r="C818" s="187">
        <v>380.0</v>
      </c>
      <c r="D818" s="187" t="s">
        <v>107</v>
      </c>
      <c r="E818" s="98">
        <v>97.55</v>
      </c>
      <c r="F818" s="98">
        <v>98.73</v>
      </c>
      <c r="G818" s="98">
        <v>99.9</v>
      </c>
      <c r="H818" s="189">
        <v>0.5351</v>
      </c>
      <c r="I818" s="98">
        <v>-0.2533</v>
      </c>
      <c r="J818" s="98">
        <v>13.0</v>
      </c>
      <c r="K818" s="98">
        <v>73.0</v>
      </c>
      <c r="L818" s="189">
        <v>-0.1277</v>
      </c>
    </row>
    <row r="819" ht="22.5" customHeight="1">
      <c r="A819" s="187" t="s">
        <v>60</v>
      </c>
      <c r="B819" s="188">
        <v>47102.0</v>
      </c>
      <c r="C819" s="187">
        <v>390.0</v>
      </c>
      <c r="D819" s="187" t="s">
        <v>107</v>
      </c>
      <c r="E819" s="98">
        <v>103.0</v>
      </c>
      <c r="F819" s="98">
        <v>104.8</v>
      </c>
      <c r="G819" s="98">
        <v>106.6</v>
      </c>
      <c r="H819" s="189">
        <v>0.5383</v>
      </c>
      <c r="I819" s="98">
        <v>-0.2624</v>
      </c>
      <c r="J819" s="98">
        <v>17.0</v>
      </c>
      <c r="K819" s="98">
        <v>102.0</v>
      </c>
      <c r="L819" s="189">
        <v>-0.1047</v>
      </c>
    </row>
    <row r="820" ht="22.5" customHeight="1">
      <c r="A820" s="187" t="s">
        <v>60</v>
      </c>
      <c r="B820" s="188">
        <v>47102.0</v>
      </c>
      <c r="C820" s="187">
        <v>400.0</v>
      </c>
      <c r="D820" s="187" t="s">
        <v>107</v>
      </c>
      <c r="E820" s="98">
        <v>108.5</v>
      </c>
      <c r="F820" s="98">
        <v>109.75</v>
      </c>
      <c r="G820" s="98">
        <v>111.0</v>
      </c>
      <c r="H820" s="189">
        <v>0.5367999999999999</v>
      </c>
      <c r="I820" s="98">
        <v>-0.2721</v>
      </c>
      <c r="J820" s="98">
        <v>85.0</v>
      </c>
      <c r="K820" s="98">
        <v>295.0</v>
      </c>
      <c r="L820" s="189">
        <v>-0.0818</v>
      </c>
    </row>
    <row r="821" ht="22.5" customHeight="1">
      <c r="A821" s="187" t="s">
        <v>60</v>
      </c>
      <c r="B821" s="188">
        <v>47102.0</v>
      </c>
      <c r="C821" s="187">
        <v>410.0</v>
      </c>
      <c r="D821" s="187" t="s">
        <v>107</v>
      </c>
      <c r="E821" s="98">
        <v>114.15</v>
      </c>
      <c r="F821" s="98">
        <v>116.03</v>
      </c>
      <c r="G821" s="98">
        <v>117.9</v>
      </c>
      <c r="H821" s="189">
        <v>0.5366</v>
      </c>
      <c r="I821" s="98">
        <v>-0.2823</v>
      </c>
      <c r="J821" s="98">
        <v>0.0</v>
      </c>
      <c r="K821" s="98">
        <v>34.0</v>
      </c>
      <c r="L821" s="189">
        <v>-0.0588</v>
      </c>
    </row>
    <row r="822" ht="22.5" customHeight="1">
      <c r="A822" s="187" t="s">
        <v>60</v>
      </c>
      <c r="B822" s="188">
        <v>47102.0</v>
      </c>
      <c r="C822" s="187">
        <v>420.0</v>
      </c>
      <c r="D822" s="187" t="s">
        <v>107</v>
      </c>
      <c r="E822" s="98">
        <v>119.9</v>
      </c>
      <c r="F822" s="98">
        <v>121.8</v>
      </c>
      <c r="G822" s="98">
        <v>123.7</v>
      </c>
      <c r="H822" s="189">
        <v>0.529</v>
      </c>
      <c r="I822" s="98">
        <v>-0.2933</v>
      </c>
      <c r="J822" s="98">
        <v>4.0</v>
      </c>
      <c r="K822" s="98">
        <v>219.0</v>
      </c>
      <c r="L822" s="189">
        <v>-0.0359</v>
      </c>
    </row>
    <row r="823" ht="22.5" customHeight="1">
      <c r="A823" s="187" t="s">
        <v>60</v>
      </c>
      <c r="B823" s="188">
        <v>47102.0</v>
      </c>
      <c r="C823" s="187">
        <v>430.0</v>
      </c>
      <c r="D823" s="187" t="s">
        <v>107</v>
      </c>
      <c r="E823" s="98">
        <v>125.75</v>
      </c>
      <c r="F823" s="98">
        <v>127.03</v>
      </c>
      <c r="G823" s="98">
        <v>128.3</v>
      </c>
      <c r="H823" s="189">
        <v>0.5361</v>
      </c>
      <c r="I823" s="98">
        <v>-0.3026</v>
      </c>
      <c r="J823" s="98">
        <v>4.0</v>
      </c>
      <c r="K823" s="98">
        <v>38.0</v>
      </c>
      <c r="L823" s="189">
        <v>-0.0129</v>
      </c>
    </row>
    <row r="824" ht="22.5" customHeight="1">
      <c r="A824" s="187" t="s">
        <v>60</v>
      </c>
      <c r="B824" s="188">
        <v>47102.0</v>
      </c>
      <c r="C824" s="187">
        <v>440.0</v>
      </c>
      <c r="D824" s="187" t="s">
        <v>107</v>
      </c>
      <c r="E824" s="98">
        <v>133.0</v>
      </c>
      <c r="F824" s="98">
        <v>134.33</v>
      </c>
      <c r="G824" s="98">
        <v>135.65</v>
      </c>
      <c r="H824" s="189">
        <v>0.5341</v>
      </c>
      <c r="I824" s="98">
        <v>-0.3132</v>
      </c>
      <c r="J824" s="98">
        <v>144.0</v>
      </c>
      <c r="K824" s="98">
        <v>245.0</v>
      </c>
      <c r="L824" s="189">
        <v>0.01</v>
      </c>
    </row>
    <row r="825" ht="22.5" customHeight="1">
      <c r="A825" s="187" t="s">
        <v>60</v>
      </c>
      <c r="B825" s="188">
        <v>47102.0</v>
      </c>
      <c r="C825" s="187">
        <v>450.0</v>
      </c>
      <c r="D825" s="187" t="s">
        <v>107</v>
      </c>
      <c r="E825" s="98">
        <v>137.85</v>
      </c>
      <c r="F825" s="98">
        <v>139.8</v>
      </c>
      <c r="G825" s="98">
        <v>141.75</v>
      </c>
      <c r="H825" s="189">
        <v>0.532</v>
      </c>
      <c r="I825" s="98">
        <v>-0.323</v>
      </c>
      <c r="J825" s="98">
        <v>1.0</v>
      </c>
      <c r="K825" s="98">
        <v>222.0</v>
      </c>
      <c r="L825" s="189">
        <v>0.033</v>
      </c>
    </row>
    <row r="826" ht="22.5" customHeight="1">
      <c r="A826" s="187" t="s">
        <v>60</v>
      </c>
      <c r="B826" s="188">
        <v>47102.0</v>
      </c>
      <c r="C826" s="187">
        <v>460.0</v>
      </c>
      <c r="D826" s="187" t="s">
        <v>107</v>
      </c>
      <c r="E826" s="98">
        <v>144.05</v>
      </c>
      <c r="F826" s="98">
        <v>146.03</v>
      </c>
      <c r="G826" s="98">
        <v>148.0</v>
      </c>
      <c r="H826" s="189">
        <v>0.5351</v>
      </c>
      <c r="I826" s="98">
        <v>-0.3318</v>
      </c>
      <c r="J826" s="98">
        <v>0.0</v>
      </c>
      <c r="K826" s="98">
        <v>56.0</v>
      </c>
      <c r="L826" s="189">
        <v>0.0559</v>
      </c>
    </row>
    <row r="827" ht="22.5" customHeight="1">
      <c r="A827" s="187" t="s">
        <v>60</v>
      </c>
      <c r="B827" s="188">
        <v>47102.0</v>
      </c>
      <c r="C827" s="187">
        <v>470.0</v>
      </c>
      <c r="D827" s="187" t="s">
        <v>107</v>
      </c>
      <c r="E827" s="98">
        <v>150.35</v>
      </c>
      <c r="F827" s="98">
        <v>152.33</v>
      </c>
      <c r="G827" s="98">
        <v>154.3</v>
      </c>
      <c r="H827" s="189">
        <v>0.5347999999999999</v>
      </c>
      <c r="I827" s="98">
        <v>-0.3423</v>
      </c>
      <c r="J827" s="98">
        <v>0.0</v>
      </c>
      <c r="K827" s="98">
        <v>50.0</v>
      </c>
      <c r="L827" s="189">
        <v>0.0789</v>
      </c>
    </row>
    <row r="828" ht="22.5" customHeight="1">
      <c r="A828" s="187" t="s">
        <v>60</v>
      </c>
      <c r="B828" s="188">
        <v>47102.0</v>
      </c>
      <c r="C828" s="187">
        <v>480.0</v>
      </c>
      <c r="D828" s="187" t="s">
        <v>107</v>
      </c>
      <c r="E828" s="98">
        <v>156.75</v>
      </c>
      <c r="F828" s="98">
        <v>158.75</v>
      </c>
      <c r="G828" s="98">
        <v>160.75</v>
      </c>
      <c r="H828" s="189">
        <v>0.5347999999999999</v>
      </c>
      <c r="I828" s="98">
        <v>-0.3513</v>
      </c>
      <c r="J828" s="98">
        <v>0.0</v>
      </c>
      <c r="K828" s="98">
        <v>30.0</v>
      </c>
      <c r="L828" s="189">
        <v>0.10189999999999999</v>
      </c>
    </row>
    <row r="829" ht="22.5" customHeight="1">
      <c r="A829" s="187" t="s">
        <v>60</v>
      </c>
      <c r="B829" s="188">
        <v>47102.0</v>
      </c>
      <c r="C829" s="187">
        <v>490.0</v>
      </c>
      <c r="D829" s="187" t="s">
        <v>107</v>
      </c>
      <c r="E829" s="98">
        <v>163.2</v>
      </c>
      <c r="F829" s="98">
        <v>165.23</v>
      </c>
      <c r="G829" s="98">
        <v>167.25</v>
      </c>
      <c r="H829" s="189">
        <v>0.5309</v>
      </c>
      <c r="I829" s="98">
        <v>-0.3615</v>
      </c>
      <c r="J829" s="98">
        <v>1.0</v>
      </c>
      <c r="K829" s="98">
        <v>4.0</v>
      </c>
      <c r="L829" s="189">
        <v>0.12480000000000001</v>
      </c>
    </row>
    <row r="830" ht="22.5" customHeight="1">
      <c r="A830" s="187" t="s">
        <v>60</v>
      </c>
      <c r="B830" s="188">
        <v>47102.0</v>
      </c>
      <c r="C830" s="187">
        <v>500.0</v>
      </c>
      <c r="D830" s="187" t="s">
        <v>107</v>
      </c>
      <c r="E830" s="98">
        <v>169.8</v>
      </c>
      <c r="F830" s="98">
        <v>171.83</v>
      </c>
      <c r="G830" s="98">
        <v>173.85</v>
      </c>
      <c r="H830" s="189">
        <v>0.5309</v>
      </c>
      <c r="I830" s="98">
        <v>-0.3715</v>
      </c>
      <c r="J830" s="98">
        <v>43.0</v>
      </c>
      <c r="K830" s="98">
        <v>125.0</v>
      </c>
      <c r="L830" s="189">
        <v>0.1478</v>
      </c>
    </row>
    <row r="831" ht="22.5" customHeight="1">
      <c r="A831" s="187" t="s">
        <v>60</v>
      </c>
      <c r="B831" s="188">
        <v>47102.0</v>
      </c>
      <c r="C831" s="187">
        <v>510.0</v>
      </c>
      <c r="D831" s="187" t="s">
        <v>107</v>
      </c>
      <c r="E831" s="98">
        <v>176.45</v>
      </c>
      <c r="F831" s="98">
        <v>178.5</v>
      </c>
      <c r="G831" s="98">
        <v>180.55</v>
      </c>
      <c r="H831" s="189">
        <v>0.5344</v>
      </c>
      <c r="I831" s="98">
        <v>-0.3789</v>
      </c>
      <c r="J831" s="98">
        <v>0.0</v>
      </c>
      <c r="K831" s="98">
        <v>4.0</v>
      </c>
      <c r="L831" s="189">
        <v>0.1707</v>
      </c>
    </row>
    <row r="832" ht="22.5" customHeight="1">
      <c r="A832" s="187" t="s">
        <v>60</v>
      </c>
      <c r="B832" s="188">
        <v>47102.0</v>
      </c>
      <c r="C832" s="187">
        <v>520.0</v>
      </c>
      <c r="D832" s="187" t="s">
        <v>107</v>
      </c>
      <c r="E832" s="98">
        <v>183.25</v>
      </c>
      <c r="F832" s="98">
        <v>184.88</v>
      </c>
      <c r="G832" s="98">
        <v>186.5</v>
      </c>
      <c r="H832" s="189">
        <v>0.5327000000000001</v>
      </c>
      <c r="I832" s="98">
        <v>-0.3897</v>
      </c>
      <c r="J832" s="98">
        <v>3.0</v>
      </c>
      <c r="K832" s="98">
        <v>8209.0</v>
      </c>
      <c r="L832" s="189">
        <v>0.1937</v>
      </c>
    </row>
    <row r="833" ht="22.5" customHeight="1">
      <c r="A833" s="187" t="s">
        <v>60</v>
      </c>
      <c r="B833" s="188">
        <v>47102.0</v>
      </c>
      <c r="C833" s="187">
        <v>530.0</v>
      </c>
      <c r="D833" s="187" t="s">
        <v>107</v>
      </c>
      <c r="E833" s="98">
        <v>190.1</v>
      </c>
      <c r="F833" s="98">
        <v>192.15</v>
      </c>
      <c r="G833" s="98">
        <v>194.2</v>
      </c>
      <c r="H833" s="189">
        <v>0.5345</v>
      </c>
      <c r="I833" s="98">
        <v>-0.3975</v>
      </c>
      <c r="J833" s="98">
        <v>0.0</v>
      </c>
      <c r="K833" s="98">
        <v>10.0</v>
      </c>
      <c r="L833" s="189">
        <v>0.21660000000000001</v>
      </c>
    </row>
    <row r="834" ht="22.5" customHeight="1">
      <c r="A834" s="187" t="s">
        <v>60</v>
      </c>
      <c r="B834" s="188">
        <v>47102.0</v>
      </c>
      <c r="C834" s="187">
        <v>540.0</v>
      </c>
      <c r="D834" s="187" t="s">
        <v>107</v>
      </c>
      <c r="E834" s="98">
        <v>197.0</v>
      </c>
      <c r="F834" s="98">
        <v>199.08</v>
      </c>
      <c r="G834" s="98">
        <v>201.15</v>
      </c>
      <c r="H834" s="189">
        <v>0.5345</v>
      </c>
      <c r="I834" s="98">
        <v>-0.4077</v>
      </c>
      <c r="J834" s="98">
        <v>0.0</v>
      </c>
      <c r="K834" s="98">
        <v>0.0</v>
      </c>
      <c r="L834" s="189">
        <v>0.2396</v>
      </c>
    </row>
    <row r="835" ht="22.5" customHeight="1">
      <c r="A835" s="187" t="s">
        <v>60</v>
      </c>
      <c r="B835" s="188">
        <v>47102.0</v>
      </c>
      <c r="C835" s="187">
        <v>550.0</v>
      </c>
      <c r="D835" s="187" t="s">
        <v>107</v>
      </c>
      <c r="E835" s="98">
        <v>204.0</v>
      </c>
      <c r="F835" s="98">
        <v>206.1</v>
      </c>
      <c r="G835" s="98">
        <v>208.2</v>
      </c>
      <c r="H835" s="189">
        <v>0.5305</v>
      </c>
      <c r="I835" s="98">
        <v>-0.4218</v>
      </c>
      <c r="J835" s="98">
        <v>70.0</v>
      </c>
      <c r="K835" s="98">
        <v>89.0</v>
      </c>
      <c r="L835" s="189">
        <v>0.2625</v>
      </c>
    </row>
    <row r="836" ht="22.5" customHeight="1">
      <c r="A836" s="187" t="s">
        <v>60</v>
      </c>
      <c r="B836" s="188">
        <v>47102.0</v>
      </c>
      <c r="C836" s="187">
        <v>560.0</v>
      </c>
      <c r="D836" s="187" t="s">
        <v>107</v>
      </c>
      <c r="E836" s="98">
        <v>211.1</v>
      </c>
      <c r="F836" s="98">
        <v>213.23</v>
      </c>
      <c r="G836" s="98">
        <v>215.35</v>
      </c>
      <c r="H836" s="189">
        <v>0.5345</v>
      </c>
      <c r="I836" s="98">
        <v>-0.4296</v>
      </c>
      <c r="J836" s="98">
        <v>0.0</v>
      </c>
      <c r="K836" s="98">
        <v>10.0</v>
      </c>
      <c r="L836" s="189">
        <v>0.28550000000000003</v>
      </c>
    </row>
    <row r="837" ht="22.5" customHeight="1">
      <c r="A837" s="187" t="s">
        <v>60</v>
      </c>
      <c r="B837" s="188">
        <v>47102.0</v>
      </c>
      <c r="C837" s="187">
        <v>570.0</v>
      </c>
      <c r="D837" s="187" t="s">
        <v>107</v>
      </c>
      <c r="E837" s="98">
        <v>218.25</v>
      </c>
      <c r="F837" s="98">
        <v>220.4</v>
      </c>
      <c r="G837" s="98">
        <v>222.55</v>
      </c>
      <c r="H837" s="189">
        <v>0.5345</v>
      </c>
      <c r="I837" s="98">
        <v>-0.4377</v>
      </c>
      <c r="J837" s="98">
        <v>0.0</v>
      </c>
      <c r="K837" s="98">
        <v>0.0</v>
      </c>
      <c r="L837" s="189">
        <v>0.3084</v>
      </c>
    </row>
    <row r="838" ht="22.5" customHeight="1">
      <c r="A838" s="187" t="s">
        <v>60</v>
      </c>
      <c r="B838" s="188">
        <v>47102.0</v>
      </c>
      <c r="C838" s="187">
        <v>580.0</v>
      </c>
      <c r="D838" s="187" t="s">
        <v>107</v>
      </c>
      <c r="E838" s="98">
        <v>225.5</v>
      </c>
      <c r="F838" s="98">
        <v>227.65</v>
      </c>
      <c r="G838" s="98">
        <v>229.8</v>
      </c>
      <c r="H838" s="189">
        <v>0.5346</v>
      </c>
      <c r="I838" s="98">
        <v>-0.4463</v>
      </c>
      <c r="J838" s="98">
        <v>0.0</v>
      </c>
      <c r="K838" s="98">
        <v>4.0</v>
      </c>
      <c r="L838" s="189">
        <v>0.33140000000000003</v>
      </c>
    </row>
    <row r="839" ht="22.5" customHeight="1">
      <c r="A839" s="187" t="s">
        <v>60</v>
      </c>
      <c r="B839" s="188">
        <v>47102.0</v>
      </c>
      <c r="C839" s="187">
        <v>590.0</v>
      </c>
      <c r="D839" s="187" t="s">
        <v>107</v>
      </c>
      <c r="E839" s="98">
        <v>232.8</v>
      </c>
      <c r="F839" s="98">
        <v>234.98</v>
      </c>
      <c r="G839" s="98">
        <v>237.15</v>
      </c>
      <c r="H839" s="189">
        <v>0.5297999999999999</v>
      </c>
      <c r="I839" s="98">
        <v>-0.4568</v>
      </c>
      <c r="J839" s="98">
        <v>1.0</v>
      </c>
      <c r="K839" s="98">
        <v>6.0</v>
      </c>
      <c r="L839" s="189">
        <v>0.3544</v>
      </c>
    </row>
    <row r="840" ht="22.5" customHeight="1">
      <c r="A840" s="187" t="s">
        <v>60</v>
      </c>
      <c r="B840" s="188">
        <v>47102.0</v>
      </c>
      <c r="C840" s="187">
        <v>600.0</v>
      </c>
      <c r="D840" s="187" t="s">
        <v>107</v>
      </c>
      <c r="E840" s="98">
        <v>240.15</v>
      </c>
      <c r="F840" s="98">
        <v>242.35</v>
      </c>
      <c r="G840" s="98">
        <v>244.55</v>
      </c>
      <c r="H840" s="189">
        <v>0.5334</v>
      </c>
      <c r="I840" s="98">
        <v>-0.4626</v>
      </c>
      <c r="J840" s="98">
        <v>63.0</v>
      </c>
      <c r="K840" s="98">
        <v>133.0</v>
      </c>
      <c r="L840" s="189">
        <v>0.37729999999999997</v>
      </c>
    </row>
    <row r="841" ht="22.5" customHeight="1">
      <c r="A841" s="187" t="s">
        <v>60</v>
      </c>
      <c r="B841" s="188">
        <v>47102.0</v>
      </c>
      <c r="C841" s="187">
        <v>610.0</v>
      </c>
      <c r="D841" s="187" t="s">
        <v>107</v>
      </c>
      <c r="E841" s="98">
        <v>247.6</v>
      </c>
      <c r="F841" s="98">
        <v>249.95</v>
      </c>
      <c r="G841" s="98">
        <v>252.3</v>
      </c>
      <c r="H841" s="189">
        <v>0.5353</v>
      </c>
      <c r="I841" s="98">
        <v>-0.4692</v>
      </c>
      <c r="J841" s="98">
        <v>0.0</v>
      </c>
      <c r="K841" s="98">
        <v>0.0</v>
      </c>
      <c r="L841" s="189">
        <v>0.4003</v>
      </c>
    </row>
    <row r="842" ht="22.5" customHeight="1">
      <c r="A842" s="187" t="s">
        <v>60</v>
      </c>
      <c r="B842" s="188">
        <v>47102.0</v>
      </c>
      <c r="C842" s="187">
        <v>620.0</v>
      </c>
      <c r="D842" s="187" t="s">
        <v>107</v>
      </c>
      <c r="E842" s="98">
        <v>255.15</v>
      </c>
      <c r="F842" s="98">
        <v>257.58</v>
      </c>
      <c r="G842" s="98">
        <v>260.0</v>
      </c>
      <c r="H842" s="189">
        <v>0.5359</v>
      </c>
      <c r="I842" s="98">
        <v>-0.4764</v>
      </c>
      <c r="J842" s="98">
        <v>0.0</v>
      </c>
      <c r="K842" s="98">
        <v>1.0</v>
      </c>
      <c r="L842" s="189">
        <v>0.4232</v>
      </c>
    </row>
    <row r="843" ht="22.5" customHeight="1">
      <c r="A843" s="187" t="s">
        <v>60</v>
      </c>
      <c r="B843" s="188">
        <v>47102.0</v>
      </c>
      <c r="C843" s="187">
        <v>630.0</v>
      </c>
      <c r="D843" s="187" t="s">
        <v>107</v>
      </c>
      <c r="E843" s="98">
        <v>262.7</v>
      </c>
      <c r="F843" s="98">
        <v>265.17</v>
      </c>
      <c r="G843" s="98">
        <v>267.65</v>
      </c>
      <c r="H843" s="189">
        <v>0.5361</v>
      </c>
      <c r="I843" s="98">
        <v>-0.4837</v>
      </c>
      <c r="J843" s="98">
        <v>0.0</v>
      </c>
      <c r="K843" s="98">
        <v>0.0</v>
      </c>
      <c r="L843" s="189">
        <v>0.4462</v>
      </c>
    </row>
    <row r="844" ht="22.5" customHeight="1">
      <c r="A844" s="187" t="s">
        <v>60</v>
      </c>
      <c r="B844" s="188">
        <v>47102.0</v>
      </c>
      <c r="C844" s="187">
        <v>640.0</v>
      </c>
      <c r="D844" s="187" t="s">
        <v>107</v>
      </c>
      <c r="E844" s="98">
        <v>270.35</v>
      </c>
      <c r="F844" s="98">
        <v>272.75</v>
      </c>
      <c r="G844" s="98">
        <v>275.15</v>
      </c>
      <c r="H844" s="189">
        <v>0.5361</v>
      </c>
      <c r="I844" s="98">
        <v>-0.4921</v>
      </c>
      <c r="J844" s="98">
        <v>0.0</v>
      </c>
      <c r="K844" s="98">
        <v>0.0</v>
      </c>
      <c r="L844" s="189">
        <v>0.46909999999999996</v>
      </c>
    </row>
    <row r="845" ht="22.5" customHeight="1">
      <c r="A845" s="187" t="s">
        <v>60</v>
      </c>
      <c r="B845" s="188">
        <v>47102.0</v>
      </c>
      <c r="C845" s="187">
        <v>650.0</v>
      </c>
      <c r="D845" s="187" t="s">
        <v>107</v>
      </c>
      <c r="E845" s="98">
        <v>278.05</v>
      </c>
      <c r="F845" s="98">
        <v>280.35</v>
      </c>
      <c r="G845" s="98">
        <v>282.65</v>
      </c>
      <c r="H845" s="189">
        <v>0.536</v>
      </c>
      <c r="I845" s="98">
        <v>-0.4994</v>
      </c>
      <c r="J845" s="98">
        <v>0.0</v>
      </c>
      <c r="K845" s="98">
        <v>12.0</v>
      </c>
      <c r="L845" s="189">
        <v>0.4921</v>
      </c>
    </row>
    <row r="846" ht="22.5" customHeight="1">
      <c r="A846" s="187" t="s">
        <v>60</v>
      </c>
      <c r="B846" s="188">
        <v>47102.0</v>
      </c>
      <c r="C846" s="187">
        <v>660.0</v>
      </c>
      <c r="D846" s="187" t="s">
        <v>107</v>
      </c>
      <c r="E846" s="98">
        <v>285.8</v>
      </c>
      <c r="F846" s="98">
        <v>288.25</v>
      </c>
      <c r="G846" s="98">
        <v>290.7</v>
      </c>
      <c r="H846" s="189">
        <v>0.5367999999999999</v>
      </c>
      <c r="I846" s="98">
        <v>-0.506</v>
      </c>
      <c r="J846" s="98">
        <v>0.0</v>
      </c>
      <c r="K846" s="98">
        <v>0.0</v>
      </c>
      <c r="L846" s="189">
        <v>0.515</v>
      </c>
    </row>
    <row r="847" ht="22.5" customHeight="1">
      <c r="A847" s="187" t="s">
        <v>60</v>
      </c>
      <c r="B847" s="188">
        <v>47102.0</v>
      </c>
      <c r="C847" s="187">
        <v>670.0</v>
      </c>
      <c r="D847" s="187" t="s">
        <v>107</v>
      </c>
      <c r="E847" s="98">
        <v>293.65</v>
      </c>
      <c r="F847" s="98">
        <v>296.08</v>
      </c>
      <c r="G847" s="98">
        <v>298.5</v>
      </c>
      <c r="H847" s="189">
        <v>0.5371</v>
      </c>
      <c r="I847" s="98">
        <v>-0.5196</v>
      </c>
      <c r="J847" s="98">
        <v>0.0</v>
      </c>
      <c r="K847" s="98">
        <v>0.0</v>
      </c>
      <c r="L847" s="189">
        <v>0.5379999999999999</v>
      </c>
    </row>
    <row r="848" ht="22.5" customHeight="1">
      <c r="A848" s="187" t="s">
        <v>60</v>
      </c>
      <c r="B848" s="188">
        <v>47102.0</v>
      </c>
      <c r="C848" s="187">
        <v>680.0</v>
      </c>
      <c r="D848" s="187" t="s">
        <v>107</v>
      </c>
      <c r="E848" s="98">
        <v>301.5</v>
      </c>
      <c r="F848" s="98">
        <v>304.0</v>
      </c>
      <c r="G848" s="98">
        <v>306.5</v>
      </c>
      <c r="H848" s="189">
        <v>0.5374</v>
      </c>
      <c r="I848" s="98">
        <v>-0.5362</v>
      </c>
      <c r="J848" s="98">
        <v>0.0</v>
      </c>
      <c r="K848" s="98">
        <v>0.0</v>
      </c>
      <c r="L848" s="189">
        <v>0.561</v>
      </c>
    </row>
    <row r="849" ht="22.5" customHeight="1">
      <c r="A849" s="187" t="s">
        <v>60</v>
      </c>
      <c r="B849" s="188">
        <v>47102.0</v>
      </c>
      <c r="C849" s="187">
        <v>690.0</v>
      </c>
      <c r="D849" s="187" t="s">
        <v>107</v>
      </c>
      <c r="E849" s="98">
        <v>309.4</v>
      </c>
      <c r="F849" s="98">
        <v>311.98</v>
      </c>
      <c r="G849" s="98">
        <v>314.55</v>
      </c>
      <c r="H849" s="189">
        <v>0.5374</v>
      </c>
      <c r="I849" s="98">
        <v>-0.5487</v>
      </c>
      <c r="J849" s="98">
        <v>0.0</v>
      </c>
      <c r="K849" s="98">
        <v>2.0</v>
      </c>
      <c r="L849" s="189">
        <v>0.5839</v>
      </c>
    </row>
    <row r="850" ht="22.5" customHeight="1">
      <c r="A850" s="187" t="s">
        <v>60</v>
      </c>
      <c r="B850" s="188">
        <v>47102.0</v>
      </c>
      <c r="C850" s="187">
        <v>700.0</v>
      </c>
      <c r="D850" s="187" t="s">
        <v>107</v>
      </c>
      <c r="E850" s="98">
        <v>317.4</v>
      </c>
      <c r="F850" s="98">
        <v>320.0</v>
      </c>
      <c r="G850" s="98">
        <v>322.6</v>
      </c>
      <c r="H850" s="189">
        <v>0.5375</v>
      </c>
      <c r="I850" s="98">
        <v>-0.5552</v>
      </c>
      <c r="J850" s="98">
        <v>0.0</v>
      </c>
      <c r="K850" s="98">
        <v>2.0</v>
      </c>
      <c r="L850" s="189">
        <v>0.6069</v>
      </c>
    </row>
    <row r="851" ht="22.5" customHeight="1">
      <c r="A851" s="187" t="s">
        <v>60</v>
      </c>
      <c r="B851" s="188">
        <v>47102.0</v>
      </c>
      <c r="C851" s="187">
        <v>710.0</v>
      </c>
      <c r="D851" s="187" t="s">
        <v>107</v>
      </c>
      <c r="E851" s="98">
        <v>325.45</v>
      </c>
      <c r="F851" s="98">
        <v>328.05</v>
      </c>
      <c r="G851" s="98">
        <v>330.65</v>
      </c>
      <c r="H851" s="189">
        <v>0.5375</v>
      </c>
      <c r="I851" s="98">
        <v>-0.5617</v>
      </c>
      <c r="J851" s="98">
        <v>0.0</v>
      </c>
      <c r="K851" s="98">
        <v>0.0</v>
      </c>
      <c r="L851" s="189">
        <v>0.6297999999999999</v>
      </c>
    </row>
    <row r="852" ht="22.5" customHeight="1">
      <c r="A852" s="187" t="s">
        <v>60</v>
      </c>
      <c r="B852" s="188">
        <v>47102.0</v>
      </c>
      <c r="C852" s="187">
        <v>720.0</v>
      </c>
      <c r="D852" s="187" t="s">
        <v>107</v>
      </c>
      <c r="E852" s="98">
        <v>333.5</v>
      </c>
      <c r="F852" s="98">
        <v>336.13</v>
      </c>
      <c r="G852" s="98">
        <v>338.75</v>
      </c>
      <c r="H852" s="189">
        <v>0.5375</v>
      </c>
      <c r="I852" s="98">
        <v>-0.5681</v>
      </c>
      <c r="J852" s="98">
        <v>0.0</v>
      </c>
      <c r="K852" s="98">
        <v>0.0</v>
      </c>
      <c r="L852" s="189">
        <v>0.6528</v>
      </c>
    </row>
    <row r="853" ht="22.5" customHeight="1">
      <c r="A853" s="187" t="s">
        <v>60</v>
      </c>
      <c r="B853" s="188">
        <v>47102.0</v>
      </c>
      <c r="C853" s="187">
        <v>730.0</v>
      </c>
      <c r="D853" s="187" t="s">
        <v>107</v>
      </c>
      <c r="E853" s="98">
        <v>341.65</v>
      </c>
      <c r="F853" s="98">
        <v>344.28</v>
      </c>
      <c r="G853" s="98">
        <v>346.9</v>
      </c>
      <c r="H853" s="189">
        <v>0.5376</v>
      </c>
      <c r="I853" s="98">
        <v>-0.5743</v>
      </c>
      <c r="J853" s="98">
        <v>0.0</v>
      </c>
      <c r="K853" s="98">
        <v>0.0</v>
      </c>
      <c r="L853" s="189">
        <v>0.6757</v>
      </c>
    </row>
    <row r="854" ht="22.5" customHeight="1">
      <c r="A854" s="187" t="s">
        <v>60</v>
      </c>
      <c r="B854" s="188">
        <v>47102.0</v>
      </c>
      <c r="C854" s="187">
        <v>740.0</v>
      </c>
      <c r="D854" s="187" t="s">
        <v>107</v>
      </c>
      <c r="E854" s="98">
        <v>349.85</v>
      </c>
      <c r="F854" s="98">
        <v>352.5</v>
      </c>
      <c r="G854" s="98">
        <v>355.15</v>
      </c>
      <c r="H854" s="189">
        <v>0.5379</v>
      </c>
      <c r="I854" s="98">
        <v>-0.5804</v>
      </c>
      <c r="J854" s="98">
        <v>0.0</v>
      </c>
      <c r="K854" s="98">
        <v>0.0</v>
      </c>
      <c r="L854" s="189">
        <v>0.6987000000000001</v>
      </c>
    </row>
    <row r="855" ht="22.5" customHeight="1">
      <c r="A855" s="187" t="s">
        <v>60</v>
      </c>
      <c r="B855" s="188">
        <v>47102.0</v>
      </c>
      <c r="C855" s="187">
        <v>750.0</v>
      </c>
      <c r="D855" s="187" t="s">
        <v>107</v>
      </c>
      <c r="E855" s="98">
        <v>358.05</v>
      </c>
      <c r="F855" s="98">
        <v>360.73</v>
      </c>
      <c r="G855" s="98">
        <v>363.4</v>
      </c>
      <c r="H855" s="189">
        <v>0.5379999999999999</v>
      </c>
      <c r="I855" s="98">
        <v>-0.5864</v>
      </c>
      <c r="J855" s="98">
        <v>0.0</v>
      </c>
      <c r="K855" s="98">
        <v>0.0</v>
      </c>
      <c r="L855" s="189">
        <v>0.7216</v>
      </c>
    </row>
    <row r="856" ht="22.5" customHeight="1">
      <c r="A856" s="187" t="s">
        <v>60</v>
      </c>
      <c r="B856" s="188">
        <v>47102.0</v>
      </c>
      <c r="C856" s="187">
        <v>760.0</v>
      </c>
      <c r="D856" s="187" t="s">
        <v>107</v>
      </c>
      <c r="E856" s="98">
        <v>366.3</v>
      </c>
      <c r="F856" s="98">
        <v>368.98</v>
      </c>
      <c r="G856" s="98">
        <v>371.65</v>
      </c>
      <c r="H856" s="189">
        <v>0.5381</v>
      </c>
      <c r="I856" s="98">
        <v>-0.5924</v>
      </c>
      <c r="J856" s="98">
        <v>0.0</v>
      </c>
      <c r="K856" s="98">
        <v>0.0</v>
      </c>
      <c r="L856" s="189">
        <v>0.7445999999999999</v>
      </c>
    </row>
    <row r="857" ht="22.5" customHeight="1">
      <c r="A857" s="187" t="s">
        <v>60</v>
      </c>
      <c r="B857" s="188">
        <v>47102.0</v>
      </c>
      <c r="C857" s="187">
        <v>770.0</v>
      </c>
      <c r="D857" s="187" t="s">
        <v>107</v>
      </c>
      <c r="E857" s="98">
        <v>374.65</v>
      </c>
      <c r="F857" s="98">
        <v>377.33</v>
      </c>
      <c r="G857" s="98">
        <v>380.0</v>
      </c>
      <c r="H857" s="189">
        <v>0.5384</v>
      </c>
      <c r="I857" s="98">
        <v>-0.5981</v>
      </c>
      <c r="J857" s="98">
        <v>0.0</v>
      </c>
      <c r="K857" s="98">
        <v>0.0</v>
      </c>
      <c r="L857" s="189">
        <v>0.7676000000000001</v>
      </c>
    </row>
    <row r="858" ht="22.5" customHeight="1">
      <c r="A858" s="187" t="s">
        <v>60</v>
      </c>
      <c r="B858" s="188">
        <v>47102.0</v>
      </c>
      <c r="C858" s="187">
        <v>780.0</v>
      </c>
      <c r="D858" s="187" t="s">
        <v>107</v>
      </c>
      <c r="E858" s="98">
        <v>383.0</v>
      </c>
      <c r="F858" s="98">
        <v>385.7</v>
      </c>
      <c r="G858" s="98">
        <v>388.4</v>
      </c>
      <c r="H858" s="189">
        <v>0.5387</v>
      </c>
      <c r="I858" s="98">
        <v>-0.6037</v>
      </c>
      <c r="J858" s="98">
        <v>0.0</v>
      </c>
      <c r="K858" s="98">
        <v>0.0</v>
      </c>
      <c r="L858" s="189">
        <v>0.7905</v>
      </c>
    </row>
    <row r="859" ht="22.5" customHeight="1">
      <c r="A859" s="187" t="s">
        <v>60</v>
      </c>
      <c r="B859" s="188">
        <v>47102.0</v>
      </c>
      <c r="C859" s="187">
        <v>790.0</v>
      </c>
      <c r="D859" s="187" t="s">
        <v>107</v>
      </c>
      <c r="E859" s="98">
        <v>391.4</v>
      </c>
      <c r="F859" s="98">
        <v>394.13</v>
      </c>
      <c r="G859" s="98">
        <v>396.85</v>
      </c>
      <c r="H859" s="189">
        <v>0.539</v>
      </c>
      <c r="I859" s="98">
        <v>-0.6092</v>
      </c>
      <c r="J859" s="98">
        <v>0.0</v>
      </c>
      <c r="K859" s="98">
        <v>0.0</v>
      </c>
      <c r="L859" s="189">
        <v>0.8134999999999999</v>
      </c>
    </row>
    <row r="860" ht="22.5" customHeight="1">
      <c r="A860" s="187" t="s">
        <v>60</v>
      </c>
      <c r="B860" s="188">
        <v>47102.0</v>
      </c>
      <c r="C860" s="187">
        <v>800.0</v>
      </c>
      <c r="D860" s="187" t="s">
        <v>107</v>
      </c>
      <c r="E860" s="98">
        <v>399.85</v>
      </c>
      <c r="F860" s="98">
        <v>402.58</v>
      </c>
      <c r="G860" s="98">
        <v>405.3</v>
      </c>
      <c r="H860" s="189">
        <v>0.5335</v>
      </c>
      <c r="I860" s="98">
        <v>-0.6306</v>
      </c>
      <c r="J860" s="98">
        <v>71.0</v>
      </c>
      <c r="K860" s="98">
        <v>59.0</v>
      </c>
      <c r="L860" s="189">
        <v>0.8364</v>
      </c>
    </row>
    <row r="861" ht="22.5" customHeight="1">
      <c r="A861" s="187" t="s">
        <v>60</v>
      </c>
      <c r="B861" s="188">
        <v>47102.0</v>
      </c>
      <c r="C861" s="187">
        <v>810.0</v>
      </c>
      <c r="D861" s="187" t="s">
        <v>107</v>
      </c>
      <c r="E861" s="98">
        <v>408.3</v>
      </c>
      <c r="F861" s="98">
        <v>411.05</v>
      </c>
      <c r="G861" s="98">
        <v>413.8</v>
      </c>
      <c r="H861" s="189">
        <v>0.5395</v>
      </c>
      <c r="I861" s="98">
        <v>-0.6315</v>
      </c>
      <c r="J861" s="98">
        <v>0.0</v>
      </c>
      <c r="K861" s="98">
        <v>0.0</v>
      </c>
      <c r="L861" s="189">
        <v>0.8593999999999999</v>
      </c>
    </row>
    <row r="862" ht="22.5" customHeight="1">
      <c r="A862" s="187" t="s">
        <v>60</v>
      </c>
      <c r="B862" s="188">
        <v>47102.0</v>
      </c>
      <c r="C862" s="187">
        <v>820.0</v>
      </c>
      <c r="D862" s="187" t="s">
        <v>107</v>
      </c>
      <c r="E862" s="98">
        <v>416.85</v>
      </c>
      <c r="F862" s="98">
        <v>419.6</v>
      </c>
      <c r="G862" s="98">
        <v>422.35</v>
      </c>
      <c r="H862" s="189">
        <v>0.5325</v>
      </c>
      <c r="I862" s="98">
        <v>-0.6503</v>
      </c>
      <c r="J862" s="98">
        <v>1.0</v>
      </c>
      <c r="K862" s="98">
        <v>1.0</v>
      </c>
      <c r="L862" s="189">
        <v>0.8823000000000001</v>
      </c>
    </row>
    <row r="863" ht="22.5" customHeight="1">
      <c r="A863" s="187" t="s">
        <v>60</v>
      </c>
      <c r="B863" s="188">
        <v>47102.0</v>
      </c>
      <c r="C863" s="187">
        <v>830.0</v>
      </c>
      <c r="D863" s="187" t="s">
        <v>107</v>
      </c>
      <c r="E863" s="98">
        <v>425.4</v>
      </c>
      <c r="F863" s="98">
        <v>428.17</v>
      </c>
      <c r="G863" s="98">
        <v>430.95</v>
      </c>
      <c r="H863" s="189">
        <v>0.5399</v>
      </c>
      <c r="I863" s="98">
        <v>-0.6498</v>
      </c>
      <c r="J863" s="98">
        <v>0.0</v>
      </c>
      <c r="K863" s="98">
        <v>0.0</v>
      </c>
      <c r="L863" s="189">
        <v>0.9053</v>
      </c>
    </row>
    <row r="864" ht="22.5" customHeight="1">
      <c r="A864" s="187" t="s">
        <v>60</v>
      </c>
      <c r="B864" s="188">
        <v>47102.0</v>
      </c>
      <c r="C864" s="187">
        <v>840.0</v>
      </c>
      <c r="D864" s="187" t="s">
        <v>107</v>
      </c>
      <c r="E864" s="98">
        <v>434.0</v>
      </c>
      <c r="F864" s="98">
        <v>436.8</v>
      </c>
      <c r="G864" s="98">
        <v>439.6</v>
      </c>
      <c r="H864" s="189">
        <v>0.5401</v>
      </c>
      <c r="I864" s="98">
        <v>-0.6548</v>
      </c>
      <c r="J864" s="98">
        <v>0.0</v>
      </c>
      <c r="K864" s="98">
        <v>1.0</v>
      </c>
      <c r="L864" s="189">
        <v>0.9281999999999999</v>
      </c>
    </row>
    <row r="865" ht="22.5" customHeight="1">
      <c r="A865" s="187" t="s">
        <v>60</v>
      </c>
      <c r="B865" s="188">
        <v>47102.0</v>
      </c>
      <c r="C865" s="187">
        <v>850.0</v>
      </c>
      <c r="D865" s="187" t="s">
        <v>107</v>
      </c>
      <c r="E865" s="98">
        <v>442.65</v>
      </c>
      <c r="F865" s="98">
        <v>445.45</v>
      </c>
      <c r="G865" s="98">
        <v>448.25</v>
      </c>
      <c r="H865" s="189">
        <v>0.5402</v>
      </c>
      <c r="I865" s="98">
        <v>-0.6652</v>
      </c>
      <c r="J865" s="98">
        <v>0.0</v>
      </c>
      <c r="K865" s="98">
        <v>1.0</v>
      </c>
      <c r="L865" s="189">
        <v>0.9512</v>
      </c>
    </row>
    <row r="866" ht="22.5" customHeight="1">
      <c r="A866" s="187" t="s">
        <v>60</v>
      </c>
      <c r="B866" s="188">
        <v>47102.0</v>
      </c>
      <c r="C866" s="187">
        <v>860.0</v>
      </c>
      <c r="D866" s="187" t="s">
        <v>107</v>
      </c>
      <c r="E866" s="98">
        <v>451.35</v>
      </c>
      <c r="F866" s="98">
        <v>454.15</v>
      </c>
      <c r="G866" s="98">
        <v>456.95</v>
      </c>
      <c r="H866" s="189">
        <v>0.5404</v>
      </c>
      <c r="I866" s="98">
        <v>-0.67</v>
      </c>
      <c r="J866" s="98">
        <v>0.0</v>
      </c>
      <c r="K866" s="98">
        <v>1.0</v>
      </c>
      <c r="L866" s="189">
        <v>0.9742000000000001</v>
      </c>
    </row>
    <row r="867" ht="22.5" customHeight="1">
      <c r="A867" s="187" t="s">
        <v>60</v>
      </c>
      <c r="B867" s="188">
        <v>47102.0</v>
      </c>
      <c r="C867" s="187">
        <v>870.0</v>
      </c>
      <c r="D867" s="187" t="s">
        <v>107</v>
      </c>
      <c r="E867" s="98">
        <v>460.05</v>
      </c>
      <c r="F867" s="98">
        <v>462.88</v>
      </c>
      <c r="G867" s="98">
        <v>465.7</v>
      </c>
      <c r="H867" s="189">
        <v>0.5295000000000001</v>
      </c>
      <c r="I867" s="98">
        <v>-0.6901</v>
      </c>
      <c r="J867" s="98">
        <v>2.0</v>
      </c>
      <c r="K867" s="98">
        <v>2.0</v>
      </c>
      <c r="L867" s="189">
        <v>0.9971</v>
      </c>
    </row>
  </sheetData>
  <dataValidations>
    <dataValidation type="custom" allowBlank="1" showDropDown="1" sqref="B2:B867">
      <formula1>OR(NOT(ISERROR(DATEVALUE(B2))), AND(ISNUMBER(B2), LEFT(CELL("format", B2))="D"))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2" max="2" width="11.5"/>
    <col customWidth="1" min="3" max="3" width="45.13"/>
    <col customWidth="1" min="4" max="4" width="8.25"/>
    <col customWidth="1" min="5" max="5" width="8.13"/>
    <col customWidth="1" min="6" max="6" width="7.63"/>
    <col customWidth="1" min="7" max="7" width="11.38"/>
    <col customWidth="1" min="8" max="8" width="6.38"/>
    <col customWidth="1" min="9" max="9" width="12.5"/>
    <col customWidth="1" min="10" max="10" width="12.38"/>
    <col customWidth="1" min="11" max="11" width="10.13"/>
    <col customWidth="1" min="12" max="12" width="10.0"/>
    <col customWidth="1" min="13" max="13" width="10.38"/>
    <col customWidth="1" min="14" max="14" width="11.5"/>
    <col customWidth="1" min="15" max="15" width="9.25"/>
    <col customWidth="1" min="16" max="16" width="12.63"/>
  </cols>
  <sheetData>
    <row r="1">
      <c r="A1" s="191" t="s">
        <v>108</v>
      </c>
      <c r="B1" s="191" t="s">
        <v>82</v>
      </c>
      <c r="C1" s="191" t="s">
        <v>83</v>
      </c>
    </row>
    <row r="2">
      <c r="A2" s="192" t="s">
        <v>109</v>
      </c>
      <c r="B2" s="193">
        <v>150.0</v>
      </c>
      <c r="C2" s="192" t="s">
        <v>110</v>
      </c>
    </row>
    <row r="3">
      <c r="A3" s="192" t="s">
        <v>111</v>
      </c>
      <c r="B3" s="193">
        <v>10.0</v>
      </c>
      <c r="C3" s="192" t="s">
        <v>112</v>
      </c>
    </row>
    <row r="4">
      <c r="A4" s="192" t="s">
        <v>113</v>
      </c>
      <c r="B4" s="192">
        <v>2.0</v>
      </c>
      <c r="C4" s="192" t="s">
        <v>114</v>
      </c>
    </row>
    <row r="5">
      <c r="A5" s="192" t="s">
        <v>115</v>
      </c>
      <c r="B5" s="192">
        <v>60.0</v>
      </c>
      <c r="C5" s="192" t="s">
        <v>116</v>
      </c>
    </row>
    <row r="6">
      <c r="A6" s="192" t="s">
        <v>117</v>
      </c>
      <c r="B6" s="193">
        <v>50.0</v>
      </c>
      <c r="C6" s="192" t="s">
        <v>118</v>
      </c>
    </row>
    <row r="7">
      <c r="A7" s="192" t="s">
        <v>119</v>
      </c>
      <c r="B7" s="193">
        <v>0.5</v>
      </c>
      <c r="C7" s="192" t="s">
        <v>120</v>
      </c>
    </row>
    <row r="8">
      <c r="A8" s="192" t="s">
        <v>121</v>
      </c>
      <c r="B8" s="192">
        <v>700.0</v>
      </c>
      <c r="C8" s="192" t="s">
        <v>122</v>
      </c>
    </row>
    <row r="9">
      <c r="A9" s="192" t="s">
        <v>123</v>
      </c>
      <c r="B9" s="193">
        <v>6.0</v>
      </c>
      <c r="C9" s="192" t="s">
        <v>124</v>
      </c>
    </row>
    <row r="10">
      <c r="A10" s="192" t="s">
        <v>125</v>
      </c>
      <c r="B10" s="193">
        <v>20.0</v>
      </c>
      <c r="C10" s="192" t="s">
        <v>126</v>
      </c>
    </row>
    <row r="19">
      <c r="A19" s="11" t="s">
        <v>127</v>
      </c>
    </row>
    <row r="20">
      <c r="A20" s="194" t="s">
        <v>35</v>
      </c>
      <c r="B20" s="194" t="s">
        <v>3</v>
      </c>
      <c r="C20" s="194" t="s">
        <v>128</v>
      </c>
      <c r="D20" s="194" t="s">
        <v>129</v>
      </c>
      <c r="E20" s="194" t="s">
        <v>130</v>
      </c>
      <c r="F20" s="194" t="s">
        <v>46</v>
      </c>
      <c r="G20" s="194" t="s">
        <v>131</v>
      </c>
      <c r="H20" s="194" t="s">
        <v>132</v>
      </c>
      <c r="I20" s="194" t="s">
        <v>133</v>
      </c>
      <c r="J20" s="194" t="s">
        <v>134</v>
      </c>
      <c r="K20" s="194" t="s">
        <v>135</v>
      </c>
      <c r="L20" s="194" t="s">
        <v>136</v>
      </c>
      <c r="M20" s="194" t="s">
        <v>137</v>
      </c>
      <c r="N20" s="194" t="s">
        <v>138</v>
      </c>
      <c r="O20" s="194" t="s">
        <v>139</v>
      </c>
      <c r="P20" s="195" t="s">
        <v>140</v>
      </c>
      <c r="Q20" s="194" t="s">
        <v>141</v>
      </c>
    </row>
    <row r="21">
      <c r="A21" s="196" t="s">
        <v>60</v>
      </c>
      <c r="B21" s="197">
        <v>46920.0</v>
      </c>
      <c r="C21" s="198">
        <v>500.0</v>
      </c>
      <c r="D21" s="198">
        <v>600.0</v>
      </c>
      <c r="E21" s="198">
        <v>100.0</v>
      </c>
      <c r="F21" s="199">
        <v>24.63</v>
      </c>
      <c r="G21" s="200">
        <f t="shared" ref="G21:G255" si="1">E21-F21</f>
        <v>75.37</v>
      </c>
      <c r="H21" s="201">
        <f t="shared" ref="H21:H255" si="2">IF(F21&gt;0,G21/F21,0)</f>
        <v>3.060089322</v>
      </c>
      <c r="I21" s="202">
        <v>0.65</v>
      </c>
      <c r="J21" s="202">
        <v>0.57</v>
      </c>
      <c r="K21" s="198">
        <v>2072.0</v>
      </c>
      <c r="L21" s="198">
        <v>1006.0</v>
      </c>
      <c r="M21" s="198">
        <v>14.44</v>
      </c>
      <c r="N21" s="198">
        <v>0.71</v>
      </c>
      <c r="O21" s="201">
        <f t="shared" ref="O21:O255" si="3">ROUND(H21*SQRT(M21)*SQRT(N21),2)</f>
        <v>9.8</v>
      </c>
      <c r="P21" s="203" t="str">
        <f t="shared" ref="P21:P255" si="4">HYPERLINK(buildOptionStratUrl(C21&amp;"/"&amp;D21,A21,"bull-call-spread",B21),"OptionStrat")</f>
        <v>OptionStrat</v>
      </c>
      <c r="Q21" s="204" t="str">
        <f t="shared" ref="Q21:Q255" si="5">A21&amp;" "&amp;C21&amp;"/"&amp;D21&amp;" "&amp;TEXT(B21,"MMMYY")</f>
        <v>TSLA 500/600 Jun28</v>
      </c>
    </row>
    <row r="22">
      <c r="A22" s="205" t="s">
        <v>60</v>
      </c>
      <c r="B22" s="206">
        <v>47102.0</v>
      </c>
      <c r="C22" s="207">
        <v>700.0</v>
      </c>
      <c r="D22" s="207">
        <v>800.0</v>
      </c>
      <c r="E22" s="207">
        <v>100.0</v>
      </c>
      <c r="F22" s="208">
        <v>13.32</v>
      </c>
      <c r="G22" s="209">
        <f t="shared" si="1"/>
        <v>86.68</v>
      </c>
      <c r="H22" s="210">
        <f t="shared" si="2"/>
        <v>6.507507508</v>
      </c>
      <c r="I22" s="211">
        <v>0.53</v>
      </c>
      <c r="J22" s="211">
        <v>0.48</v>
      </c>
      <c r="K22" s="207">
        <v>631.0</v>
      </c>
      <c r="L22" s="207">
        <v>383.0</v>
      </c>
      <c r="M22" s="207">
        <v>4.92</v>
      </c>
      <c r="N22" s="207">
        <v>0.31</v>
      </c>
      <c r="O22" s="210">
        <f t="shared" si="3"/>
        <v>8.04</v>
      </c>
      <c r="P22" s="212" t="str">
        <f t="shared" si="4"/>
        <v>OptionStrat</v>
      </c>
      <c r="Q22" s="213" t="str">
        <f t="shared" si="5"/>
        <v>TSLA 700/800 Dec28</v>
      </c>
    </row>
    <row r="23">
      <c r="A23" s="196" t="s">
        <v>60</v>
      </c>
      <c r="B23" s="197">
        <v>46920.0</v>
      </c>
      <c r="C23" s="198">
        <v>400.0</v>
      </c>
      <c r="D23" s="198">
        <v>500.0</v>
      </c>
      <c r="E23" s="198">
        <v>100.0</v>
      </c>
      <c r="F23" s="199">
        <v>33.38</v>
      </c>
      <c r="G23" s="200">
        <f t="shared" si="1"/>
        <v>66.62</v>
      </c>
      <c r="H23" s="201">
        <f t="shared" si="2"/>
        <v>1.995805872</v>
      </c>
      <c r="I23" s="202">
        <v>0.74</v>
      </c>
      <c r="J23" s="202">
        <v>0.65</v>
      </c>
      <c r="K23" s="198">
        <v>1300.0</v>
      </c>
      <c r="L23" s="198">
        <v>2072.0</v>
      </c>
      <c r="M23" s="198">
        <v>16.41</v>
      </c>
      <c r="N23" s="198">
        <v>0.51</v>
      </c>
      <c r="O23" s="201">
        <f t="shared" si="3"/>
        <v>5.77</v>
      </c>
      <c r="P23" s="203" t="str">
        <f t="shared" si="4"/>
        <v>OptionStrat</v>
      </c>
      <c r="Q23" s="204" t="str">
        <f t="shared" si="5"/>
        <v>TSLA 400/500 Jun28</v>
      </c>
    </row>
    <row r="24">
      <c r="A24" s="205" t="s">
        <v>60</v>
      </c>
      <c r="B24" s="206">
        <v>47102.0</v>
      </c>
      <c r="C24" s="207">
        <v>480.0</v>
      </c>
      <c r="D24" s="207">
        <v>490.0</v>
      </c>
      <c r="E24" s="207">
        <v>10.0</v>
      </c>
      <c r="F24" s="208">
        <v>0.72</v>
      </c>
      <c r="G24" s="209">
        <f t="shared" si="1"/>
        <v>9.28</v>
      </c>
      <c r="H24" s="210">
        <f t="shared" si="2"/>
        <v>12.88888889</v>
      </c>
      <c r="I24" s="211">
        <v>0.69</v>
      </c>
      <c r="J24" s="211">
        <v>0.68</v>
      </c>
      <c r="K24" s="207">
        <v>131.0</v>
      </c>
      <c r="L24" s="207">
        <v>91.0</v>
      </c>
      <c r="M24" s="207">
        <v>1.09</v>
      </c>
      <c r="N24" s="207">
        <v>0.18</v>
      </c>
      <c r="O24" s="210">
        <f t="shared" si="3"/>
        <v>5.71</v>
      </c>
      <c r="P24" s="214" t="str">
        <f t="shared" si="4"/>
        <v>OptionStrat</v>
      </c>
      <c r="Q24" s="213" t="str">
        <f t="shared" si="5"/>
        <v>TSLA 480/490 Dec28</v>
      </c>
    </row>
    <row r="25">
      <c r="A25" s="196" t="s">
        <v>60</v>
      </c>
      <c r="B25" s="197">
        <v>47102.0</v>
      </c>
      <c r="C25" s="198">
        <v>650.0</v>
      </c>
      <c r="D25" s="198">
        <v>800.0</v>
      </c>
      <c r="E25" s="198">
        <v>150.0</v>
      </c>
      <c r="F25" s="199">
        <v>22.05</v>
      </c>
      <c r="G25" s="200">
        <f t="shared" si="1"/>
        <v>127.95</v>
      </c>
      <c r="H25" s="201">
        <f t="shared" si="2"/>
        <v>5.802721088</v>
      </c>
      <c r="I25" s="202">
        <v>0.56</v>
      </c>
      <c r="J25" s="202">
        <v>0.48</v>
      </c>
      <c r="K25" s="198">
        <v>224.0</v>
      </c>
      <c r="L25" s="198">
        <v>383.0</v>
      </c>
      <c r="M25" s="198">
        <v>2.93</v>
      </c>
      <c r="N25" s="198">
        <v>0.32</v>
      </c>
      <c r="O25" s="201">
        <f t="shared" si="3"/>
        <v>5.62</v>
      </c>
      <c r="P25" s="203" t="str">
        <f t="shared" si="4"/>
        <v>OptionStrat</v>
      </c>
      <c r="Q25" s="204" t="str">
        <f t="shared" si="5"/>
        <v>TSLA 650/800 Dec28</v>
      </c>
    </row>
    <row r="26">
      <c r="A26" s="205" t="s">
        <v>60</v>
      </c>
      <c r="B26" s="206">
        <v>47102.0</v>
      </c>
      <c r="C26" s="207">
        <v>650.0</v>
      </c>
      <c r="D26" s="207">
        <v>700.0</v>
      </c>
      <c r="E26" s="207">
        <v>50.0</v>
      </c>
      <c r="F26" s="208">
        <v>7.72</v>
      </c>
      <c r="G26" s="209">
        <f t="shared" si="1"/>
        <v>42.28</v>
      </c>
      <c r="H26" s="210">
        <f t="shared" si="2"/>
        <v>5.476683938</v>
      </c>
      <c r="I26" s="211">
        <v>0.56</v>
      </c>
      <c r="J26" s="211">
        <v>0.53</v>
      </c>
      <c r="K26" s="207">
        <v>224.0</v>
      </c>
      <c r="L26" s="207">
        <v>631.0</v>
      </c>
      <c r="M26" s="207">
        <v>3.76</v>
      </c>
      <c r="N26" s="207">
        <v>0.27</v>
      </c>
      <c r="O26" s="210">
        <f t="shared" si="3"/>
        <v>5.52</v>
      </c>
      <c r="P26" s="214" t="str">
        <f t="shared" si="4"/>
        <v>OptionStrat</v>
      </c>
      <c r="Q26" s="213" t="str">
        <f t="shared" si="5"/>
        <v>TSLA 650/700 Dec28</v>
      </c>
    </row>
    <row r="27">
      <c r="A27" s="196" t="s">
        <v>60</v>
      </c>
      <c r="B27" s="197">
        <v>47102.0</v>
      </c>
      <c r="C27" s="198">
        <v>600.0</v>
      </c>
      <c r="D27" s="198">
        <v>700.0</v>
      </c>
      <c r="E27" s="198">
        <v>100.0</v>
      </c>
      <c r="F27" s="199">
        <v>17.94</v>
      </c>
      <c r="G27" s="200">
        <f t="shared" si="1"/>
        <v>82.06</v>
      </c>
      <c r="H27" s="201">
        <f t="shared" si="2"/>
        <v>4.574136009</v>
      </c>
      <c r="I27" s="202">
        <v>0.6</v>
      </c>
      <c r="J27" s="202">
        <v>0.53</v>
      </c>
      <c r="K27" s="198">
        <v>361.0</v>
      </c>
      <c r="L27" s="198">
        <v>631.0</v>
      </c>
      <c r="M27" s="198">
        <v>4.77</v>
      </c>
      <c r="N27" s="198">
        <v>0.25</v>
      </c>
      <c r="O27" s="201">
        <f t="shared" si="3"/>
        <v>5</v>
      </c>
      <c r="P27" s="203" t="str">
        <f t="shared" si="4"/>
        <v>OptionStrat</v>
      </c>
      <c r="Q27" s="204" t="str">
        <f t="shared" si="5"/>
        <v>TSLA 600/700 Dec28</v>
      </c>
    </row>
    <row r="28">
      <c r="A28" s="205" t="s">
        <v>60</v>
      </c>
      <c r="B28" s="206">
        <v>47102.0</v>
      </c>
      <c r="C28" s="207">
        <v>500.0</v>
      </c>
      <c r="D28" s="207">
        <v>510.0</v>
      </c>
      <c r="E28" s="207">
        <v>10.0</v>
      </c>
      <c r="F28" s="208">
        <v>1.16</v>
      </c>
      <c r="G28" s="209">
        <f t="shared" si="1"/>
        <v>8.84</v>
      </c>
      <c r="H28" s="210">
        <f t="shared" si="2"/>
        <v>7.620689655</v>
      </c>
      <c r="I28" s="211">
        <v>0.67</v>
      </c>
      <c r="J28" s="211">
        <v>0.66</v>
      </c>
      <c r="K28" s="207">
        <v>1208.0</v>
      </c>
      <c r="L28" s="207">
        <v>26.0</v>
      </c>
      <c r="M28" s="207">
        <v>1.77</v>
      </c>
      <c r="N28" s="207">
        <v>0.22</v>
      </c>
      <c r="O28" s="210">
        <f t="shared" si="3"/>
        <v>4.76</v>
      </c>
      <c r="P28" s="214" t="str">
        <f t="shared" si="4"/>
        <v>OptionStrat</v>
      </c>
      <c r="Q28" s="213" t="str">
        <f t="shared" si="5"/>
        <v>TSLA 500/510 Dec28</v>
      </c>
    </row>
    <row r="29">
      <c r="A29" s="196" t="s">
        <v>60</v>
      </c>
      <c r="B29" s="197">
        <v>47102.0</v>
      </c>
      <c r="C29" s="198">
        <v>700.0</v>
      </c>
      <c r="D29" s="198">
        <v>850.0</v>
      </c>
      <c r="E29" s="198">
        <v>150.0</v>
      </c>
      <c r="F29" s="199">
        <v>19.88</v>
      </c>
      <c r="G29" s="200">
        <f t="shared" si="1"/>
        <v>130.12</v>
      </c>
      <c r="H29" s="201">
        <f t="shared" si="2"/>
        <v>6.54527163</v>
      </c>
      <c r="I29" s="202">
        <v>0.53</v>
      </c>
      <c r="J29" s="202">
        <v>0.46</v>
      </c>
      <c r="K29" s="198">
        <v>631.0</v>
      </c>
      <c r="L29" s="198">
        <v>62.0</v>
      </c>
      <c r="M29" s="198">
        <v>1.98</v>
      </c>
      <c r="N29" s="198">
        <v>0.26</v>
      </c>
      <c r="O29" s="201">
        <f t="shared" si="3"/>
        <v>4.7</v>
      </c>
      <c r="P29" s="215" t="str">
        <f t="shared" si="4"/>
        <v>OptionStrat</v>
      </c>
      <c r="Q29" s="204" t="str">
        <f t="shared" si="5"/>
        <v>TSLA 700/850 Dec28</v>
      </c>
    </row>
    <row r="30">
      <c r="A30" s="205" t="s">
        <v>60</v>
      </c>
      <c r="B30" s="206">
        <v>47102.0</v>
      </c>
      <c r="C30" s="207">
        <v>700.0</v>
      </c>
      <c r="D30" s="207">
        <v>750.0</v>
      </c>
      <c r="E30" s="207">
        <v>50.0</v>
      </c>
      <c r="F30" s="208">
        <v>6.8</v>
      </c>
      <c r="G30" s="209">
        <f t="shared" si="1"/>
        <v>43.2</v>
      </c>
      <c r="H30" s="210">
        <f t="shared" si="2"/>
        <v>6.352941176</v>
      </c>
      <c r="I30" s="211">
        <v>0.53</v>
      </c>
      <c r="J30" s="211">
        <v>0.51</v>
      </c>
      <c r="K30" s="207">
        <v>631.0</v>
      </c>
      <c r="L30" s="207">
        <v>65.0</v>
      </c>
      <c r="M30" s="207">
        <v>2.03</v>
      </c>
      <c r="N30" s="207">
        <v>0.26</v>
      </c>
      <c r="O30" s="210">
        <f t="shared" si="3"/>
        <v>4.62</v>
      </c>
      <c r="P30" s="214" t="str">
        <f t="shared" si="4"/>
        <v>OptionStrat</v>
      </c>
      <c r="Q30" s="213" t="str">
        <f t="shared" si="5"/>
        <v>TSLA 700/750 Dec28</v>
      </c>
    </row>
    <row r="31">
      <c r="A31" s="196" t="s">
        <v>60</v>
      </c>
      <c r="B31" s="197">
        <v>47102.0</v>
      </c>
      <c r="C31" s="198">
        <v>500.0</v>
      </c>
      <c r="D31" s="198">
        <v>600.0</v>
      </c>
      <c r="E31" s="198">
        <v>100.0</v>
      </c>
      <c r="F31" s="199">
        <v>22.8</v>
      </c>
      <c r="G31" s="200">
        <f t="shared" si="1"/>
        <v>77.2</v>
      </c>
      <c r="H31" s="201">
        <f t="shared" si="2"/>
        <v>3.385964912</v>
      </c>
      <c r="I31" s="202">
        <v>0.67</v>
      </c>
      <c r="J31" s="202">
        <v>0.6</v>
      </c>
      <c r="K31" s="198">
        <v>1208.0</v>
      </c>
      <c r="L31" s="198">
        <v>361.0</v>
      </c>
      <c r="M31" s="198">
        <v>6.6</v>
      </c>
      <c r="N31" s="198">
        <v>0.23</v>
      </c>
      <c r="O31" s="201">
        <f t="shared" si="3"/>
        <v>4.17</v>
      </c>
      <c r="P31" s="203" t="str">
        <f t="shared" si="4"/>
        <v>OptionStrat</v>
      </c>
      <c r="Q31" s="204" t="str">
        <f t="shared" si="5"/>
        <v>TSLA 500/600 Dec28</v>
      </c>
    </row>
    <row r="32">
      <c r="A32" s="205" t="s">
        <v>60</v>
      </c>
      <c r="B32" s="206">
        <v>47102.0</v>
      </c>
      <c r="C32" s="207">
        <v>500.0</v>
      </c>
      <c r="D32" s="207">
        <v>650.0</v>
      </c>
      <c r="E32" s="207">
        <v>150.0</v>
      </c>
      <c r="F32" s="208">
        <v>33.17</v>
      </c>
      <c r="G32" s="209">
        <f t="shared" si="1"/>
        <v>116.83</v>
      </c>
      <c r="H32" s="210">
        <f t="shared" si="2"/>
        <v>3.522158577</v>
      </c>
      <c r="I32" s="211">
        <v>0.67</v>
      </c>
      <c r="J32" s="211">
        <v>0.56</v>
      </c>
      <c r="K32" s="207">
        <v>1208.0</v>
      </c>
      <c r="L32" s="207">
        <v>224.0</v>
      </c>
      <c r="M32" s="207">
        <v>5.2</v>
      </c>
      <c r="N32" s="207">
        <v>0.25</v>
      </c>
      <c r="O32" s="210">
        <f t="shared" si="3"/>
        <v>4.02</v>
      </c>
      <c r="P32" s="214" t="str">
        <f t="shared" si="4"/>
        <v>OptionStrat</v>
      </c>
      <c r="Q32" s="213" t="str">
        <f t="shared" si="5"/>
        <v>TSLA 500/650 Dec28</v>
      </c>
    </row>
    <row r="33">
      <c r="A33" s="196" t="s">
        <v>60</v>
      </c>
      <c r="B33" s="197">
        <v>47102.0</v>
      </c>
      <c r="C33" s="198">
        <v>470.0</v>
      </c>
      <c r="D33" s="198">
        <v>480.0</v>
      </c>
      <c r="E33" s="198">
        <v>10.0</v>
      </c>
      <c r="F33" s="199">
        <v>1.1</v>
      </c>
      <c r="G33" s="200">
        <f t="shared" si="1"/>
        <v>8.9</v>
      </c>
      <c r="H33" s="201">
        <f t="shared" si="2"/>
        <v>8.090909091</v>
      </c>
      <c r="I33" s="202">
        <v>0.69</v>
      </c>
      <c r="J33" s="202">
        <v>0.69</v>
      </c>
      <c r="K33" s="198">
        <v>71.0</v>
      </c>
      <c r="L33" s="198">
        <v>131.0</v>
      </c>
      <c r="M33" s="198">
        <v>0.96</v>
      </c>
      <c r="N33" s="198">
        <v>0.24</v>
      </c>
      <c r="O33" s="201">
        <f t="shared" si="3"/>
        <v>3.88</v>
      </c>
      <c r="P33" s="203" t="str">
        <f t="shared" si="4"/>
        <v>OptionStrat</v>
      </c>
      <c r="Q33" s="204" t="str">
        <f t="shared" si="5"/>
        <v>TSLA 470/480 Dec28</v>
      </c>
    </row>
    <row r="34">
      <c r="A34" s="205" t="s">
        <v>60</v>
      </c>
      <c r="B34" s="206">
        <v>47102.0</v>
      </c>
      <c r="C34" s="207">
        <v>540.0</v>
      </c>
      <c r="D34" s="207">
        <v>550.0</v>
      </c>
      <c r="E34" s="207">
        <v>10.0</v>
      </c>
      <c r="F34" s="208">
        <v>0.82</v>
      </c>
      <c r="G34" s="209">
        <f t="shared" si="1"/>
        <v>9.18</v>
      </c>
      <c r="H34" s="210">
        <f t="shared" si="2"/>
        <v>11.19512195</v>
      </c>
      <c r="I34" s="211">
        <v>0.64</v>
      </c>
      <c r="J34" s="211">
        <v>0.63</v>
      </c>
      <c r="K34" s="207">
        <v>58.0</v>
      </c>
      <c r="L34" s="207">
        <v>88.0</v>
      </c>
      <c r="M34" s="207">
        <v>0.71</v>
      </c>
      <c r="N34" s="207">
        <v>0.16</v>
      </c>
      <c r="O34" s="210">
        <f t="shared" si="3"/>
        <v>3.77</v>
      </c>
      <c r="P34" s="214" t="str">
        <f t="shared" si="4"/>
        <v>OptionStrat</v>
      </c>
      <c r="Q34" s="213" t="str">
        <f t="shared" si="5"/>
        <v>TSLA 540/550 Dec28</v>
      </c>
    </row>
    <row r="35">
      <c r="A35" s="196" t="s">
        <v>60</v>
      </c>
      <c r="B35" s="197">
        <v>47102.0</v>
      </c>
      <c r="C35" s="198">
        <v>600.0</v>
      </c>
      <c r="D35" s="198">
        <v>650.0</v>
      </c>
      <c r="E35" s="198">
        <v>50.0</v>
      </c>
      <c r="F35" s="199">
        <v>9.27</v>
      </c>
      <c r="G35" s="200">
        <f t="shared" si="1"/>
        <v>40.73</v>
      </c>
      <c r="H35" s="201">
        <f t="shared" si="2"/>
        <v>4.393743258</v>
      </c>
      <c r="I35" s="202">
        <v>0.6</v>
      </c>
      <c r="J35" s="202">
        <v>0.56</v>
      </c>
      <c r="K35" s="198">
        <v>361.0</v>
      </c>
      <c r="L35" s="198">
        <v>224.0</v>
      </c>
      <c r="M35" s="198">
        <v>2.84</v>
      </c>
      <c r="N35" s="198">
        <v>0.26</v>
      </c>
      <c r="O35" s="201">
        <f t="shared" si="3"/>
        <v>3.78</v>
      </c>
      <c r="P35" s="203" t="str">
        <f t="shared" si="4"/>
        <v>OptionStrat</v>
      </c>
      <c r="Q35" s="204" t="str">
        <f t="shared" si="5"/>
        <v>TSLA 600/650 Dec28</v>
      </c>
    </row>
    <row r="36">
      <c r="A36" s="205" t="s">
        <v>60</v>
      </c>
      <c r="B36" s="206">
        <v>47102.0</v>
      </c>
      <c r="C36" s="207">
        <v>700.0</v>
      </c>
      <c r="D36" s="207">
        <v>820.0</v>
      </c>
      <c r="E36" s="207">
        <v>120.0</v>
      </c>
      <c r="F36" s="208">
        <v>16.3</v>
      </c>
      <c r="G36" s="209">
        <f t="shared" si="1"/>
        <v>103.7</v>
      </c>
      <c r="H36" s="210">
        <f t="shared" si="2"/>
        <v>6.36196319</v>
      </c>
      <c r="I36" s="211">
        <v>0.53</v>
      </c>
      <c r="J36" s="211">
        <v>0.47</v>
      </c>
      <c r="K36" s="207">
        <v>631.0</v>
      </c>
      <c r="L36" s="207">
        <v>22.0</v>
      </c>
      <c r="M36" s="207">
        <v>1.18</v>
      </c>
      <c r="N36" s="207">
        <v>0.26</v>
      </c>
      <c r="O36" s="210">
        <f t="shared" si="3"/>
        <v>3.52</v>
      </c>
      <c r="P36" s="214" t="str">
        <f t="shared" si="4"/>
        <v>OptionStrat</v>
      </c>
      <c r="Q36" s="213" t="str">
        <f t="shared" si="5"/>
        <v>TSLA 700/820 Dec28</v>
      </c>
    </row>
    <row r="37">
      <c r="A37" s="196" t="s">
        <v>60</v>
      </c>
      <c r="B37" s="197">
        <v>47102.0</v>
      </c>
      <c r="C37" s="198">
        <v>700.0</v>
      </c>
      <c r="D37" s="198">
        <v>760.0</v>
      </c>
      <c r="E37" s="198">
        <v>60.0</v>
      </c>
      <c r="F37" s="199">
        <v>8.25</v>
      </c>
      <c r="G37" s="200">
        <f t="shared" si="1"/>
        <v>51.75</v>
      </c>
      <c r="H37" s="201">
        <f t="shared" si="2"/>
        <v>6.272727273</v>
      </c>
      <c r="I37" s="202">
        <v>0.53</v>
      </c>
      <c r="J37" s="202">
        <v>0.5</v>
      </c>
      <c r="K37" s="198">
        <v>631.0</v>
      </c>
      <c r="L37" s="198">
        <v>16.0</v>
      </c>
      <c r="M37" s="198">
        <v>1.0</v>
      </c>
      <c r="N37" s="198">
        <v>0.26</v>
      </c>
      <c r="O37" s="201">
        <f t="shared" si="3"/>
        <v>3.2</v>
      </c>
      <c r="P37" s="203" t="str">
        <f t="shared" si="4"/>
        <v>OptionStrat</v>
      </c>
      <c r="Q37" s="204" t="str">
        <f t="shared" si="5"/>
        <v>TSLA 700/760 Dec28</v>
      </c>
    </row>
    <row r="38">
      <c r="A38" s="205" t="s">
        <v>60</v>
      </c>
      <c r="B38" s="206">
        <v>47102.0</v>
      </c>
      <c r="C38" s="207">
        <v>700.0</v>
      </c>
      <c r="D38" s="207">
        <v>770.0</v>
      </c>
      <c r="E38" s="207">
        <v>70.0</v>
      </c>
      <c r="F38" s="208">
        <v>10.47</v>
      </c>
      <c r="G38" s="209">
        <f t="shared" si="1"/>
        <v>59.53</v>
      </c>
      <c r="H38" s="210">
        <f t="shared" si="2"/>
        <v>5.685768863</v>
      </c>
      <c r="I38" s="211">
        <v>0.53</v>
      </c>
      <c r="J38" s="211">
        <v>0.49</v>
      </c>
      <c r="K38" s="207">
        <v>631.0</v>
      </c>
      <c r="L38" s="207">
        <v>15.0</v>
      </c>
      <c r="M38" s="207">
        <v>0.97</v>
      </c>
      <c r="N38" s="207">
        <v>0.32</v>
      </c>
      <c r="O38" s="210">
        <f t="shared" si="3"/>
        <v>3.17</v>
      </c>
      <c r="P38" s="214" t="str">
        <f t="shared" si="4"/>
        <v>OptionStrat</v>
      </c>
      <c r="Q38" s="213" t="str">
        <f t="shared" si="5"/>
        <v>TSLA 700/770 Dec28</v>
      </c>
    </row>
    <row r="39">
      <c r="A39" s="196" t="s">
        <v>60</v>
      </c>
      <c r="B39" s="197">
        <v>47102.0</v>
      </c>
      <c r="C39" s="198">
        <v>650.0</v>
      </c>
      <c r="D39" s="198">
        <v>750.0</v>
      </c>
      <c r="E39" s="198">
        <v>100.0</v>
      </c>
      <c r="F39" s="199">
        <v>15.52</v>
      </c>
      <c r="G39" s="200">
        <f t="shared" si="1"/>
        <v>84.48</v>
      </c>
      <c r="H39" s="201">
        <f t="shared" si="2"/>
        <v>5.443298969</v>
      </c>
      <c r="I39" s="202">
        <v>0.56</v>
      </c>
      <c r="J39" s="202">
        <v>0.51</v>
      </c>
      <c r="K39" s="198">
        <v>224.0</v>
      </c>
      <c r="L39" s="198">
        <v>65.0</v>
      </c>
      <c r="M39" s="198">
        <v>1.21</v>
      </c>
      <c r="N39" s="198">
        <v>0.27</v>
      </c>
      <c r="O39" s="201">
        <f t="shared" si="3"/>
        <v>3.11</v>
      </c>
      <c r="P39" s="203" t="str">
        <f t="shared" si="4"/>
        <v>OptionStrat</v>
      </c>
      <c r="Q39" s="204" t="str">
        <f t="shared" si="5"/>
        <v>TSLA 650/750 Dec28</v>
      </c>
    </row>
    <row r="40">
      <c r="A40" s="205" t="s">
        <v>60</v>
      </c>
      <c r="B40" s="206">
        <v>47102.0</v>
      </c>
      <c r="C40" s="207">
        <v>500.0</v>
      </c>
      <c r="D40" s="207">
        <v>530.0</v>
      </c>
      <c r="E40" s="207">
        <v>30.0</v>
      </c>
      <c r="F40" s="208">
        <v>5.63</v>
      </c>
      <c r="G40" s="209">
        <f t="shared" si="1"/>
        <v>24.37</v>
      </c>
      <c r="H40" s="210">
        <f t="shared" si="2"/>
        <v>4.328596803</v>
      </c>
      <c r="I40" s="211">
        <v>0.67</v>
      </c>
      <c r="J40" s="211">
        <v>0.65</v>
      </c>
      <c r="K40" s="207">
        <v>1208.0</v>
      </c>
      <c r="L40" s="207">
        <v>59.0</v>
      </c>
      <c r="M40" s="207">
        <v>2.67</v>
      </c>
      <c r="N40" s="207">
        <v>0.19</v>
      </c>
      <c r="O40" s="210">
        <f t="shared" si="3"/>
        <v>3.08</v>
      </c>
      <c r="P40" s="212" t="str">
        <f t="shared" si="4"/>
        <v>OptionStrat</v>
      </c>
      <c r="Q40" s="213" t="str">
        <f t="shared" si="5"/>
        <v>TSLA 500/530 Dec28</v>
      </c>
    </row>
    <row r="41">
      <c r="A41" s="196" t="s">
        <v>60</v>
      </c>
      <c r="B41" s="197">
        <v>47102.0</v>
      </c>
      <c r="C41" s="198">
        <v>530.0</v>
      </c>
      <c r="D41" s="198">
        <v>540.0</v>
      </c>
      <c r="E41" s="198">
        <v>10.0</v>
      </c>
      <c r="F41" s="199">
        <v>0.91</v>
      </c>
      <c r="G41" s="200">
        <f t="shared" si="1"/>
        <v>9.09</v>
      </c>
      <c r="H41" s="201">
        <f t="shared" si="2"/>
        <v>9.989010989</v>
      </c>
      <c r="I41" s="202">
        <v>0.65</v>
      </c>
      <c r="J41" s="202">
        <v>0.64</v>
      </c>
      <c r="K41" s="198">
        <v>59.0</v>
      </c>
      <c r="L41" s="198">
        <v>58.0</v>
      </c>
      <c r="M41" s="198">
        <v>0.58</v>
      </c>
      <c r="N41" s="198">
        <v>0.16</v>
      </c>
      <c r="O41" s="201">
        <f t="shared" si="3"/>
        <v>3.04</v>
      </c>
      <c r="P41" s="203" t="str">
        <f t="shared" si="4"/>
        <v>OptionStrat</v>
      </c>
      <c r="Q41" s="204" t="str">
        <f t="shared" si="5"/>
        <v>TSLA 530/540 Dec28</v>
      </c>
    </row>
    <row r="42">
      <c r="A42" s="205" t="s">
        <v>60</v>
      </c>
      <c r="B42" s="206">
        <v>47102.0</v>
      </c>
      <c r="C42" s="207">
        <v>600.0</v>
      </c>
      <c r="D42" s="207">
        <v>750.0</v>
      </c>
      <c r="E42" s="207">
        <v>150.0</v>
      </c>
      <c r="F42" s="208">
        <v>25.74</v>
      </c>
      <c r="G42" s="209">
        <f t="shared" si="1"/>
        <v>124.26</v>
      </c>
      <c r="H42" s="210">
        <f t="shared" si="2"/>
        <v>4.827505828</v>
      </c>
      <c r="I42" s="211">
        <v>0.6</v>
      </c>
      <c r="J42" s="211">
        <v>0.51</v>
      </c>
      <c r="K42" s="207">
        <v>361.0</v>
      </c>
      <c r="L42" s="207">
        <v>65.0</v>
      </c>
      <c r="M42" s="207">
        <v>1.53</v>
      </c>
      <c r="N42" s="207">
        <v>0.25</v>
      </c>
      <c r="O42" s="210">
        <f t="shared" si="3"/>
        <v>2.99</v>
      </c>
      <c r="P42" s="214" t="str">
        <f t="shared" si="4"/>
        <v>OptionStrat</v>
      </c>
      <c r="Q42" s="213" t="str">
        <f t="shared" si="5"/>
        <v>TSLA 600/750 Dec28</v>
      </c>
    </row>
    <row r="43">
      <c r="A43" s="196" t="s">
        <v>60</v>
      </c>
      <c r="B43" s="197">
        <v>47102.0</v>
      </c>
      <c r="C43" s="198">
        <v>480.0</v>
      </c>
      <c r="D43" s="198">
        <v>500.0</v>
      </c>
      <c r="E43" s="198">
        <v>20.0</v>
      </c>
      <c r="F43" s="199">
        <v>4.8</v>
      </c>
      <c r="G43" s="200">
        <f t="shared" si="1"/>
        <v>15.2</v>
      </c>
      <c r="H43" s="201">
        <f t="shared" si="2"/>
        <v>3.166666667</v>
      </c>
      <c r="I43" s="202">
        <v>0.69</v>
      </c>
      <c r="J43" s="202">
        <v>0.67</v>
      </c>
      <c r="K43" s="198">
        <v>131.0</v>
      </c>
      <c r="L43" s="198">
        <v>1208.0</v>
      </c>
      <c r="M43" s="198">
        <v>3.98</v>
      </c>
      <c r="N43" s="198">
        <v>0.22</v>
      </c>
      <c r="O43" s="201">
        <f t="shared" si="3"/>
        <v>2.96</v>
      </c>
      <c r="P43" s="215" t="str">
        <f t="shared" si="4"/>
        <v>OptionStrat</v>
      </c>
      <c r="Q43" s="204" t="str">
        <f t="shared" si="5"/>
        <v>TSLA 480/500 Dec28</v>
      </c>
    </row>
    <row r="44">
      <c r="A44" s="205" t="s">
        <v>60</v>
      </c>
      <c r="B44" s="206">
        <v>47102.0</v>
      </c>
      <c r="C44" s="207">
        <v>500.0</v>
      </c>
      <c r="D44" s="207">
        <v>550.0</v>
      </c>
      <c r="E44" s="207">
        <v>50.0</v>
      </c>
      <c r="F44" s="208">
        <v>10.64</v>
      </c>
      <c r="G44" s="209">
        <f t="shared" si="1"/>
        <v>39.36</v>
      </c>
      <c r="H44" s="210">
        <f t="shared" si="2"/>
        <v>3.69924812</v>
      </c>
      <c r="I44" s="211">
        <v>0.67</v>
      </c>
      <c r="J44" s="211">
        <v>0.63</v>
      </c>
      <c r="K44" s="207">
        <v>1208.0</v>
      </c>
      <c r="L44" s="207">
        <v>88.0</v>
      </c>
      <c r="M44" s="207">
        <v>3.26</v>
      </c>
      <c r="N44" s="207">
        <v>0.19</v>
      </c>
      <c r="O44" s="210">
        <f t="shared" si="3"/>
        <v>2.91</v>
      </c>
      <c r="P44" s="214" t="str">
        <f t="shared" si="4"/>
        <v>OptionStrat</v>
      </c>
      <c r="Q44" s="213" t="str">
        <f t="shared" si="5"/>
        <v>TSLA 500/550 Dec28</v>
      </c>
    </row>
    <row r="45">
      <c r="A45" s="196" t="s">
        <v>60</v>
      </c>
      <c r="B45" s="197">
        <v>46920.0</v>
      </c>
      <c r="C45" s="198">
        <v>400.0</v>
      </c>
      <c r="D45" s="198">
        <v>440.0</v>
      </c>
      <c r="E45" s="198">
        <v>40.0</v>
      </c>
      <c r="F45" s="199">
        <v>14.3</v>
      </c>
      <c r="G45" s="200">
        <f t="shared" si="1"/>
        <v>25.7</v>
      </c>
      <c r="H45" s="201">
        <f t="shared" si="2"/>
        <v>1.797202797</v>
      </c>
      <c r="I45" s="202">
        <v>0.74</v>
      </c>
      <c r="J45" s="202">
        <v>0.7</v>
      </c>
      <c r="K45" s="198">
        <v>1300.0</v>
      </c>
      <c r="L45" s="198">
        <v>201.0</v>
      </c>
      <c r="M45" s="198">
        <v>5.11</v>
      </c>
      <c r="N45" s="198">
        <v>0.51</v>
      </c>
      <c r="O45" s="201">
        <f t="shared" si="3"/>
        <v>2.9</v>
      </c>
      <c r="P45" s="203" t="str">
        <f t="shared" si="4"/>
        <v>OptionStrat</v>
      </c>
      <c r="Q45" s="204" t="str">
        <f t="shared" si="5"/>
        <v>TSLA 400/440 Jun28</v>
      </c>
    </row>
    <row r="46">
      <c r="A46" s="205" t="s">
        <v>60</v>
      </c>
      <c r="B46" s="206">
        <v>47102.0</v>
      </c>
      <c r="C46" s="207">
        <v>570.0</v>
      </c>
      <c r="D46" s="207">
        <v>700.0</v>
      </c>
      <c r="E46" s="207">
        <v>130.0</v>
      </c>
      <c r="F46" s="208">
        <v>24.87</v>
      </c>
      <c r="G46" s="209">
        <f t="shared" si="1"/>
        <v>105.13</v>
      </c>
      <c r="H46" s="210">
        <f t="shared" si="2"/>
        <v>4.227181343</v>
      </c>
      <c r="I46" s="211">
        <v>0.62</v>
      </c>
      <c r="J46" s="211">
        <v>0.53</v>
      </c>
      <c r="K46" s="207">
        <v>80.0</v>
      </c>
      <c r="L46" s="207">
        <v>631.0</v>
      </c>
      <c r="M46" s="207">
        <v>2.25</v>
      </c>
      <c r="N46" s="207">
        <v>0.2</v>
      </c>
      <c r="O46" s="210">
        <f t="shared" si="3"/>
        <v>2.84</v>
      </c>
      <c r="P46" s="214" t="str">
        <f t="shared" si="4"/>
        <v>OptionStrat</v>
      </c>
      <c r="Q46" s="213" t="str">
        <f t="shared" si="5"/>
        <v>TSLA 570/700 Dec28</v>
      </c>
    </row>
    <row r="47">
      <c r="A47" s="196" t="s">
        <v>60</v>
      </c>
      <c r="B47" s="197">
        <v>47102.0</v>
      </c>
      <c r="C47" s="198">
        <v>430.0</v>
      </c>
      <c r="D47" s="198">
        <v>450.0</v>
      </c>
      <c r="E47" s="198">
        <v>20.0</v>
      </c>
      <c r="F47" s="199">
        <v>4.89</v>
      </c>
      <c r="G47" s="200">
        <f t="shared" si="1"/>
        <v>15.11</v>
      </c>
      <c r="H47" s="201">
        <f t="shared" si="2"/>
        <v>3.08997955</v>
      </c>
      <c r="I47" s="202">
        <v>0.72</v>
      </c>
      <c r="J47" s="202">
        <v>0.71</v>
      </c>
      <c r="K47" s="198">
        <v>183.0</v>
      </c>
      <c r="L47" s="198">
        <v>690.0</v>
      </c>
      <c r="M47" s="198">
        <v>3.55</v>
      </c>
      <c r="N47" s="198">
        <v>0.24</v>
      </c>
      <c r="O47" s="201">
        <f t="shared" si="3"/>
        <v>2.85</v>
      </c>
      <c r="P47" s="203" t="str">
        <f t="shared" si="4"/>
        <v>OptionStrat</v>
      </c>
      <c r="Q47" s="204" t="str">
        <f t="shared" si="5"/>
        <v>TSLA 430/450 Dec28</v>
      </c>
    </row>
    <row r="48">
      <c r="A48" s="205" t="s">
        <v>60</v>
      </c>
      <c r="B48" s="206">
        <v>47102.0</v>
      </c>
      <c r="C48" s="207">
        <v>550.0</v>
      </c>
      <c r="D48" s="207">
        <v>700.0</v>
      </c>
      <c r="E48" s="207">
        <v>150.0</v>
      </c>
      <c r="F48" s="208">
        <v>29.59</v>
      </c>
      <c r="G48" s="209">
        <f t="shared" si="1"/>
        <v>120.41</v>
      </c>
      <c r="H48" s="210">
        <f t="shared" si="2"/>
        <v>4.069280162</v>
      </c>
      <c r="I48" s="211">
        <v>0.63</v>
      </c>
      <c r="J48" s="211">
        <v>0.53</v>
      </c>
      <c r="K48" s="207">
        <v>88.0</v>
      </c>
      <c r="L48" s="207">
        <v>631.0</v>
      </c>
      <c r="M48" s="207">
        <v>2.36</v>
      </c>
      <c r="N48" s="207">
        <v>0.2</v>
      </c>
      <c r="O48" s="210">
        <f t="shared" si="3"/>
        <v>2.8</v>
      </c>
      <c r="P48" s="214" t="str">
        <f t="shared" si="4"/>
        <v>OptionStrat</v>
      </c>
      <c r="Q48" s="213" t="str">
        <f t="shared" si="5"/>
        <v>TSLA 550/700 Dec28</v>
      </c>
    </row>
    <row r="49">
      <c r="A49" s="196" t="s">
        <v>60</v>
      </c>
      <c r="B49" s="197">
        <v>47102.0</v>
      </c>
      <c r="C49" s="198">
        <v>500.0</v>
      </c>
      <c r="D49" s="198">
        <v>540.0</v>
      </c>
      <c r="E49" s="198">
        <v>40.0</v>
      </c>
      <c r="F49" s="199">
        <v>8.18</v>
      </c>
      <c r="G49" s="200">
        <f t="shared" si="1"/>
        <v>31.82</v>
      </c>
      <c r="H49" s="201">
        <f t="shared" si="2"/>
        <v>3.88997555</v>
      </c>
      <c r="I49" s="202">
        <v>0.67</v>
      </c>
      <c r="J49" s="202">
        <v>0.64</v>
      </c>
      <c r="K49" s="198">
        <v>1208.0</v>
      </c>
      <c r="L49" s="198">
        <v>58.0</v>
      </c>
      <c r="M49" s="198">
        <v>2.65</v>
      </c>
      <c r="N49" s="198">
        <v>0.19</v>
      </c>
      <c r="O49" s="201">
        <f t="shared" si="3"/>
        <v>2.76</v>
      </c>
      <c r="P49" s="203" t="str">
        <f t="shared" si="4"/>
        <v>OptionStrat</v>
      </c>
      <c r="Q49" s="204" t="str">
        <f t="shared" si="5"/>
        <v>TSLA 500/540 Dec28</v>
      </c>
    </row>
    <row r="50">
      <c r="A50" s="205" t="s">
        <v>60</v>
      </c>
      <c r="B50" s="206">
        <v>47102.0</v>
      </c>
      <c r="C50" s="207">
        <v>470.0</v>
      </c>
      <c r="D50" s="207">
        <v>500.0</v>
      </c>
      <c r="E50" s="207">
        <v>30.0</v>
      </c>
      <c r="F50" s="208">
        <v>7.2</v>
      </c>
      <c r="G50" s="209">
        <f t="shared" si="1"/>
        <v>22.8</v>
      </c>
      <c r="H50" s="210">
        <f t="shared" si="2"/>
        <v>3.166666667</v>
      </c>
      <c r="I50" s="211">
        <v>0.69</v>
      </c>
      <c r="J50" s="211">
        <v>0.67</v>
      </c>
      <c r="K50" s="207">
        <v>71.0</v>
      </c>
      <c r="L50" s="207">
        <v>1208.0</v>
      </c>
      <c r="M50" s="207">
        <v>2.93</v>
      </c>
      <c r="N50" s="207">
        <v>0.26</v>
      </c>
      <c r="O50" s="210">
        <f t="shared" si="3"/>
        <v>2.76</v>
      </c>
      <c r="P50" s="212" t="str">
        <f t="shared" si="4"/>
        <v>OptionStrat</v>
      </c>
      <c r="Q50" s="213" t="str">
        <f t="shared" si="5"/>
        <v>TSLA 470/500 Dec28</v>
      </c>
    </row>
    <row r="51">
      <c r="A51" s="196" t="s">
        <v>60</v>
      </c>
      <c r="B51" s="197">
        <v>47102.0</v>
      </c>
      <c r="C51" s="198">
        <v>500.0</v>
      </c>
      <c r="D51" s="198">
        <v>570.0</v>
      </c>
      <c r="E51" s="198">
        <v>70.0</v>
      </c>
      <c r="F51" s="199">
        <v>15.38</v>
      </c>
      <c r="G51" s="200">
        <f t="shared" si="1"/>
        <v>54.62</v>
      </c>
      <c r="H51" s="201">
        <f t="shared" si="2"/>
        <v>3.55136541</v>
      </c>
      <c r="I51" s="202">
        <v>0.67</v>
      </c>
      <c r="J51" s="202">
        <v>0.62</v>
      </c>
      <c r="K51" s="198">
        <v>1208.0</v>
      </c>
      <c r="L51" s="198">
        <v>80.0</v>
      </c>
      <c r="M51" s="198">
        <v>3.11</v>
      </c>
      <c r="N51" s="198">
        <v>0.19</v>
      </c>
      <c r="O51" s="201">
        <f t="shared" si="3"/>
        <v>2.73</v>
      </c>
      <c r="P51" s="203" t="str">
        <f t="shared" si="4"/>
        <v>OptionStrat</v>
      </c>
      <c r="Q51" s="204" t="str">
        <f t="shared" si="5"/>
        <v>TSLA 500/570 Dec28</v>
      </c>
    </row>
    <row r="52">
      <c r="A52" s="205" t="s">
        <v>60</v>
      </c>
      <c r="B52" s="206">
        <v>47102.0</v>
      </c>
      <c r="C52" s="207">
        <v>420.0</v>
      </c>
      <c r="D52" s="207">
        <v>430.0</v>
      </c>
      <c r="E52" s="207">
        <v>10.0</v>
      </c>
      <c r="F52" s="208">
        <v>1.87</v>
      </c>
      <c r="G52" s="209">
        <f t="shared" si="1"/>
        <v>8.13</v>
      </c>
      <c r="H52" s="210">
        <f t="shared" si="2"/>
        <v>4.347593583</v>
      </c>
      <c r="I52" s="211">
        <v>0.73</v>
      </c>
      <c r="J52" s="211">
        <v>0.72</v>
      </c>
      <c r="K52" s="207">
        <v>123.0</v>
      </c>
      <c r="L52" s="207">
        <v>183.0</v>
      </c>
      <c r="M52" s="207">
        <v>1.5</v>
      </c>
      <c r="N52" s="207">
        <v>0.22</v>
      </c>
      <c r="O52" s="210">
        <f t="shared" si="3"/>
        <v>2.5</v>
      </c>
      <c r="P52" s="212" t="str">
        <f t="shared" si="4"/>
        <v>OptionStrat</v>
      </c>
      <c r="Q52" s="213" t="str">
        <f t="shared" si="5"/>
        <v>TSLA 420/430 Dec28</v>
      </c>
    </row>
    <row r="53">
      <c r="A53" s="196" t="s">
        <v>60</v>
      </c>
      <c r="B53" s="197">
        <v>47102.0</v>
      </c>
      <c r="C53" s="198">
        <v>490.0</v>
      </c>
      <c r="D53" s="198">
        <v>500.0</v>
      </c>
      <c r="E53" s="198">
        <v>10.0</v>
      </c>
      <c r="F53" s="199">
        <v>2.42</v>
      </c>
      <c r="G53" s="200">
        <f t="shared" si="1"/>
        <v>7.58</v>
      </c>
      <c r="H53" s="201">
        <f t="shared" si="2"/>
        <v>3.132231405</v>
      </c>
      <c r="I53" s="202">
        <v>0.68</v>
      </c>
      <c r="J53" s="202">
        <v>0.67</v>
      </c>
      <c r="K53" s="198">
        <v>91.0</v>
      </c>
      <c r="L53" s="198">
        <v>1208.0</v>
      </c>
      <c r="M53" s="198">
        <v>3.32</v>
      </c>
      <c r="N53" s="198">
        <v>0.19</v>
      </c>
      <c r="O53" s="201">
        <f t="shared" si="3"/>
        <v>2.49</v>
      </c>
      <c r="P53" s="203" t="str">
        <f t="shared" si="4"/>
        <v>OptionStrat</v>
      </c>
      <c r="Q53" s="204" t="str">
        <f t="shared" si="5"/>
        <v>TSLA 490/500 Dec28</v>
      </c>
    </row>
    <row r="54">
      <c r="A54" s="205" t="s">
        <v>60</v>
      </c>
      <c r="B54" s="206">
        <v>47102.0</v>
      </c>
      <c r="C54" s="207">
        <v>430.0</v>
      </c>
      <c r="D54" s="207">
        <v>500.0</v>
      </c>
      <c r="E54" s="207">
        <v>70.0</v>
      </c>
      <c r="F54" s="208">
        <v>20.57</v>
      </c>
      <c r="G54" s="209">
        <f t="shared" si="1"/>
        <v>49.43</v>
      </c>
      <c r="H54" s="210">
        <f t="shared" si="2"/>
        <v>2.403014098</v>
      </c>
      <c r="I54" s="211">
        <v>0.72</v>
      </c>
      <c r="J54" s="211">
        <v>0.67</v>
      </c>
      <c r="K54" s="207">
        <v>183.0</v>
      </c>
      <c r="L54" s="207">
        <v>1208.0</v>
      </c>
      <c r="M54" s="207">
        <v>4.7</v>
      </c>
      <c r="N54" s="207">
        <v>0.22</v>
      </c>
      <c r="O54" s="210">
        <f t="shared" si="3"/>
        <v>2.44</v>
      </c>
      <c r="P54" s="212" t="str">
        <f t="shared" si="4"/>
        <v>OptionStrat</v>
      </c>
      <c r="Q54" s="213" t="str">
        <f t="shared" si="5"/>
        <v>TSLA 430/500 Dec28</v>
      </c>
    </row>
    <row r="55">
      <c r="A55" s="196" t="s">
        <v>60</v>
      </c>
      <c r="B55" s="197">
        <v>47102.0</v>
      </c>
      <c r="C55" s="198">
        <v>570.0</v>
      </c>
      <c r="D55" s="198">
        <v>600.0</v>
      </c>
      <c r="E55" s="198">
        <v>30.0</v>
      </c>
      <c r="F55" s="199">
        <v>5.82</v>
      </c>
      <c r="G55" s="200">
        <f t="shared" si="1"/>
        <v>24.18</v>
      </c>
      <c r="H55" s="201">
        <f t="shared" si="2"/>
        <v>4.154639175</v>
      </c>
      <c r="I55" s="202">
        <v>0.62</v>
      </c>
      <c r="J55" s="202">
        <v>0.6</v>
      </c>
      <c r="K55" s="198">
        <v>80.0</v>
      </c>
      <c r="L55" s="198">
        <v>361.0</v>
      </c>
      <c r="M55" s="198">
        <v>1.7</v>
      </c>
      <c r="N55" s="198">
        <v>0.2</v>
      </c>
      <c r="O55" s="201">
        <f t="shared" si="3"/>
        <v>2.42</v>
      </c>
      <c r="P55" s="203" t="str">
        <f t="shared" si="4"/>
        <v>OptionStrat</v>
      </c>
      <c r="Q55" s="204" t="str">
        <f t="shared" si="5"/>
        <v>TSLA 570/600 Dec28</v>
      </c>
    </row>
    <row r="56">
      <c r="A56" s="205" t="s">
        <v>60</v>
      </c>
      <c r="B56" s="206">
        <v>47102.0</v>
      </c>
      <c r="C56" s="207">
        <v>400.0</v>
      </c>
      <c r="D56" s="207">
        <v>500.0</v>
      </c>
      <c r="E56" s="207">
        <v>100.0</v>
      </c>
      <c r="F56" s="208">
        <v>31.58</v>
      </c>
      <c r="G56" s="209">
        <f t="shared" si="1"/>
        <v>68.42</v>
      </c>
      <c r="H56" s="210">
        <f t="shared" si="2"/>
        <v>2.166561115</v>
      </c>
      <c r="I56" s="211">
        <v>0.75</v>
      </c>
      <c r="J56" s="211">
        <v>0.67</v>
      </c>
      <c r="K56" s="207">
        <v>331.0</v>
      </c>
      <c r="L56" s="207">
        <v>1208.0</v>
      </c>
      <c r="M56" s="207">
        <v>6.32</v>
      </c>
      <c r="N56" s="207">
        <v>0.19</v>
      </c>
      <c r="O56" s="210">
        <f t="shared" si="3"/>
        <v>2.37</v>
      </c>
      <c r="P56" s="214" t="str">
        <f t="shared" si="4"/>
        <v>OptionStrat</v>
      </c>
      <c r="Q56" s="213" t="str">
        <f t="shared" si="5"/>
        <v>TSLA 400/500 Dec28</v>
      </c>
    </row>
    <row r="57">
      <c r="A57" s="196" t="s">
        <v>60</v>
      </c>
      <c r="B57" s="197">
        <v>47102.0</v>
      </c>
      <c r="C57" s="198">
        <v>420.0</v>
      </c>
      <c r="D57" s="198">
        <v>450.0</v>
      </c>
      <c r="E57" s="198">
        <v>30.0</v>
      </c>
      <c r="F57" s="199">
        <v>8.07</v>
      </c>
      <c r="G57" s="200">
        <f t="shared" si="1"/>
        <v>21.93</v>
      </c>
      <c r="H57" s="201">
        <f t="shared" si="2"/>
        <v>2.717472119</v>
      </c>
      <c r="I57" s="202">
        <v>0.73</v>
      </c>
      <c r="J57" s="202">
        <v>0.71</v>
      </c>
      <c r="K57" s="198">
        <v>123.0</v>
      </c>
      <c r="L57" s="198">
        <v>690.0</v>
      </c>
      <c r="M57" s="198">
        <v>2.91</v>
      </c>
      <c r="N57" s="198">
        <v>0.26</v>
      </c>
      <c r="O57" s="201">
        <f t="shared" si="3"/>
        <v>2.36</v>
      </c>
      <c r="P57" s="203" t="str">
        <f t="shared" si="4"/>
        <v>OptionStrat</v>
      </c>
      <c r="Q57" s="204" t="str">
        <f t="shared" si="5"/>
        <v>TSLA 420/450 Dec28</v>
      </c>
    </row>
    <row r="58">
      <c r="A58" s="205" t="s">
        <v>60</v>
      </c>
      <c r="B58" s="206">
        <v>47102.0</v>
      </c>
      <c r="C58" s="207">
        <v>650.0</v>
      </c>
      <c r="D58" s="207">
        <v>770.0</v>
      </c>
      <c r="E58" s="207">
        <v>120.0</v>
      </c>
      <c r="F58" s="208">
        <v>19.19</v>
      </c>
      <c r="G58" s="209">
        <f t="shared" si="1"/>
        <v>100.81</v>
      </c>
      <c r="H58" s="210">
        <f t="shared" si="2"/>
        <v>5.253256905</v>
      </c>
      <c r="I58" s="211">
        <v>0.56</v>
      </c>
      <c r="J58" s="211">
        <v>0.49</v>
      </c>
      <c r="K58" s="207">
        <v>224.0</v>
      </c>
      <c r="L58" s="207">
        <v>15.0</v>
      </c>
      <c r="M58" s="207">
        <v>0.58</v>
      </c>
      <c r="N58" s="207">
        <v>0.33</v>
      </c>
      <c r="O58" s="210">
        <f t="shared" si="3"/>
        <v>2.3</v>
      </c>
      <c r="P58" s="212" t="str">
        <f t="shared" si="4"/>
        <v>OptionStrat</v>
      </c>
      <c r="Q58" s="213" t="str">
        <f t="shared" si="5"/>
        <v>TSLA 650/770 Dec28</v>
      </c>
    </row>
    <row r="59">
      <c r="A59" s="196" t="s">
        <v>60</v>
      </c>
      <c r="B59" s="197">
        <v>47102.0</v>
      </c>
      <c r="C59" s="198">
        <v>420.0</v>
      </c>
      <c r="D59" s="198">
        <v>500.0</v>
      </c>
      <c r="E59" s="198">
        <v>80.0</v>
      </c>
      <c r="F59" s="199">
        <v>23.75</v>
      </c>
      <c r="G59" s="200">
        <f t="shared" si="1"/>
        <v>56.25</v>
      </c>
      <c r="H59" s="201">
        <f t="shared" si="2"/>
        <v>2.368421053</v>
      </c>
      <c r="I59" s="202">
        <v>0.73</v>
      </c>
      <c r="J59" s="202">
        <v>0.67</v>
      </c>
      <c r="K59" s="198">
        <v>123.0</v>
      </c>
      <c r="L59" s="198">
        <v>1208.0</v>
      </c>
      <c r="M59" s="198">
        <v>3.85</v>
      </c>
      <c r="N59" s="198">
        <v>0.23</v>
      </c>
      <c r="O59" s="201">
        <f t="shared" si="3"/>
        <v>2.23</v>
      </c>
      <c r="P59" s="215" t="str">
        <f t="shared" si="4"/>
        <v>OptionStrat</v>
      </c>
      <c r="Q59" s="204" t="str">
        <f t="shared" si="5"/>
        <v>TSLA 420/500 Dec28</v>
      </c>
    </row>
    <row r="60">
      <c r="A60" s="205" t="s">
        <v>60</v>
      </c>
      <c r="B60" s="206">
        <v>47102.0</v>
      </c>
      <c r="C60" s="207">
        <v>650.0</v>
      </c>
      <c r="D60" s="207">
        <v>760.0</v>
      </c>
      <c r="E60" s="207">
        <v>110.0</v>
      </c>
      <c r="F60" s="208">
        <v>16.97</v>
      </c>
      <c r="G60" s="209">
        <f t="shared" si="1"/>
        <v>93.03</v>
      </c>
      <c r="H60" s="210">
        <f t="shared" si="2"/>
        <v>5.482027107</v>
      </c>
      <c r="I60" s="211">
        <v>0.56</v>
      </c>
      <c r="J60" s="211">
        <v>0.5</v>
      </c>
      <c r="K60" s="207">
        <v>224.0</v>
      </c>
      <c r="L60" s="207">
        <v>16.0</v>
      </c>
      <c r="M60" s="207">
        <v>0.6</v>
      </c>
      <c r="N60" s="207">
        <v>0.27</v>
      </c>
      <c r="O60" s="210">
        <f t="shared" si="3"/>
        <v>2.21</v>
      </c>
      <c r="P60" s="212" t="str">
        <f t="shared" si="4"/>
        <v>OptionStrat</v>
      </c>
      <c r="Q60" s="213" t="str">
        <f t="shared" si="5"/>
        <v>TSLA 650/760 Dec28</v>
      </c>
    </row>
    <row r="61">
      <c r="A61" s="196" t="s">
        <v>60</v>
      </c>
      <c r="B61" s="197">
        <v>47102.0</v>
      </c>
      <c r="C61" s="198">
        <v>470.0</v>
      </c>
      <c r="D61" s="198">
        <v>490.0</v>
      </c>
      <c r="E61" s="198">
        <v>20.0</v>
      </c>
      <c r="F61" s="199">
        <v>3.12</v>
      </c>
      <c r="G61" s="200">
        <f t="shared" si="1"/>
        <v>16.88</v>
      </c>
      <c r="H61" s="201">
        <f t="shared" si="2"/>
        <v>5.41025641</v>
      </c>
      <c r="I61" s="202">
        <v>0.69</v>
      </c>
      <c r="J61" s="202">
        <v>0.68</v>
      </c>
      <c r="K61" s="198">
        <v>71.0</v>
      </c>
      <c r="L61" s="198">
        <v>91.0</v>
      </c>
      <c r="M61" s="198">
        <v>0.8</v>
      </c>
      <c r="N61" s="198">
        <v>0.21</v>
      </c>
      <c r="O61" s="201">
        <f t="shared" si="3"/>
        <v>2.22</v>
      </c>
      <c r="P61" s="215" t="str">
        <f t="shared" si="4"/>
        <v>OptionStrat</v>
      </c>
      <c r="Q61" s="204" t="str">
        <f t="shared" si="5"/>
        <v>TSLA 470/490 Dec28</v>
      </c>
    </row>
    <row r="62">
      <c r="A62" s="205" t="s">
        <v>60</v>
      </c>
      <c r="B62" s="206">
        <v>47102.0</v>
      </c>
      <c r="C62" s="207">
        <v>550.0</v>
      </c>
      <c r="D62" s="207">
        <v>600.0</v>
      </c>
      <c r="E62" s="207">
        <v>50.0</v>
      </c>
      <c r="F62" s="208">
        <v>10.54</v>
      </c>
      <c r="G62" s="209">
        <f t="shared" si="1"/>
        <v>39.46</v>
      </c>
      <c r="H62" s="210">
        <f t="shared" si="2"/>
        <v>3.743833017</v>
      </c>
      <c r="I62" s="211">
        <v>0.63</v>
      </c>
      <c r="J62" s="211">
        <v>0.6</v>
      </c>
      <c r="K62" s="207">
        <v>88.0</v>
      </c>
      <c r="L62" s="207">
        <v>361.0</v>
      </c>
      <c r="M62" s="207">
        <v>1.78</v>
      </c>
      <c r="N62" s="207">
        <v>0.19</v>
      </c>
      <c r="O62" s="210">
        <f t="shared" si="3"/>
        <v>2.18</v>
      </c>
      <c r="P62" s="214" t="str">
        <f t="shared" si="4"/>
        <v>OptionStrat</v>
      </c>
      <c r="Q62" s="213" t="str">
        <f t="shared" si="5"/>
        <v>TSLA 550/600 Dec28</v>
      </c>
    </row>
    <row r="63">
      <c r="A63" s="196" t="s">
        <v>60</v>
      </c>
      <c r="B63" s="197">
        <v>47102.0</v>
      </c>
      <c r="C63" s="198">
        <v>480.0</v>
      </c>
      <c r="D63" s="198">
        <v>600.0</v>
      </c>
      <c r="E63" s="198">
        <v>120.0</v>
      </c>
      <c r="F63" s="199">
        <v>28.75</v>
      </c>
      <c r="G63" s="200">
        <f t="shared" si="1"/>
        <v>91.25</v>
      </c>
      <c r="H63" s="201">
        <f t="shared" si="2"/>
        <v>3.173913043</v>
      </c>
      <c r="I63" s="202">
        <v>0.69</v>
      </c>
      <c r="J63" s="202">
        <v>0.6</v>
      </c>
      <c r="K63" s="198">
        <v>131.0</v>
      </c>
      <c r="L63" s="198">
        <v>361.0</v>
      </c>
      <c r="M63" s="198">
        <v>2.17</v>
      </c>
      <c r="N63" s="198">
        <v>0.22</v>
      </c>
      <c r="O63" s="201">
        <f t="shared" si="3"/>
        <v>2.19</v>
      </c>
      <c r="P63" s="203" t="str">
        <f t="shared" si="4"/>
        <v>OptionStrat</v>
      </c>
      <c r="Q63" s="204" t="str">
        <f t="shared" si="5"/>
        <v>TSLA 480/600 Dec28</v>
      </c>
    </row>
    <row r="64">
      <c r="A64" s="205" t="s">
        <v>60</v>
      </c>
      <c r="B64" s="206">
        <v>47102.0</v>
      </c>
      <c r="C64" s="207">
        <v>460.0</v>
      </c>
      <c r="D64" s="207">
        <v>500.0</v>
      </c>
      <c r="E64" s="207">
        <v>40.0</v>
      </c>
      <c r="F64" s="208">
        <v>9.55</v>
      </c>
      <c r="G64" s="209">
        <f t="shared" si="1"/>
        <v>30.45</v>
      </c>
      <c r="H64" s="210">
        <f t="shared" si="2"/>
        <v>3.188481675</v>
      </c>
      <c r="I64" s="211">
        <v>0.7</v>
      </c>
      <c r="J64" s="211">
        <v>0.67</v>
      </c>
      <c r="K64" s="207">
        <v>73.0</v>
      </c>
      <c r="L64" s="207">
        <v>1208.0</v>
      </c>
      <c r="M64" s="207">
        <v>2.97</v>
      </c>
      <c r="N64" s="207">
        <v>0.15</v>
      </c>
      <c r="O64" s="210">
        <f t="shared" si="3"/>
        <v>2.13</v>
      </c>
      <c r="P64" s="214" t="str">
        <f t="shared" si="4"/>
        <v>OptionStrat</v>
      </c>
      <c r="Q64" s="213" t="str">
        <f t="shared" si="5"/>
        <v>TSLA 460/500 Dec28</v>
      </c>
    </row>
    <row r="65">
      <c r="A65" s="196" t="s">
        <v>60</v>
      </c>
      <c r="B65" s="197">
        <v>47102.0</v>
      </c>
      <c r="C65" s="198">
        <v>400.0</v>
      </c>
      <c r="D65" s="198">
        <v>410.0</v>
      </c>
      <c r="E65" s="198">
        <v>10.0</v>
      </c>
      <c r="F65" s="199">
        <v>1.74</v>
      </c>
      <c r="G65" s="200">
        <f t="shared" si="1"/>
        <v>8.26</v>
      </c>
      <c r="H65" s="201">
        <f t="shared" si="2"/>
        <v>4.747126437</v>
      </c>
      <c r="I65" s="202">
        <v>0.75</v>
      </c>
      <c r="J65" s="202">
        <v>0.74</v>
      </c>
      <c r="K65" s="198">
        <v>331.0</v>
      </c>
      <c r="L65" s="198">
        <v>50.0</v>
      </c>
      <c r="M65" s="198">
        <v>1.29</v>
      </c>
      <c r="N65" s="198">
        <v>0.16</v>
      </c>
      <c r="O65" s="201">
        <f t="shared" si="3"/>
        <v>2.16</v>
      </c>
      <c r="P65" s="203" t="str">
        <f t="shared" si="4"/>
        <v>OptionStrat</v>
      </c>
      <c r="Q65" s="204" t="str">
        <f t="shared" si="5"/>
        <v>TSLA 400/410 Dec28</v>
      </c>
    </row>
    <row r="66">
      <c r="A66" s="205" t="s">
        <v>60</v>
      </c>
      <c r="B66" s="206">
        <v>47102.0</v>
      </c>
      <c r="C66" s="207">
        <v>400.0</v>
      </c>
      <c r="D66" s="207">
        <v>450.0</v>
      </c>
      <c r="E66" s="207">
        <v>50.0</v>
      </c>
      <c r="F66" s="208">
        <v>15.9</v>
      </c>
      <c r="G66" s="209">
        <f t="shared" si="1"/>
        <v>34.1</v>
      </c>
      <c r="H66" s="210">
        <f t="shared" si="2"/>
        <v>2.144654088</v>
      </c>
      <c r="I66" s="211">
        <v>0.75</v>
      </c>
      <c r="J66" s="211">
        <v>0.71</v>
      </c>
      <c r="K66" s="207">
        <v>331.0</v>
      </c>
      <c r="L66" s="207">
        <v>690.0</v>
      </c>
      <c r="M66" s="207">
        <v>4.78</v>
      </c>
      <c r="N66" s="207">
        <v>0.21</v>
      </c>
      <c r="O66" s="210">
        <f t="shared" si="3"/>
        <v>2.15</v>
      </c>
      <c r="P66" s="212" t="str">
        <f t="shared" si="4"/>
        <v>OptionStrat</v>
      </c>
      <c r="Q66" s="213" t="str">
        <f t="shared" si="5"/>
        <v>TSLA 400/450 Dec28</v>
      </c>
    </row>
    <row r="67">
      <c r="A67" s="196" t="s">
        <v>60</v>
      </c>
      <c r="B67" s="197">
        <v>46920.0</v>
      </c>
      <c r="C67" s="198">
        <v>360.0</v>
      </c>
      <c r="D67" s="198">
        <v>400.0</v>
      </c>
      <c r="E67" s="198">
        <v>40.0</v>
      </c>
      <c r="F67" s="199">
        <v>16.42</v>
      </c>
      <c r="G67" s="200">
        <f t="shared" si="1"/>
        <v>23.58</v>
      </c>
      <c r="H67" s="201">
        <f t="shared" si="2"/>
        <v>1.436053593</v>
      </c>
      <c r="I67" s="202">
        <v>0.78</v>
      </c>
      <c r="J67" s="202">
        <v>0.74</v>
      </c>
      <c r="K67" s="198">
        <v>186.0</v>
      </c>
      <c r="L67" s="198">
        <v>1300.0</v>
      </c>
      <c r="M67" s="198">
        <v>4.92</v>
      </c>
      <c r="N67" s="198">
        <v>0.44</v>
      </c>
      <c r="O67" s="201">
        <f t="shared" si="3"/>
        <v>2.11</v>
      </c>
      <c r="P67" s="215" t="str">
        <f t="shared" si="4"/>
        <v>OptionStrat</v>
      </c>
      <c r="Q67" s="204" t="str">
        <f t="shared" si="5"/>
        <v>TSLA 360/400 Jun28</v>
      </c>
    </row>
    <row r="68">
      <c r="A68" s="205" t="s">
        <v>60</v>
      </c>
      <c r="B68" s="206">
        <v>47102.0</v>
      </c>
      <c r="C68" s="207">
        <v>570.0</v>
      </c>
      <c r="D68" s="207">
        <v>650.0</v>
      </c>
      <c r="E68" s="207">
        <v>80.0</v>
      </c>
      <c r="F68" s="208">
        <v>16.2</v>
      </c>
      <c r="G68" s="209">
        <f t="shared" si="1"/>
        <v>63.8</v>
      </c>
      <c r="H68" s="210">
        <f t="shared" si="2"/>
        <v>3.938271605</v>
      </c>
      <c r="I68" s="211">
        <v>0.62</v>
      </c>
      <c r="J68" s="211">
        <v>0.56</v>
      </c>
      <c r="K68" s="207">
        <v>80.0</v>
      </c>
      <c r="L68" s="207">
        <v>224.0</v>
      </c>
      <c r="M68" s="207">
        <v>1.34</v>
      </c>
      <c r="N68" s="207">
        <v>0.21</v>
      </c>
      <c r="O68" s="210">
        <f t="shared" si="3"/>
        <v>2.09</v>
      </c>
      <c r="P68" s="214" t="str">
        <f t="shared" si="4"/>
        <v>OptionStrat</v>
      </c>
      <c r="Q68" s="213" t="str">
        <f t="shared" si="5"/>
        <v>TSLA 570/650 Dec28</v>
      </c>
    </row>
    <row r="69">
      <c r="A69" s="196" t="s">
        <v>60</v>
      </c>
      <c r="B69" s="197">
        <v>47102.0</v>
      </c>
      <c r="C69" s="198">
        <v>470.0</v>
      </c>
      <c r="D69" s="198">
        <v>600.0</v>
      </c>
      <c r="E69" s="198">
        <v>130.0</v>
      </c>
      <c r="F69" s="199">
        <v>31.15</v>
      </c>
      <c r="G69" s="200">
        <f t="shared" si="1"/>
        <v>98.85</v>
      </c>
      <c r="H69" s="201">
        <f t="shared" si="2"/>
        <v>3.173354735</v>
      </c>
      <c r="I69" s="202">
        <v>0.69</v>
      </c>
      <c r="J69" s="202">
        <v>0.6</v>
      </c>
      <c r="K69" s="198">
        <v>71.0</v>
      </c>
      <c r="L69" s="198">
        <v>361.0</v>
      </c>
      <c r="M69" s="198">
        <v>1.6</v>
      </c>
      <c r="N69" s="198">
        <v>0.26</v>
      </c>
      <c r="O69" s="201">
        <f t="shared" si="3"/>
        <v>2.05</v>
      </c>
      <c r="P69" s="215" t="str">
        <f t="shared" si="4"/>
        <v>OptionStrat</v>
      </c>
      <c r="Q69" s="204" t="str">
        <f t="shared" si="5"/>
        <v>TSLA 470/600 Dec28</v>
      </c>
    </row>
    <row r="70">
      <c r="A70" s="205" t="s">
        <v>60</v>
      </c>
      <c r="B70" s="206">
        <v>47102.0</v>
      </c>
      <c r="C70" s="207">
        <v>460.0</v>
      </c>
      <c r="D70" s="207">
        <v>470.0</v>
      </c>
      <c r="E70" s="207">
        <v>10.0</v>
      </c>
      <c r="F70" s="208">
        <v>1.45</v>
      </c>
      <c r="G70" s="209">
        <f t="shared" si="1"/>
        <v>8.55</v>
      </c>
      <c r="H70" s="210">
        <f t="shared" si="2"/>
        <v>5.896551724</v>
      </c>
      <c r="I70" s="211">
        <v>0.7</v>
      </c>
      <c r="J70" s="211">
        <v>0.69</v>
      </c>
      <c r="K70" s="207">
        <v>73.0</v>
      </c>
      <c r="L70" s="207">
        <v>71.0</v>
      </c>
      <c r="M70" s="207">
        <v>0.72</v>
      </c>
      <c r="N70" s="207">
        <v>0.17</v>
      </c>
      <c r="O70" s="210">
        <f t="shared" si="3"/>
        <v>2.06</v>
      </c>
      <c r="P70" s="214" t="str">
        <f t="shared" si="4"/>
        <v>OptionStrat</v>
      </c>
      <c r="Q70" s="213" t="str">
        <f t="shared" si="5"/>
        <v>TSLA 460/470 Dec28</v>
      </c>
    </row>
    <row r="71">
      <c r="A71" s="196" t="s">
        <v>60</v>
      </c>
      <c r="B71" s="197">
        <v>47102.0</v>
      </c>
      <c r="C71" s="198">
        <v>550.0</v>
      </c>
      <c r="D71" s="198">
        <v>650.0</v>
      </c>
      <c r="E71" s="198">
        <v>100.0</v>
      </c>
      <c r="F71" s="199">
        <v>20.92</v>
      </c>
      <c r="G71" s="200">
        <f t="shared" si="1"/>
        <v>79.08</v>
      </c>
      <c r="H71" s="201">
        <f t="shared" si="2"/>
        <v>3.780114723</v>
      </c>
      <c r="I71" s="202">
        <v>0.63</v>
      </c>
      <c r="J71" s="202">
        <v>0.56</v>
      </c>
      <c r="K71" s="198">
        <v>88.0</v>
      </c>
      <c r="L71" s="198">
        <v>224.0</v>
      </c>
      <c r="M71" s="198">
        <v>1.4</v>
      </c>
      <c r="N71" s="198">
        <v>0.21</v>
      </c>
      <c r="O71" s="201">
        <f t="shared" si="3"/>
        <v>2.05</v>
      </c>
      <c r="P71" s="203" t="str">
        <f t="shared" si="4"/>
        <v>OptionStrat</v>
      </c>
      <c r="Q71" s="204" t="str">
        <f t="shared" si="5"/>
        <v>TSLA 550/650 Dec28</v>
      </c>
    </row>
    <row r="72">
      <c r="A72" s="205" t="s">
        <v>60</v>
      </c>
      <c r="B72" s="206">
        <v>47102.0</v>
      </c>
      <c r="C72" s="207">
        <v>360.0</v>
      </c>
      <c r="D72" s="207">
        <v>500.0</v>
      </c>
      <c r="E72" s="207">
        <v>140.0</v>
      </c>
      <c r="F72" s="208">
        <v>46.85</v>
      </c>
      <c r="G72" s="209">
        <f t="shared" si="1"/>
        <v>93.15</v>
      </c>
      <c r="H72" s="210">
        <f t="shared" si="2"/>
        <v>1.988260406</v>
      </c>
      <c r="I72" s="211">
        <v>0.78</v>
      </c>
      <c r="J72" s="211">
        <v>0.67</v>
      </c>
      <c r="K72" s="207">
        <v>205.0</v>
      </c>
      <c r="L72" s="207">
        <v>1208.0</v>
      </c>
      <c r="M72" s="207">
        <v>4.98</v>
      </c>
      <c r="N72" s="207">
        <v>0.21</v>
      </c>
      <c r="O72" s="210">
        <f t="shared" si="3"/>
        <v>2.03</v>
      </c>
      <c r="P72" s="214" t="str">
        <f t="shared" si="4"/>
        <v>OptionStrat</v>
      </c>
      <c r="Q72" s="213" t="str">
        <f t="shared" si="5"/>
        <v>TSLA 360/500 Dec28</v>
      </c>
    </row>
    <row r="73">
      <c r="A73" s="196" t="s">
        <v>60</v>
      </c>
      <c r="B73" s="197">
        <v>47102.0</v>
      </c>
      <c r="C73" s="198">
        <v>550.0</v>
      </c>
      <c r="D73" s="198">
        <v>570.0</v>
      </c>
      <c r="E73" s="198">
        <v>20.0</v>
      </c>
      <c r="F73" s="199">
        <v>3.12</v>
      </c>
      <c r="G73" s="200">
        <f t="shared" si="1"/>
        <v>16.88</v>
      </c>
      <c r="H73" s="201">
        <f t="shared" si="2"/>
        <v>5.41025641</v>
      </c>
      <c r="I73" s="202">
        <v>0.63</v>
      </c>
      <c r="J73" s="202">
        <v>0.62</v>
      </c>
      <c r="K73" s="198">
        <v>88.0</v>
      </c>
      <c r="L73" s="198">
        <v>80.0</v>
      </c>
      <c r="M73" s="198">
        <v>0.84</v>
      </c>
      <c r="N73" s="198">
        <v>0.16</v>
      </c>
      <c r="O73" s="201">
        <f t="shared" si="3"/>
        <v>1.98</v>
      </c>
      <c r="P73" s="215" t="str">
        <f t="shared" si="4"/>
        <v>OptionStrat</v>
      </c>
      <c r="Q73" s="204" t="str">
        <f t="shared" si="5"/>
        <v>TSLA 550/570 Dec28</v>
      </c>
    </row>
    <row r="74">
      <c r="A74" s="205" t="s">
        <v>60</v>
      </c>
      <c r="B74" s="206">
        <v>47102.0</v>
      </c>
      <c r="C74" s="207">
        <v>540.0</v>
      </c>
      <c r="D74" s="207">
        <v>600.0</v>
      </c>
      <c r="E74" s="207">
        <v>60.0</v>
      </c>
      <c r="F74" s="208">
        <v>12.98</v>
      </c>
      <c r="G74" s="209">
        <f t="shared" si="1"/>
        <v>47.02</v>
      </c>
      <c r="H74" s="210">
        <f t="shared" si="2"/>
        <v>3.622496148</v>
      </c>
      <c r="I74" s="211">
        <v>0.64</v>
      </c>
      <c r="J74" s="211">
        <v>0.6</v>
      </c>
      <c r="K74" s="207">
        <v>58.0</v>
      </c>
      <c r="L74" s="207">
        <v>361.0</v>
      </c>
      <c r="M74" s="207">
        <v>1.45</v>
      </c>
      <c r="N74" s="207">
        <v>0.19</v>
      </c>
      <c r="O74" s="210">
        <f t="shared" si="3"/>
        <v>1.9</v>
      </c>
      <c r="P74" s="214" t="str">
        <f t="shared" si="4"/>
        <v>OptionStrat</v>
      </c>
      <c r="Q74" s="213" t="str">
        <f t="shared" si="5"/>
        <v>TSLA 540/600 Dec28</v>
      </c>
    </row>
    <row r="75">
      <c r="A75" s="196" t="s">
        <v>60</v>
      </c>
      <c r="B75" s="197">
        <v>47102.0</v>
      </c>
      <c r="C75" s="198">
        <v>490.0</v>
      </c>
      <c r="D75" s="198">
        <v>600.0</v>
      </c>
      <c r="E75" s="198">
        <v>110.0</v>
      </c>
      <c r="F75" s="199">
        <v>26.36</v>
      </c>
      <c r="G75" s="200">
        <f t="shared" si="1"/>
        <v>83.64</v>
      </c>
      <c r="H75" s="201">
        <f t="shared" si="2"/>
        <v>3.172989378</v>
      </c>
      <c r="I75" s="202">
        <v>0.68</v>
      </c>
      <c r="J75" s="202">
        <v>0.6</v>
      </c>
      <c r="K75" s="198">
        <v>91.0</v>
      </c>
      <c r="L75" s="198">
        <v>361.0</v>
      </c>
      <c r="M75" s="198">
        <v>1.81</v>
      </c>
      <c r="N75" s="198">
        <v>0.19</v>
      </c>
      <c r="O75" s="201">
        <f t="shared" si="3"/>
        <v>1.86</v>
      </c>
      <c r="P75" s="203" t="str">
        <f t="shared" si="4"/>
        <v>OptionStrat</v>
      </c>
      <c r="Q75" s="204" t="str">
        <f t="shared" si="5"/>
        <v>TSLA 490/600 Dec28</v>
      </c>
    </row>
    <row r="76">
      <c r="A76" s="205" t="s">
        <v>60</v>
      </c>
      <c r="B76" s="206">
        <v>47102.0</v>
      </c>
      <c r="C76" s="207">
        <v>530.0</v>
      </c>
      <c r="D76" s="207">
        <v>600.0</v>
      </c>
      <c r="E76" s="207">
        <v>70.0</v>
      </c>
      <c r="F76" s="208">
        <v>15.53</v>
      </c>
      <c r="G76" s="209">
        <f t="shared" si="1"/>
        <v>54.47</v>
      </c>
      <c r="H76" s="210">
        <f t="shared" si="2"/>
        <v>3.507405023</v>
      </c>
      <c r="I76" s="211">
        <v>0.65</v>
      </c>
      <c r="J76" s="211">
        <v>0.6</v>
      </c>
      <c r="K76" s="207">
        <v>59.0</v>
      </c>
      <c r="L76" s="207">
        <v>361.0</v>
      </c>
      <c r="M76" s="207">
        <v>1.46</v>
      </c>
      <c r="N76" s="207">
        <v>0.19</v>
      </c>
      <c r="O76" s="210">
        <f t="shared" si="3"/>
        <v>1.85</v>
      </c>
      <c r="P76" s="214" t="str">
        <f t="shared" si="4"/>
        <v>OptionStrat</v>
      </c>
      <c r="Q76" s="213" t="str">
        <f t="shared" si="5"/>
        <v>TSLA 530/600 Dec28</v>
      </c>
    </row>
    <row r="77">
      <c r="A77" s="196" t="s">
        <v>60</v>
      </c>
      <c r="B77" s="197">
        <v>47102.0</v>
      </c>
      <c r="C77" s="198">
        <v>460.0</v>
      </c>
      <c r="D77" s="198">
        <v>480.0</v>
      </c>
      <c r="E77" s="198">
        <v>20.0</v>
      </c>
      <c r="F77" s="199">
        <v>3.45</v>
      </c>
      <c r="G77" s="200">
        <f t="shared" si="1"/>
        <v>16.55</v>
      </c>
      <c r="H77" s="201">
        <f t="shared" si="2"/>
        <v>4.797101449</v>
      </c>
      <c r="I77" s="202">
        <v>0.7</v>
      </c>
      <c r="J77" s="202">
        <v>0.69</v>
      </c>
      <c r="K77" s="198">
        <v>73.0</v>
      </c>
      <c r="L77" s="198">
        <v>131.0</v>
      </c>
      <c r="M77" s="198">
        <v>0.98</v>
      </c>
      <c r="N77" s="198">
        <v>0.15</v>
      </c>
      <c r="O77" s="201">
        <f t="shared" si="3"/>
        <v>1.84</v>
      </c>
      <c r="P77" s="203" t="str">
        <f t="shared" si="4"/>
        <v>OptionStrat</v>
      </c>
      <c r="Q77" s="204" t="str">
        <f t="shared" si="5"/>
        <v>TSLA 460/480 Dec28</v>
      </c>
    </row>
    <row r="78">
      <c r="A78" s="205" t="s">
        <v>60</v>
      </c>
      <c r="B78" s="206">
        <v>47102.0</v>
      </c>
      <c r="C78" s="207">
        <v>540.0</v>
      </c>
      <c r="D78" s="207">
        <v>650.0</v>
      </c>
      <c r="E78" s="207">
        <v>110.0</v>
      </c>
      <c r="F78" s="208">
        <v>23.36</v>
      </c>
      <c r="G78" s="209">
        <f t="shared" si="1"/>
        <v>86.64</v>
      </c>
      <c r="H78" s="210">
        <f t="shared" si="2"/>
        <v>3.70890411</v>
      </c>
      <c r="I78" s="211">
        <v>0.64</v>
      </c>
      <c r="J78" s="211">
        <v>0.56</v>
      </c>
      <c r="K78" s="207">
        <v>58.0</v>
      </c>
      <c r="L78" s="207">
        <v>224.0</v>
      </c>
      <c r="M78" s="207">
        <v>1.14</v>
      </c>
      <c r="N78" s="207">
        <v>0.2</v>
      </c>
      <c r="O78" s="210">
        <f t="shared" si="3"/>
        <v>1.77</v>
      </c>
      <c r="P78" s="214" t="str">
        <f t="shared" si="4"/>
        <v>OptionStrat</v>
      </c>
      <c r="Q78" s="213" t="str">
        <f t="shared" si="5"/>
        <v>TSLA 540/650 Dec28</v>
      </c>
    </row>
    <row r="79">
      <c r="A79" s="196" t="s">
        <v>60</v>
      </c>
      <c r="B79" s="197">
        <v>47102.0</v>
      </c>
      <c r="C79" s="198">
        <v>530.0</v>
      </c>
      <c r="D79" s="198">
        <v>650.0</v>
      </c>
      <c r="E79" s="198">
        <v>120.0</v>
      </c>
      <c r="F79" s="199">
        <v>25.91</v>
      </c>
      <c r="G79" s="200">
        <f t="shared" si="1"/>
        <v>94.09</v>
      </c>
      <c r="H79" s="201">
        <f t="shared" si="2"/>
        <v>3.631416442</v>
      </c>
      <c r="I79" s="202">
        <v>0.65</v>
      </c>
      <c r="J79" s="202">
        <v>0.56</v>
      </c>
      <c r="K79" s="198">
        <v>59.0</v>
      </c>
      <c r="L79" s="198">
        <v>224.0</v>
      </c>
      <c r="M79" s="198">
        <v>1.15</v>
      </c>
      <c r="N79" s="198">
        <v>0.2</v>
      </c>
      <c r="O79" s="201">
        <f t="shared" si="3"/>
        <v>1.74</v>
      </c>
      <c r="P79" s="203" t="str">
        <f t="shared" si="4"/>
        <v>OptionStrat</v>
      </c>
      <c r="Q79" s="204" t="str">
        <f t="shared" si="5"/>
        <v>TSLA 530/650 Dec28</v>
      </c>
    </row>
    <row r="80">
      <c r="A80" s="205" t="s">
        <v>60</v>
      </c>
      <c r="B80" s="206">
        <v>47102.0</v>
      </c>
      <c r="C80" s="207">
        <v>360.0</v>
      </c>
      <c r="D80" s="207">
        <v>450.0</v>
      </c>
      <c r="E80" s="207">
        <v>90.0</v>
      </c>
      <c r="F80" s="208">
        <v>31.17</v>
      </c>
      <c r="G80" s="209">
        <f t="shared" si="1"/>
        <v>58.83</v>
      </c>
      <c r="H80" s="210">
        <f t="shared" si="2"/>
        <v>1.887391723</v>
      </c>
      <c r="I80" s="211">
        <v>0.78</v>
      </c>
      <c r="J80" s="211">
        <v>0.71</v>
      </c>
      <c r="K80" s="207">
        <v>205.0</v>
      </c>
      <c r="L80" s="207">
        <v>690.0</v>
      </c>
      <c r="M80" s="207">
        <v>3.76</v>
      </c>
      <c r="N80" s="207">
        <v>0.23</v>
      </c>
      <c r="O80" s="210">
        <f t="shared" si="3"/>
        <v>1.76</v>
      </c>
      <c r="P80" s="214" t="str">
        <f t="shared" si="4"/>
        <v>OptionStrat</v>
      </c>
      <c r="Q80" s="213" t="str">
        <f t="shared" si="5"/>
        <v>TSLA 360/450 Dec28</v>
      </c>
    </row>
    <row r="81">
      <c r="A81" s="196" t="s">
        <v>60</v>
      </c>
      <c r="B81" s="197">
        <v>47102.0</v>
      </c>
      <c r="C81" s="198">
        <v>530.0</v>
      </c>
      <c r="D81" s="198">
        <v>550.0</v>
      </c>
      <c r="E81" s="198">
        <v>20.0</v>
      </c>
      <c r="F81" s="199">
        <v>3.37</v>
      </c>
      <c r="G81" s="200">
        <f t="shared" si="1"/>
        <v>16.63</v>
      </c>
      <c r="H81" s="201">
        <f t="shared" si="2"/>
        <v>4.934718101</v>
      </c>
      <c r="I81" s="202">
        <v>0.65</v>
      </c>
      <c r="J81" s="202">
        <v>0.63</v>
      </c>
      <c r="K81" s="198">
        <v>59.0</v>
      </c>
      <c r="L81" s="198">
        <v>88.0</v>
      </c>
      <c r="M81" s="198">
        <v>0.72</v>
      </c>
      <c r="N81" s="198">
        <v>0.16</v>
      </c>
      <c r="O81" s="201">
        <f t="shared" si="3"/>
        <v>1.67</v>
      </c>
      <c r="P81" s="215" t="str">
        <f t="shared" si="4"/>
        <v>OptionStrat</v>
      </c>
      <c r="Q81" s="204" t="str">
        <f t="shared" si="5"/>
        <v>TSLA 530/550 Dec28</v>
      </c>
    </row>
    <row r="82">
      <c r="A82" s="205" t="s">
        <v>60</v>
      </c>
      <c r="B82" s="206">
        <v>47102.0</v>
      </c>
      <c r="C82" s="207">
        <v>430.0</v>
      </c>
      <c r="D82" s="207">
        <v>440.0</v>
      </c>
      <c r="E82" s="207">
        <v>10.0</v>
      </c>
      <c r="F82" s="208">
        <v>2.6</v>
      </c>
      <c r="G82" s="209">
        <f t="shared" si="1"/>
        <v>7.4</v>
      </c>
      <c r="H82" s="210">
        <f t="shared" si="2"/>
        <v>2.846153846</v>
      </c>
      <c r="I82" s="211">
        <v>0.72</v>
      </c>
      <c r="J82" s="211">
        <v>0.72</v>
      </c>
      <c r="K82" s="207">
        <v>183.0</v>
      </c>
      <c r="L82" s="207">
        <v>132.0</v>
      </c>
      <c r="M82" s="207">
        <v>1.55</v>
      </c>
      <c r="N82" s="207">
        <v>0.21</v>
      </c>
      <c r="O82" s="210">
        <f t="shared" si="3"/>
        <v>1.62</v>
      </c>
      <c r="P82" s="214" t="str">
        <f t="shared" si="4"/>
        <v>OptionStrat</v>
      </c>
      <c r="Q82" s="213" t="str">
        <f t="shared" si="5"/>
        <v>TSLA 430/440 Dec28</v>
      </c>
    </row>
    <row r="83">
      <c r="A83" s="196" t="s">
        <v>60</v>
      </c>
      <c r="B83" s="197">
        <v>47102.0</v>
      </c>
      <c r="C83" s="198">
        <v>380.0</v>
      </c>
      <c r="D83" s="198">
        <v>500.0</v>
      </c>
      <c r="E83" s="198">
        <v>120.0</v>
      </c>
      <c r="F83" s="199">
        <v>39.33</v>
      </c>
      <c r="G83" s="200">
        <f t="shared" si="1"/>
        <v>80.67</v>
      </c>
      <c r="H83" s="201">
        <f t="shared" si="2"/>
        <v>2.051106026</v>
      </c>
      <c r="I83" s="202">
        <v>0.77</v>
      </c>
      <c r="J83" s="202">
        <v>0.67</v>
      </c>
      <c r="K83" s="198">
        <v>94.0</v>
      </c>
      <c r="L83" s="198">
        <v>1208.0</v>
      </c>
      <c r="M83" s="198">
        <v>3.37</v>
      </c>
      <c r="N83" s="198">
        <v>0.18</v>
      </c>
      <c r="O83" s="201">
        <f t="shared" si="3"/>
        <v>1.6</v>
      </c>
      <c r="P83" s="203" t="str">
        <f t="shared" si="4"/>
        <v>OptionStrat</v>
      </c>
      <c r="Q83" s="204" t="str">
        <f t="shared" si="5"/>
        <v>TSLA 380/500 Dec28</v>
      </c>
    </row>
    <row r="84">
      <c r="A84" s="205" t="s">
        <v>60</v>
      </c>
      <c r="B84" s="206">
        <v>47102.0</v>
      </c>
      <c r="C84" s="207">
        <v>510.0</v>
      </c>
      <c r="D84" s="207">
        <v>600.0</v>
      </c>
      <c r="E84" s="207">
        <v>90.0</v>
      </c>
      <c r="F84" s="208">
        <v>20.41</v>
      </c>
      <c r="G84" s="209">
        <f t="shared" si="1"/>
        <v>69.59</v>
      </c>
      <c r="H84" s="210">
        <f t="shared" si="2"/>
        <v>3.409603136</v>
      </c>
      <c r="I84" s="211">
        <v>0.66</v>
      </c>
      <c r="J84" s="211">
        <v>0.6</v>
      </c>
      <c r="K84" s="207">
        <v>26.0</v>
      </c>
      <c r="L84" s="207">
        <v>361.0</v>
      </c>
      <c r="M84" s="207">
        <v>0.97</v>
      </c>
      <c r="N84" s="207">
        <v>0.23</v>
      </c>
      <c r="O84" s="210">
        <f t="shared" si="3"/>
        <v>1.61</v>
      </c>
      <c r="P84" s="212" t="str">
        <f t="shared" si="4"/>
        <v>OptionStrat</v>
      </c>
      <c r="Q84" s="213" t="str">
        <f t="shared" si="5"/>
        <v>TSLA 510/600 Dec28</v>
      </c>
    </row>
    <row r="85">
      <c r="A85" s="196" t="s">
        <v>60</v>
      </c>
      <c r="B85" s="197">
        <v>47102.0</v>
      </c>
      <c r="C85" s="198">
        <v>460.0</v>
      </c>
      <c r="D85" s="198">
        <v>600.0</v>
      </c>
      <c r="E85" s="198">
        <v>140.0</v>
      </c>
      <c r="F85" s="199">
        <v>33.5</v>
      </c>
      <c r="G85" s="200">
        <f t="shared" si="1"/>
        <v>106.5</v>
      </c>
      <c r="H85" s="201">
        <f t="shared" si="2"/>
        <v>3.179104478</v>
      </c>
      <c r="I85" s="202">
        <v>0.7</v>
      </c>
      <c r="J85" s="202">
        <v>0.6</v>
      </c>
      <c r="K85" s="198">
        <v>73.0</v>
      </c>
      <c r="L85" s="198">
        <v>361.0</v>
      </c>
      <c r="M85" s="198">
        <v>1.62</v>
      </c>
      <c r="N85" s="198">
        <v>0.16</v>
      </c>
      <c r="O85" s="201">
        <f t="shared" si="3"/>
        <v>1.62</v>
      </c>
      <c r="P85" s="203" t="str">
        <f t="shared" si="4"/>
        <v>OptionStrat</v>
      </c>
      <c r="Q85" s="204" t="str">
        <f t="shared" si="5"/>
        <v>TSLA 460/600 Dec28</v>
      </c>
    </row>
    <row r="86">
      <c r="A86" s="205" t="s">
        <v>60</v>
      </c>
      <c r="B86" s="206">
        <v>47102.0</v>
      </c>
      <c r="C86" s="207">
        <v>510.0</v>
      </c>
      <c r="D86" s="207">
        <v>650.0</v>
      </c>
      <c r="E86" s="207">
        <v>140.0</v>
      </c>
      <c r="F86" s="208">
        <v>30.79</v>
      </c>
      <c r="G86" s="209">
        <f t="shared" si="1"/>
        <v>109.21</v>
      </c>
      <c r="H86" s="210">
        <f t="shared" si="2"/>
        <v>3.546930822</v>
      </c>
      <c r="I86" s="211">
        <v>0.66</v>
      </c>
      <c r="J86" s="211">
        <v>0.56</v>
      </c>
      <c r="K86" s="207">
        <v>26.0</v>
      </c>
      <c r="L86" s="207">
        <v>224.0</v>
      </c>
      <c r="M86" s="207">
        <v>0.76</v>
      </c>
      <c r="N86" s="207">
        <v>0.24</v>
      </c>
      <c r="O86" s="210">
        <f t="shared" si="3"/>
        <v>1.51</v>
      </c>
      <c r="P86" s="214" t="str">
        <f t="shared" si="4"/>
        <v>OptionStrat</v>
      </c>
      <c r="Q86" s="213" t="str">
        <f t="shared" si="5"/>
        <v>TSLA 510/650 Dec28</v>
      </c>
    </row>
    <row r="87">
      <c r="A87" s="196" t="s">
        <v>60</v>
      </c>
      <c r="B87" s="197">
        <v>47102.0</v>
      </c>
      <c r="C87" s="198">
        <v>390.0</v>
      </c>
      <c r="D87" s="198">
        <v>400.0</v>
      </c>
      <c r="E87" s="198">
        <v>10.0</v>
      </c>
      <c r="F87" s="199">
        <v>2.26</v>
      </c>
      <c r="G87" s="200">
        <f t="shared" si="1"/>
        <v>7.74</v>
      </c>
      <c r="H87" s="201">
        <f t="shared" si="2"/>
        <v>3.424778761</v>
      </c>
      <c r="I87" s="202">
        <v>0.76</v>
      </c>
      <c r="J87" s="202">
        <v>0.75</v>
      </c>
      <c r="K87" s="198">
        <v>47.0</v>
      </c>
      <c r="L87" s="198">
        <v>331.0</v>
      </c>
      <c r="M87" s="198">
        <v>1.25</v>
      </c>
      <c r="N87" s="198">
        <v>0.16</v>
      </c>
      <c r="O87" s="201">
        <f t="shared" si="3"/>
        <v>1.53</v>
      </c>
      <c r="P87" s="203" t="str">
        <f t="shared" si="4"/>
        <v>OptionStrat</v>
      </c>
      <c r="Q87" s="204" t="str">
        <f t="shared" si="5"/>
        <v>TSLA 390/400 Dec28</v>
      </c>
    </row>
    <row r="88">
      <c r="A88" s="205" t="s">
        <v>60</v>
      </c>
      <c r="B88" s="206">
        <v>47102.0</v>
      </c>
      <c r="C88" s="207">
        <v>410.0</v>
      </c>
      <c r="D88" s="207">
        <v>500.0</v>
      </c>
      <c r="E88" s="207">
        <v>90.0</v>
      </c>
      <c r="F88" s="208">
        <v>28.11</v>
      </c>
      <c r="G88" s="209">
        <f t="shared" si="1"/>
        <v>61.89</v>
      </c>
      <c r="H88" s="210">
        <f t="shared" si="2"/>
        <v>2.201707577</v>
      </c>
      <c r="I88" s="211">
        <v>0.74</v>
      </c>
      <c r="J88" s="211">
        <v>0.67</v>
      </c>
      <c r="K88" s="207">
        <v>50.0</v>
      </c>
      <c r="L88" s="207">
        <v>1208.0</v>
      </c>
      <c r="M88" s="207">
        <v>2.46</v>
      </c>
      <c r="N88" s="207">
        <v>0.18</v>
      </c>
      <c r="O88" s="210">
        <f t="shared" si="3"/>
        <v>1.47</v>
      </c>
      <c r="P88" s="214" t="str">
        <f t="shared" si="4"/>
        <v>OptionStrat</v>
      </c>
      <c r="Q88" s="213" t="str">
        <f t="shared" si="5"/>
        <v>TSLA 410/500 Dec28</v>
      </c>
    </row>
    <row r="89">
      <c r="A89" s="196" t="s">
        <v>60</v>
      </c>
      <c r="B89" s="197">
        <v>47102.0</v>
      </c>
      <c r="C89" s="198">
        <v>460.0</v>
      </c>
      <c r="D89" s="198">
        <v>490.0</v>
      </c>
      <c r="E89" s="198">
        <v>30.0</v>
      </c>
      <c r="F89" s="199">
        <v>5.47</v>
      </c>
      <c r="G89" s="200">
        <f t="shared" si="1"/>
        <v>24.53</v>
      </c>
      <c r="H89" s="201">
        <f t="shared" si="2"/>
        <v>4.484460695</v>
      </c>
      <c r="I89" s="202">
        <v>0.7</v>
      </c>
      <c r="J89" s="202">
        <v>0.68</v>
      </c>
      <c r="K89" s="198">
        <v>73.0</v>
      </c>
      <c r="L89" s="198">
        <v>91.0</v>
      </c>
      <c r="M89" s="198">
        <v>0.82</v>
      </c>
      <c r="N89" s="198">
        <v>0.13</v>
      </c>
      <c r="O89" s="201">
        <f t="shared" si="3"/>
        <v>1.46</v>
      </c>
      <c r="P89" s="215" t="str">
        <f t="shared" si="4"/>
        <v>OptionStrat</v>
      </c>
      <c r="Q89" s="204" t="str">
        <f t="shared" si="5"/>
        <v>TSLA 460/490 Dec28</v>
      </c>
    </row>
    <row r="90">
      <c r="A90" s="205" t="s">
        <v>60</v>
      </c>
      <c r="B90" s="206">
        <v>47102.0</v>
      </c>
      <c r="C90" s="207">
        <v>540.0</v>
      </c>
      <c r="D90" s="207">
        <v>570.0</v>
      </c>
      <c r="E90" s="207">
        <v>30.0</v>
      </c>
      <c r="F90" s="208">
        <v>5.56</v>
      </c>
      <c r="G90" s="209">
        <f t="shared" si="1"/>
        <v>24.44</v>
      </c>
      <c r="H90" s="210">
        <f t="shared" si="2"/>
        <v>4.395683453</v>
      </c>
      <c r="I90" s="211">
        <v>0.64</v>
      </c>
      <c r="J90" s="211">
        <v>0.62</v>
      </c>
      <c r="K90" s="207">
        <v>58.0</v>
      </c>
      <c r="L90" s="207">
        <v>80.0</v>
      </c>
      <c r="M90" s="207">
        <v>0.68</v>
      </c>
      <c r="N90" s="207">
        <v>0.16</v>
      </c>
      <c r="O90" s="210">
        <f t="shared" si="3"/>
        <v>1.45</v>
      </c>
      <c r="P90" s="214" t="str">
        <f t="shared" si="4"/>
        <v>OptionStrat</v>
      </c>
      <c r="Q90" s="213" t="str">
        <f t="shared" si="5"/>
        <v>TSLA 540/570 Dec28</v>
      </c>
    </row>
    <row r="91">
      <c r="A91" s="196" t="s">
        <v>60</v>
      </c>
      <c r="B91" s="197">
        <v>46920.0</v>
      </c>
      <c r="C91" s="198">
        <v>360.0</v>
      </c>
      <c r="D91" s="198">
        <v>440.0</v>
      </c>
      <c r="E91" s="198">
        <v>80.0</v>
      </c>
      <c r="F91" s="199">
        <v>31.24</v>
      </c>
      <c r="G91" s="200">
        <f t="shared" si="1"/>
        <v>48.76</v>
      </c>
      <c r="H91" s="201">
        <f t="shared" si="2"/>
        <v>1.560819462</v>
      </c>
      <c r="I91" s="202">
        <v>0.78</v>
      </c>
      <c r="J91" s="202">
        <v>0.7</v>
      </c>
      <c r="K91" s="198">
        <v>186.0</v>
      </c>
      <c r="L91" s="198">
        <v>201.0</v>
      </c>
      <c r="M91" s="198">
        <v>1.93</v>
      </c>
      <c r="N91" s="198">
        <v>0.43</v>
      </c>
      <c r="O91" s="201">
        <f t="shared" si="3"/>
        <v>1.42</v>
      </c>
      <c r="P91" s="203" t="str">
        <f t="shared" si="4"/>
        <v>OptionStrat</v>
      </c>
      <c r="Q91" s="204" t="str">
        <f t="shared" si="5"/>
        <v>TSLA 360/440 Jun28</v>
      </c>
    </row>
    <row r="92">
      <c r="A92" s="205" t="s">
        <v>60</v>
      </c>
      <c r="B92" s="206">
        <v>47102.0</v>
      </c>
      <c r="C92" s="207">
        <v>480.0</v>
      </c>
      <c r="D92" s="207">
        <v>550.0</v>
      </c>
      <c r="E92" s="207">
        <v>70.0</v>
      </c>
      <c r="F92" s="208">
        <v>16.6</v>
      </c>
      <c r="G92" s="209">
        <f t="shared" si="1"/>
        <v>53.4</v>
      </c>
      <c r="H92" s="210">
        <f t="shared" si="2"/>
        <v>3.21686747</v>
      </c>
      <c r="I92" s="211">
        <v>0.69</v>
      </c>
      <c r="J92" s="211">
        <v>0.63</v>
      </c>
      <c r="K92" s="207">
        <v>131.0</v>
      </c>
      <c r="L92" s="207">
        <v>88.0</v>
      </c>
      <c r="M92" s="207">
        <v>1.07</v>
      </c>
      <c r="N92" s="207">
        <v>0.18</v>
      </c>
      <c r="O92" s="210">
        <f t="shared" si="3"/>
        <v>1.41</v>
      </c>
      <c r="P92" s="214" t="str">
        <f t="shared" si="4"/>
        <v>OptionStrat</v>
      </c>
      <c r="Q92" s="213" t="str">
        <f t="shared" si="5"/>
        <v>TSLA 480/550 Dec28</v>
      </c>
    </row>
    <row r="93">
      <c r="A93" s="196" t="s">
        <v>60</v>
      </c>
      <c r="B93" s="197">
        <v>47102.0</v>
      </c>
      <c r="C93" s="198">
        <v>380.0</v>
      </c>
      <c r="D93" s="198">
        <v>450.0</v>
      </c>
      <c r="E93" s="198">
        <v>70.0</v>
      </c>
      <c r="F93" s="199">
        <v>23.65</v>
      </c>
      <c r="G93" s="200">
        <f t="shared" si="1"/>
        <v>46.35</v>
      </c>
      <c r="H93" s="201">
        <f t="shared" si="2"/>
        <v>1.959830867</v>
      </c>
      <c r="I93" s="202">
        <v>0.77</v>
      </c>
      <c r="J93" s="202">
        <v>0.71</v>
      </c>
      <c r="K93" s="198">
        <v>94.0</v>
      </c>
      <c r="L93" s="198">
        <v>690.0</v>
      </c>
      <c r="M93" s="198">
        <v>2.55</v>
      </c>
      <c r="N93" s="198">
        <v>0.2</v>
      </c>
      <c r="O93" s="201">
        <f t="shared" si="3"/>
        <v>1.4</v>
      </c>
      <c r="P93" s="203" t="str">
        <f t="shared" si="4"/>
        <v>OptionStrat</v>
      </c>
      <c r="Q93" s="204" t="str">
        <f t="shared" si="5"/>
        <v>TSLA 380/450 Dec28</v>
      </c>
    </row>
    <row r="94">
      <c r="A94" s="205" t="s">
        <v>60</v>
      </c>
      <c r="B94" s="206">
        <v>47102.0</v>
      </c>
      <c r="C94" s="207">
        <v>390.0</v>
      </c>
      <c r="D94" s="207">
        <v>500.0</v>
      </c>
      <c r="E94" s="207">
        <v>110.0</v>
      </c>
      <c r="F94" s="208">
        <v>35.48</v>
      </c>
      <c r="G94" s="209">
        <f t="shared" si="1"/>
        <v>74.52</v>
      </c>
      <c r="H94" s="210">
        <f t="shared" si="2"/>
        <v>2.100338219</v>
      </c>
      <c r="I94" s="211">
        <v>0.76</v>
      </c>
      <c r="J94" s="211">
        <v>0.67</v>
      </c>
      <c r="K94" s="207">
        <v>47.0</v>
      </c>
      <c r="L94" s="207">
        <v>1208.0</v>
      </c>
      <c r="M94" s="207">
        <v>2.38</v>
      </c>
      <c r="N94" s="207">
        <v>0.18</v>
      </c>
      <c r="O94" s="210">
        <f t="shared" si="3"/>
        <v>1.37</v>
      </c>
      <c r="P94" s="214" t="str">
        <f t="shared" si="4"/>
        <v>OptionStrat</v>
      </c>
      <c r="Q94" s="213" t="str">
        <f t="shared" si="5"/>
        <v>TSLA 390/500 Dec28</v>
      </c>
    </row>
    <row r="95">
      <c r="A95" s="196" t="s">
        <v>60</v>
      </c>
      <c r="B95" s="197">
        <v>47102.0</v>
      </c>
      <c r="C95" s="198">
        <v>400.0</v>
      </c>
      <c r="D95" s="198">
        <v>430.0</v>
      </c>
      <c r="E95" s="198">
        <v>30.0</v>
      </c>
      <c r="F95" s="199">
        <v>9.7</v>
      </c>
      <c r="G95" s="200">
        <f t="shared" si="1"/>
        <v>20.3</v>
      </c>
      <c r="H95" s="201">
        <f t="shared" si="2"/>
        <v>2.092783505</v>
      </c>
      <c r="I95" s="202">
        <v>0.75</v>
      </c>
      <c r="J95" s="202">
        <v>0.72</v>
      </c>
      <c r="K95" s="198">
        <v>331.0</v>
      </c>
      <c r="L95" s="198">
        <v>183.0</v>
      </c>
      <c r="M95" s="198">
        <v>2.46</v>
      </c>
      <c r="N95" s="198">
        <v>0.18</v>
      </c>
      <c r="O95" s="201">
        <f t="shared" si="3"/>
        <v>1.39</v>
      </c>
      <c r="P95" s="203" t="str">
        <f t="shared" si="4"/>
        <v>OptionStrat</v>
      </c>
      <c r="Q95" s="204" t="str">
        <f t="shared" si="5"/>
        <v>TSLA 400/430 Dec28</v>
      </c>
    </row>
    <row r="96">
      <c r="A96" s="205" t="s">
        <v>60</v>
      </c>
      <c r="B96" s="206">
        <v>47102.0</v>
      </c>
      <c r="C96" s="207">
        <v>480.0</v>
      </c>
      <c r="D96" s="207">
        <v>570.0</v>
      </c>
      <c r="E96" s="207">
        <v>90.0</v>
      </c>
      <c r="F96" s="208">
        <v>21.33</v>
      </c>
      <c r="G96" s="209">
        <f t="shared" si="1"/>
        <v>68.67</v>
      </c>
      <c r="H96" s="210">
        <f t="shared" si="2"/>
        <v>3.219409283</v>
      </c>
      <c r="I96" s="211">
        <v>0.69</v>
      </c>
      <c r="J96" s="211">
        <v>0.62</v>
      </c>
      <c r="K96" s="207">
        <v>131.0</v>
      </c>
      <c r="L96" s="207">
        <v>80.0</v>
      </c>
      <c r="M96" s="207">
        <v>1.02</v>
      </c>
      <c r="N96" s="207">
        <v>0.18</v>
      </c>
      <c r="O96" s="210">
        <f t="shared" si="3"/>
        <v>1.38</v>
      </c>
      <c r="P96" s="212" t="str">
        <f t="shared" si="4"/>
        <v>OptionStrat</v>
      </c>
      <c r="Q96" s="213" t="str">
        <f t="shared" si="5"/>
        <v>TSLA 480/570 Dec28</v>
      </c>
    </row>
    <row r="97">
      <c r="A97" s="196" t="s">
        <v>60</v>
      </c>
      <c r="B97" s="197">
        <v>47102.0</v>
      </c>
      <c r="C97" s="198">
        <v>510.0</v>
      </c>
      <c r="D97" s="198">
        <v>530.0</v>
      </c>
      <c r="E97" s="198">
        <v>20.0</v>
      </c>
      <c r="F97" s="199">
        <v>3.24</v>
      </c>
      <c r="G97" s="200">
        <f t="shared" si="1"/>
        <v>16.76</v>
      </c>
      <c r="H97" s="201">
        <f t="shared" si="2"/>
        <v>5.172839506</v>
      </c>
      <c r="I97" s="202">
        <v>0.66</v>
      </c>
      <c r="J97" s="202">
        <v>0.65</v>
      </c>
      <c r="K97" s="198">
        <v>26.0</v>
      </c>
      <c r="L97" s="198">
        <v>59.0</v>
      </c>
      <c r="M97" s="198">
        <v>0.39</v>
      </c>
      <c r="N97" s="198">
        <v>0.18</v>
      </c>
      <c r="O97" s="201">
        <f t="shared" si="3"/>
        <v>1.37</v>
      </c>
      <c r="P97" s="215" t="str">
        <f t="shared" si="4"/>
        <v>OptionStrat</v>
      </c>
      <c r="Q97" s="204" t="str">
        <f t="shared" si="5"/>
        <v>TSLA 510/530 Dec28</v>
      </c>
    </row>
    <row r="98">
      <c r="A98" s="205" t="s">
        <v>60</v>
      </c>
      <c r="B98" s="206">
        <v>47102.0</v>
      </c>
      <c r="C98" s="207">
        <v>430.0</v>
      </c>
      <c r="D98" s="207">
        <v>480.0</v>
      </c>
      <c r="E98" s="207">
        <v>50.0</v>
      </c>
      <c r="F98" s="208">
        <v>14.47</v>
      </c>
      <c r="G98" s="209">
        <f t="shared" si="1"/>
        <v>35.53</v>
      </c>
      <c r="H98" s="210">
        <f t="shared" si="2"/>
        <v>2.455425017</v>
      </c>
      <c r="I98" s="211">
        <v>0.72</v>
      </c>
      <c r="J98" s="211">
        <v>0.69</v>
      </c>
      <c r="K98" s="207">
        <v>183.0</v>
      </c>
      <c r="L98" s="207">
        <v>131.0</v>
      </c>
      <c r="M98" s="207">
        <v>1.55</v>
      </c>
      <c r="N98" s="207">
        <v>0.2</v>
      </c>
      <c r="O98" s="210">
        <f t="shared" si="3"/>
        <v>1.37</v>
      </c>
      <c r="P98" s="214" t="str">
        <f t="shared" si="4"/>
        <v>OptionStrat</v>
      </c>
      <c r="Q98" s="213" t="str">
        <f t="shared" si="5"/>
        <v>TSLA 430/480 Dec28</v>
      </c>
    </row>
    <row r="99">
      <c r="A99" s="196" t="s">
        <v>60</v>
      </c>
      <c r="B99" s="197">
        <v>47102.0</v>
      </c>
      <c r="C99" s="198">
        <v>310.0</v>
      </c>
      <c r="D99" s="198">
        <v>320.0</v>
      </c>
      <c r="E99" s="198">
        <v>10.0</v>
      </c>
      <c r="F99" s="199">
        <v>1.83</v>
      </c>
      <c r="G99" s="200">
        <f t="shared" si="1"/>
        <v>8.17</v>
      </c>
      <c r="H99" s="201">
        <f t="shared" si="2"/>
        <v>4.464480874</v>
      </c>
      <c r="I99" s="202">
        <v>0.83</v>
      </c>
      <c r="J99" s="202">
        <v>0.82</v>
      </c>
      <c r="K99" s="198">
        <v>62.0</v>
      </c>
      <c r="L99" s="198">
        <v>41.0</v>
      </c>
      <c r="M99" s="198">
        <v>0.5</v>
      </c>
      <c r="N99" s="198">
        <v>0.18</v>
      </c>
      <c r="O99" s="201">
        <f t="shared" si="3"/>
        <v>1.34</v>
      </c>
      <c r="P99" s="203" t="str">
        <f t="shared" si="4"/>
        <v>OptionStrat</v>
      </c>
      <c r="Q99" s="204" t="str">
        <f t="shared" si="5"/>
        <v>TSLA 310/320 Dec28</v>
      </c>
    </row>
    <row r="100">
      <c r="A100" s="205" t="s">
        <v>60</v>
      </c>
      <c r="B100" s="206">
        <v>47102.0</v>
      </c>
      <c r="C100" s="207">
        <v>410.0</v>
      </c>
      <c r="D100" s="207">
        <v>450.0</v>
      </c>
      <c r="E100" s="207">
        <v>40.0</v>
      </c>
      <c r="F100" s="208">
        <v>12.43</v>
      </c>
      <c r="G100" s="209">
        <f t="shared" si="1"/>
        <v>27.57</v>
      </c>
      <c r="H100" s="210">
        <f t="shared" si="2"/>
        <v>2.218020917</v>
      </c>
      <c r="I100" s="211">
        <v>0.74</v>
      </c>
      <c r="J100" s="211">
        <v>0.71</v>
      </c>
      <c r="K100" s="207">
        <v>50.0</v>
      </c>
      <c r="L100" s="207">
        <v>690.0</v>
      </c>
      <c r="M100" s="207">
        <v>1.86</v>
      </c>
      <c r="N100" s="207">
        <v>0.2</v>
      </c>
      <c r="O100" s="210">
        <f t="shared" si="3"/>
        <v>1.35</v>
      </c>
      <c r="P100" s="212" t="str">
        <f t="shared" si="4"/>
        <v>OptionStrat</v>
      </c>
      <c r="Q100" s="213" t="str">
        <f t="shared" si="5"/>
        <v>TSLA 410/450 Dec28</v>
      </c>
    </row>
    <row r="101">
      <c r="A101" s="196" t="s">
        <v>60</v>
      </c>
      <c r="B101" s="197">
        <v>47102.0</v>
      </c>
      <c r="C101" s="198">
        <v>350.0</v>
      </c>
      <c r="D101" s="198">
        <v>450.0</v>
      </c>
      <c r="E101" s="198">
        <v>100.0</v>
      </c>
      <c r="F101" s="199">
        <v>35.44</v>
      </c>
      <c r="G101" s="200">
        <f t="shared" si="1"/>
        <v>64.56</v>
      </c>
      <c r="H101" s="201">
        <f t="shared" si="2"/>
        <v>1.821670429</v>
      </c>
      <c r="I101" s="202">
        <v>0.79</v>
      </c>
      <c r="J101" s="202">
        <v>0.71</v>
      </c>
      <c r="K101" s="198">
        <v>81.0</v>
      </c>
      <c r="L101" s="198">
        <v>690.0</v>
      </c>
      <c r="M101" s="198">
        <v>2.36</v>
      </c>
      <c r="N101" s="198">
        <v>0.22</v>
      </c>
      <c r="O101" s="201">
        <f t="shared" si="3"/>
        <v>1.31</v>
      </c>
      <c r="P101" s="203" t="str">
        <f t="shared" si="4"/>
        <v>OptionStrat</v>
      </c>
      <c r="Q101" s="204" t="str">
        <f t="shared" si="5"/>
        <v>TSLA 350/450 Dec28</v>
      </c>
    </row>
    <row r="102">
      <c r="A102" s="205" t="s">
        <v>60</v>
      </c>
      <c r="B102" s="206">
        <v>47102.0</v>
      </c>
      <c r="C102" s="207">
        <v>480.0</v>
      </c>
      <c r="D102" s="207">
        <v>530.0</v>
      </c>
      <c r="E102" s="207">
        <v>50.0</v>
      </c>
      <c r="F102" s="208">
        <v>11.58</v>
      </c>
      <c r="G102" s="209">
        <f t="shared" si="1"/>
        <v>38.42</v>
      </c>
      <c r="H102" s="210">
        <f t="shared" si="2"/>
        <v>3.317789292</v>
      </c>
      <c r="I102" s="211">
        <v>0.69</v>
      </c>
      <c r="J102" s="211">
        <v>0.65</v>
      </c>
      <c r="K102" s="207">
        <v>131.0</v>
      </c>
      <c r="L102" s="207">
        <v>59.0</v>
      </c>
      <c r="M102" s="207">
        <v>0.88</v>
      </c>
      <c r="N102" s="207">
        <v>0.18</v>
      </c>
      <c r="O102" s="210">
        <f t="shared" si="3"/>
        <v>1.32</v>
      </c>
      <c r="P102" s="214" t="str">
        <f t="shared" si="4"/>
        <v>OptionStrat</v>
      </c>
      <c r="Q102" s="213" t="str">
        <f t="shared" si="5"/>
        <v>TSLA 480/530 Dec28</v>
      </c>
    </row>
    <row r="103">
      <c r="A103" s="196" t="s">
        <v>60</v>
      </c>
      <c r="B103" s="197">
        <v>47102.0</v>
      </c>
      <c r="C103" s="198">
        <v>530.0</v>
      </c>
      <c r="D103" s="198">
        <v>570.0</v>
      </c>
      <c r="E103" s="198">
        <v>40.0</v>
      </c>
      <c r="F103" s="199">
        <v>8.11</v>
      </c>
      <c r="G103" s="200">
        <f t="shared" si="1"/>
        <v>31.89</v>
      </c>
      <c r="H103" s="201">
        <f t="shared" si="2"/>
        <v>3.932182491</v>
      </c>
      <c r="I103" s="202">
        <v>0.65</v>
      </c>
      <c r="J103" s="202">
        <v>0.62</v>
      </c>
      <c r="K103" s="198">
        <v>59.0</v>
      </c>
      <c r="L103" s="198">
        <v>80.0</v>
      </c>
      <c r="M103" s="198">
        <v>0.69</v>
      </c>
      <c r="N103" s="198">
        <v>0.16</v>
      </c>
      <c r="O103" s="201">
        <f t="shared" si="3"/>
        <v>1.31</v>
      </c>
      <c r="P103" s="203" t="str">
        <f t="shared" si="4"/>
        <v>OptionStrat</v>
      </c>
      <c r="Q103" s="204" t="str">
        <f t="shared" si="5"/>
        <v>TSLA 530/570 Dec28</v>
      </c>
    </row>
    <row r="104">
      <c r="A104" s="205" t="s">
        <v>60</v>
      </c>
      <c r="B104" s="206">
        <v>47102.0</v>
      </c>
      <c r="C104" s="207">
        <v>400.0</v>
      </c>
      <c r="D104" s="207">
        <v>480.0</v>
      </c>
      <c r="E104" s="207">
        <v>80.0</v>
      </c>
      <c r="F104" s="208">
        <v>25.48</v>
      </c>
      <c r="G104" s="209">
        <f t="shared" si="1"/>
        <v>54.52</v>
      </c>
      <c r="H104" s="210">
        <f t="shared" si="2"/>
        <v>2.139717425</v>
      </c>
      <c r="I104" s="211">
        <v>0.75</v>
      </c>
      <c r="J104" s="211">
        <v>0.69</v>
      </c>
      <c r="K104" s="207">
        <v>331.0</v>
      </c>
      <c r="L104" s="207">
        <v>131.0</v>
      </c>
      <c r="M104" s="207">
        <v>2.08</v>
      </c>
      <c r="N104" s="207">
        <v>0.18</v>
      </c>
      <c r="O104" s="210">
        <f t="shared" si="3"/>
        <v>1.31</v>
      </c>
      <c r="P104" s="212" t="str">
        <f t="shared" si="4"/>
        <v>OptionStrat</v>
      </c>
      <c r="Q104" s="213" t="str">
        <f t="shared" si="5"/>
        <v>TSLA 400/480 Dec28</v>
      </c>
    </row>
    <row r="105">
      <c r="A105" s="196" t="s">
        <v>60</v>
      </c>
      <c r="B105" s="197">
        <v>47102.0</v>
      </c>
      <c r="C105" s="198">
        <v>420.0</v>
      </c>
      <c r="D105" s="198">
        <v>440.0</v>
      </c>
      <c r="E105" s="198">
        <v>20.0</v>
      </c>
      <c r="F105" s="199">
        <v>5.78</v>
      </c>
      <c r="G105" s="200">
        <f t="shared" si="1"/>
        <v>14.22</v>
      </c>
      <c r="H105" s="201">
        <f t="shared" si="2"/>
        <v>2.460207612</v>
      </c>
      <c r="I105" s="202">
        <v>0.73</v>
      </c>
      <c r="J105" s="202">
        <v>0.72</v>
      </c>
      <c r="K105" s="198">
        <v>123.0</v>
      </c>
      <c r="L105" s="198">
        <v>132.0</v>
      </c>
      <c r="M105" s="198">
        <v>1.27</v>
      </c>
      <c r="N105" s="198">
        <v>0.22</v>
      </c>
      <c r="O105" s="201">
        <f t="shared" si="3"/>
        <v>1.3</v>
      </c>
      <c r="P105" s="203" t="str">
        <f t="shared" si="4"/>
        <v>OptionStrat</v>
      </c>
      <c r="Q105" s="204" t="str">
        <f t="shared" si="5"/>
        <v>TSLA 420/440 Dec28</v>
      </c>
    </row>
    <row r="106">
      <c r="A106" s="205" t="s">
        <v>60</v>
      </c>
      <c r="B106" s="206">
        <v>47102.0</v>
      </c>
      <c r="C106" s="207">
        <v>470.0</v>
      </c>
      <c r="D106" s="207">
        <v>550.0</v>
      </c>
      <c r="E106" s="207">
        <v>80.0</v>
      </c>
      <c r="F106" s="208">
        <v>18.99</v>
      </c>
      <c r="G106" s="209">
        <f t="shared" si="1"/>
        <v>61.01</v>
      </c>
      <c r="H106" s="210">
        <f t="shared" si="2"/>
        <v>3.212743549</v>
      </c>
      <c r="I106" s="211">
        <v>0.69</v>
      </c>
      <c r="J106" s="211">
        <v>0.63</v>
      </c>
      <c r="K106" s="207">
        <v>71.0</v>
      </c>
      <c r="L106" s="207">
        <v>88.0</v>
      </c>
      <c r="M106" s="207">
        <v>0.79</v>
      </c>
      <c r="N106" s="207">
        <v>0.21</v>
      </c>
      <c r="O106" s="210">
        <f t="shared" si="3"/>
        <v>1.31</v>
      </c>
      <c r="P106" s="214" t="str">
        <f t="shared" si="4"/>
        <v>OptionStrat</v>
      </c>
      <c r="Q106" s="213" t="str">
        <f t="shared" si="5"/>
        <v>TSLA 470/550 Dec28</v>
      </c>
    </row>
    <row r="107">
      <c r="A107" s="196" t="s">
        <v>60</v>
      </c>
      <c r="B107" s="197">
        <v>47102.0</v>
      </c>
      <c r="C107" s="198">
        <v>360.0</v>
      </c>
      <c r="D107" s="198">
        <v>400.0</v>
      </c>
      <c r="E107" s="198">
        <v>40.0</v>
      </c>
      <c r="F107" s="199">
        <v>13.63</v>
      </c>
      <c r="G107" s="200">
        <f t="shared" si="1"/>
        <v>26.37</v>
      </c>
      <c r="H107" s="201">
        <f t="shared" si="2"/>
        <v>1.934702861</v>
      </c>
      <c r="I107" s="202">
        <v>0.78</v>
      </c>
      <c r="J107" s="202">
        <v>0.75</v>
      </c>
      <c r="K107" s="198">
        <v>205.0</v>
      </c>
      <c r="L107" s="198">
        <v>331.0</v>
      </c>
      <c r="M107" s="198">
        <v>2.6</v>
      </c>
      <c r="N107" s="198">
        <v>0.17</v>
      </c>
      <c r="O107" s="201">
        <f t="shared" si="3"/>
        <v>1.29</v>
      </c>
      <c r="P107" s="203" t="str">
        <f t="shared" si="4"/>
        <v>OptionStrat</v>
      </c>
      <c r="Q107" s="204" t="str">
        <f t="shared" si="5"/>
        <v>TSLA 360/400 Dec28</v>
      </c>
    </row>
    <row r="108">
      <c r="A108" s="205" t="s">
        <v>60</v>
      </c>
      <c r="B108" s="206">
        <v>47102.0</v>
      </c>
      <c r="C108" s="207">
        <v>400.0</v>
      </c>
      <c r="D108" s="207">
        <v>550.0</v>
      </c>
      <c r="E108" s="207">
        <v>150.0</v>
      </c>
      <c r="F108" s="208">
        <v>43.37</v>
      </c>
      <c r="G108" s="209">
        <f t="shared" si="1"/>
        <v>106.63</v>
      </c>
      <c r="H108" s="210">
        <f t="shared" si="2"/>
        <v>2.458611944</v>
      </c>
      <c r="I108" s="211">
        <v>0.75</v>
      </c>
      <c r="J108" s="211">
        <v>0.63</v>
      </c>
      <c r="K108" s="207">
        <v>331.0</v>
      </c>
      <c r="L108" s="207">
        <v>88.0</v>
      </c>
      <c r="M108" s="207">
        <v>1.71</v>
      </c>
      <c r="N108" s="207">
        <v>0.16</v>
      </c>
      <c r="O108" s="210">
        <f t="shared" si="3"/>
        <v>1.29</v>
      </c>
      <c r="P108" s="214" t="str">
        <f t="shared" si="4"/>
        <v>OptionStrat</v>
      </c>
      <c r="Q108" s="213" t="str">
        <f t="shared" si="5"/>
        <v>TSLA 400/550 Dec28</v>
      </c>
    </row>
    <row r="109">
      <c r="A109" s="196" t="s">
        <v>60</v>
      </c>
      <c r="B109" s="197">
        <v>47102.0</v>
      </c>
      <c r="C109" s="198">
        <v>430.0</v>
      </c>
      <c r="D109" s="198">
        <v>550.0</v>
      </c>
      <c r="E109" s="198">
        <v>120.0</v>
      </c>
      <c r="F109" s="199">
        <v>32.37</v>
      </c>
      <c r="G109" s="200">
        <f t="shared" si="1"/>
        <v>87.63</v>
      </c>
      <c r="H109" s="201">
        <f t="shared" si="2"/>
        <v>2.707136237</v>
      </c>
      <c r="I109" s="202">
        <v>0.72</v>
      </c>
      <c r="J109" s="202">
        <v>0.63</v>
      </c>
      <c r="K109" s="198">
        <v>183.0</v>
      </c>
      <c r="L109" s="198">
        <v>88.0</v>
      </c>
      <c r="M109" s="198">
        <v>1.27</v>
      </c>
      <c r="N109" s="198">
        <v>0.18</v>
      </c>
      <c r="O109" s="201">
        <f t="shared" si="3"/>
        <v>1.29</v>
      </c>
      <c r="P109" s="203" t="str">
        <f t="shared" si="4"/>
        <v>OptionStrat</v>
      </c>
      <c r="Q109" s="204" t="str">
        <f t="shared" si="5"/>
        <v>TSLA 430/550 Dec28</v>
      </c>
    </row>
    <row r="110">
      <c r="A110" s="205" t="s">
        <v>60</v>
      </c>
      <c r="B110" s="206">
        <v>47102.0</v>
      </c>
      <c r="C110" s="207">
        <v>430.0</v>
      </c>
      <c r="D110" s="207">
        <v>570.0</v>
      </c>
      <c r="E110" s="207">
        <v>140.0</v>
      </c>
      <c r="F110" s="208">
        <v>37.1</v>
      </c>
      <c r="G110" s="209">
        <f t="shared" si="1"/>
        <v>102.9</v>
      </c>
      <c r="H110" s="210">
        <f t="shared" si="2"/>
        <v>2.773584906</v>
      </c>
      <c r="I110" s="211">
        <v>0.72</v>
      </c>
      <c r="J110" s="211">
        <v>0.62</v>
      </c>
      <c r="K110" s="207">
        <v>183.0</v>
      </c>
      <c r="L110" s="207">
        <v>80.0</v>
      </c>
      <c r="M110" s="207">
        <v>1.21</v>
      </c>
      <c r="N110" s="207">
        <v>0.18</v>
      </c>
      <c r="O110" s="210">
        <f t="shared" si="3"/>
        <v>1.29</v>
      </c>
      <c r="P110" s="214" t="str">
        <f t="shared" si="4"/>
        <v>OptionStrat</v>
      </c>
      <c r="Q110" s="213" t="str">
        <f t="shared" si="5"/>
        <v>TSLA 430/570 Dec28</v>
      </c>
    </row>
    <row r="111">
      <c r="A111" s="196" t="s">
        <v>60</v>
      </c>
      <c r="B111" s="197">
        <v>47102.0</v>
      </c>
      <c r="C111" s="198">
        <v>480.0</v>
      </c>
      <c r="D111" s="198">
        <v>540.0</v>
      </c>
      <c r="E111" s="198">
        <v>60.0</v>
      </c>
      <c r="F111" s="199">
        <v>14.13</v>
      </c>
      <c r="G111" s="200">
        <f t="shared" si="1"/>
        <v>45.87</v>
      </c>
      <c r="H111" s="201">
        <f t="shared" si="2"/>
        <v>3.246284501</v>
      </c>
      <c r="I111" s="202">
        <v>0.69</v>
      </c>
      <c r="J111" s="202">
        <v>0.64</v>
      </c>
      <c r="K111" s="198">
        <v>131.0</v>
      </c>
      <c r="L111" s="198">
        <v>58.0</v>
      </c>
      <c r="M111" s="198">
        <v>0.87</v>
      </c>
      <c r="N111" s="198">
        <v>0.18</v>
      </c>
      <c r="O111" s="201">
        <f t="shared" si="3"/>
        <v>1.28</v>
      </c>
      <c r="P111" s="203" t="str">
        <f t="shared" si="4"/>
        <v>OptionStrat</v>
      </c>
      <c r="Q111" s="204" t="str">
        <f t="shared" si="5"/>
        <v>TSLA 480/540 Dec28</v>
      </c>
    </row>
    <row r="112">
      <c r="A112" s="205" t="s">
        <v>60</v>
      </c>
      <c r="B112" s="206">
        <v>47102.0</v>
      </c>
      <c r="C112" s="207">
        <v>470.0</v>
      </c>
      <c r="D112" s="207">
        <v>570.0</v>
      </c>
      <c r="E112" s="207">
        <v>100.0</v>
      </c>
      <c r="F112" s="208">
        <v>23.73</v>
      </c>
      <c r="G112" s="209">
        <f t="shared" si="1"/>
        <v>76.27</v>
      </c>
      <c r="H112" s="210">
        <f t="shared" si="2"/>
        <v>3.214075011</v>
      </c>
      <c r="I112" s="211">
        <v>0.69</v>
      </c>
      <c r="J112" s="211">
        <v>0.62</v>
      </c>
      <c r="K112" s="207">
        <v>71.0</v>
      </c>
      <c r="L112" s="207">
        <v>80.0</v>
      </c>
      <c r="M112" s="207">
        <v>0.75</v>
      </c>
      <c r="N112" s="207">
        <v>0.21</v>
      </c>
      <c r="O112" s="210">
        <f t="shared" si="3"/>
        <v>1.28</v>
      </c>
      <c r="P112" s="212" t="str">
        <f t="shared" si="4"/>
        <v>OptionStrat</v>
      </c>
      <c r="Q112" s="213" t="str">
        <f t="shared" si="5"/>
        <v>TSLA 470/570 Dec28</v>
      </c>
    </row>
    <row r="113">
      <c r="A113" s="196" t="s">
        <v>60</v>
      </c>
      <c r="B113" s="197">
        <v>47102.0</v>
      </c>
      <c r="C113" s="198">
        <v>420.0</v>
      </c>
      <c r="D113" s="198">
        <v>480.0</v>
      </c>
      <c r="E113" s="198">
        <v>60.0</v>
      </c>
      <c r="F113" s="199">
        <v>17.65</v>
      </c>
      <c r="G113" s="200">
        <f t="shared" si="1"/>
        <v>42.35</v>
      </c>
      <c r="H113" s="201">
        <f t="shared" si="2"/>
        <v>2.399433428</v>
      </c>
      <c r="I113" s="202">
        <v>0.73</v>
      </c>
      <c r="J113" s="202">
        <v>0.69</v>
      </c>
      <c r="K113" s="198">
        <v>123.0</v>
      </c>
      <c r="L113" s="198">
        <v>131.0</v>
      </c>
      <c r="M113" s="198">
        <v>1.27</v>
      </c>
      <c r="N113" s="198">
        <v>0.22</v>
      </c>
      <c r="O113" s="201">
        <f t="shared" si="3"/>
        <v>1.27</v>
      </c>
      <c r="P113" s="215" t="str">
        <f t="shared" si="4"/>
        <v>OptionStrat</v>
      </c>
      <c r="Q113" s="204" t="str">
        <f t="shared" si="5"/>
        <v>TSLA 420/480 Dec28</v>
      </c>
    </row>
    <row r="114">
      <c r="A114" s="205" t="s">
        <v>60</v>
      </c>
      <c r="B114" s="206">
        <v>47102.0</v>
      </c>
      <c r="C114" s="207">
        <v>430.0</v>
      </c>
      <c r="D114" s="207">
        <v>490.0</v>
      </c>
      <c r="E114" s="207">
        <v>60.0</v>
      </c>
      <c r="F114" s="208">
        <v>16.49</v>
      </c>
      <c r="G114" s="209">
        <f t="shared" si="1"/>
        <v>43.51</v>
      </c>
      <c r="H114" s="210">
        <f t="shared" si="2"/>
        <v>2.63856883</v>
      </c>
      <c r="I114" s="211">
        <v>0.72</v>
      </c>
      <c r="J114" s="211">
        <v>0.68</v>
      </c>
      <c r="K114" s="207">
        <v>183.0</v>
      </c>
      <c r="L114" s="207">
        <v>91.0</v>
      </c>
      <c r="M114" s="207">
        <v>1.29</v>
      </c>
      <c r="N114" s="207">
        <v>0.18</v>
      </c>
      <c r="O114" s="210">
        <f t="shared" si="3"/>
        <v>1.27</v>
      </c>
      <c r="P114" s="214" t="str">
        <f t="shared" si="4"/>
        <v>OptionStrat</v>
      </c>
      <c r="Q114" s="213" t="str">
        <f t="shared" si="5"/>
        <v>TSLA 430/490 Dec28</v>
      </c>
    </row>
    <row r="115">
      <c r="A115" s="196" t="s">
        <v>60</v>
      </c>
      <c r="B115" s="197">
        <v>47102.0</v>
      </c>
      <c r="C115" s="198">
        <v>400.0</v>
      </c>
      <c r="D115" s="198">
        <v>420.0</v>
      </c>
      <c r="E115" s="198">
        <v>20.0</v>
      </c>
      <c r="F115" s="199">
        <v>6.68</v>
      </c>
      <c r="G115" s="200">
        <f t="shared" si="1"/>
        <v>13.32</v>
      </c>
      <c r="H115" s="201">
        <f t="shared" si="2"/>
        <v>1.994011976</v>
      </c>
      <c r="I115" s="202">
        <v>0.75</v>
      </c>
      <c r="J115" s="202">
        <v>0.73</v>
      </c>
      <c r="K115" s="198">
        <v>331.0</v>
      </c>
      <c r="L115" s="198">
        <v>123.0</v>
      </c>
      <c r="M115" s="198">
        <v>2.02</v>
      </c>
      <c r="N115" s="198">
        <v>0.19</v>
      </c>
      <c r="O115" s="201">
        <f t="shared" si="3"/>
        <v>1.24</v>
      </c>
      <c r="P115" s="215" t="str">
        <f t="shared" si="4"/>
        <v>OptionStrat</v>
      </c>
      <c r="Q115" s="204" t="str">
        <f t="shared" si="5"/>
        <v>TSLA 400/420 Dec28</v>
      </c>
    </row>
    <row r="116">
      <c r="A116" s="205" t="s">
        <v>60</v>
      </c>
      <c r="B116" s="206">
        <v>47102.0</v>
      </c>
      <c r="C116" s="207">
        <v>390.0</v>
      </c>
      <c r="D116" s="207">
        <v>450.0</v>
      </c>
      <c r="E116" s="207">
        <v>60.0</v>
      </c>
      <c r="F116" s="208">
        <v>19.8</v>
      </c>
      <c r="G116" s="209">
        <f t="shared" si="1"/>
        <v>40.2</v>
      </c>
      <c r="H116" s="210">
        <f t="shared" si="2"/>
        <v>2.03030303</v>
      </c>
      <c r="I116" s="211">
        <v>0.76</v>
      </c>
      <c r="J116" s="211">
        <v>0.71</v>
      </c>
      <c r="K116" s="207">
        <v>47.0</v>
      </c>
      <c r="L116" s="207">
        <v>690.0</v>
      </c>
      <c r="M116" s="207">
        <v>1.8</v>
      </c>
      <c r="N116" s="207">
        <v>0.2</v>
      </c>
      <c r="O116" s="210">
        <f t="shared" si="3"/>
        <v>1.22</v>
      </c>
      <c r="P116" s="214" t="str">
        <f t="shared" si="4"/>
        <v>OptionStrat</v>
      </c>
      <c r="Q116" s="213" t="str">
        <f t="shared" si="5"/>
        <v>TSLA 390/450 Dec28</v>
      </c>
    </row>
    <row r="117">
      <c r="A117" s="196" t="s">
        <v>60</v>
      </c>
      <c r="B117" s="197">
        <v>47102.0</v>
      </c>
      <c r="C117" s="198">
        <v>490.0</v>
      </c>
      <c r="D117" s="198">
        <v>550.0</v>
      </c>
      <c r="E117" s="198">
        <v>60.0</v>
      </c>
      <c r="F117" s="199">
        <v>14.21</v>
      </c>
      <c r="G117" s="200">
        <f t="shared" si="1"/>
        <v>45.79</v>
      </c>
      <c r="H117" s="201">
        <f t="shared" si="2"/>
        <v>3.222378607</v>
      </c>
      <c r="I117" s="202">
        <v>0.68</v>
      </c>
      <c r="J117" s="202">
        <v>0.63</v>
      </c>
      <c r="K117" s="198">
        <v>91.0</v>
      </c>
      <c r="L117" s="198">
        <v>88.0</v>
      </c>
      <c r="M117" s="198">
        <v>0.89</v>
      </c>
      <c r="N117" s="198">
        <v>0.16</v>
      </c>
      <c r="O117" s="201">
        <f t="shared" si="3"/>
        <v>1.22</v>
      </c>
      <c r="P117" s="203" t="str">
        <f t="shared" si="4"/>
        <v>OptionStrat</v>
      </c>
      <c r="Q117" s="204" t="str">
        <f t="shared" si="5"/>
        <v>TSLA 490/550 Dec28</v>
      </c>
    </row>
    <row r="118">
      <c r="A118" s="205" t="s">
        <v>60</v>
      </c>
      <c r="B118" s="206">
        <v>47102.0</v>
      </c>
      <c r="C118" s="207">
        <v>350.0</v>
      </c>
      <c r="D118" s="207">
        <v>360.0</v>
      </c>
      <c r="E118" s="207">
        <v>10.0</v>
      </c>
      <c r="F118" s="208">
        <v>2.87</v>
      </c>
      <c r="G118" s="209">
        <f t="shared" si="1"/>
        <v>7.13</v>
      </c>
      <c r="H118" s="210">
        <f t="shared" si="2"/>
        <v>2.484320557</v>
      </c>
      <c r="I118" s="211">
        <v>0.79</v>
      </c>
      <c r="J118" s="211">
        <v>0.78</v>
      </c>
      <c r="K118" s="207">
        <v>81.0</v>
      </c>
      <c r="L118" s="207">
        <v>205.0</v>
      </c>
      <c r="M118" s="207">
        <v>1.29</v>
      </c>
      <c r="N118" s="207">
        <v>0.19</v>
      </c>
      <c r="O118" s="210">
        <f t="shared" si="3"/>
        <v>1.23</v>
      </c>
      <c r="P118" s="212" t="str">
        <f t="shared" si="4"/>
        <v>OptionStrat</v>
      </c>
      <c r="Q118" s="213" t="str">
        <f t="shared" si="5"/>
        <v>TSLA 350/360 Dec28</v>
      </c>
    </row>
    <row r="119">
      <c r="A119" s="196" t="s">
        <v>60</v>
      </c>
      <c r="B119" s="197">
        <v>47102.0</v>
      </c>
      <c r="C119" s="198">
        <v>470.0</v>
      </c>
      <c r="D119" s="198">
        <v>530.0</v>
      </c>
      <c r="E119" s="198">
        <v>60.0</v>
      </c>
      <c r="F119" s="199">
        <v>13.98</v>
      </c>
      <c r="G119" s="200">
        <f t="shared" si="1"/>
        <v>46.02</v>
      </c>
      <c r="H119" s="201">
        <f t="shared" si="2"/>
        <v>3.291845494</v>
      </c>
      <c r="I119" s="202">
        <v>0.69</v>
      </c>
      <c r="J119" s="202">
        <v>0.65</v>
      </c>
      <c r="K119" s="198">
        <v>71.0</v>
      </c>
      <c r="L119" s="198">
        <v>59.0</v>
      </c>
      <c r="M119" s="198">
        <v>0.65</v>
      </c>
      <c r="N119" s="198">
        <v>0.21</v>
      </c>
      <c r="O119" s="201">
        <f t="shared" si="3"/>
        <v>1.22</v>
      </c>
      <c r="P119" s="203" t="str">
        <f t="shared" si="4"/>
        <v>OptionStrat</v>
      </c>
      <c r="Q119" s="204" t="str">
        <f t="shared" si="5"/>
        <v>TSLA 470/530 Dec28</v>
      </c>
    </row>
    <row r="120">
      <c r="A120" s="205" t="s">
        <v>60</v>
      </c>
      <c r="B120" s="206">
        <v>47102.0</v>
      </c>
      <c r="C120" s="207">
        <v>400.0</v>
      </c>
      <c r="D120" s="207">
        <v>440.0</v>
      </c>
      <c r="E120" s="207">
        <v>40.0</v>
      </c>
      <c r="F120" s="208">
        <v>13.61</v>
      </c>
      <c r="G120" s="209">
        <f t="shared" si="1"/>
        <v>26.39</v>
      </c>
      <c r="H120" s="210">
        <f t="shared" si="2"/>
        <v>1.93901543</v>
      </c>
      <c r="I120" s="211">
        <v>0.75</v>
      </c>
      <c r="J120" s="211">
        <v>0.72</v>
      </c>
      <c r="K120" s="207">
        <v>331.0</v>
      </c>
      <c r="L120" s="207">
        <v>132.0</v>
      </c>
      <c r="M120" s="207">
        <v>2.09</v>
      </c>
      <c r="N120" s="207">
        <v>0.18</v>
      </c>
      <c r="O120" s="210">
        <f t="shared" si="3"/>
        <v>1.19</v>
      </c>
      <c r="P120" s="214" t="str">
        <f t="shared" si="4"/>
        <v>OptionStrat</v>
      </c>
      <c r="Q120" s="213" t="str">
        <f t="shared" si="5"/>
        <v>TSLA 400/440 Dec28</v>
      </c>
    </row>
    <row r="121">
      <c r="A121" s="196" t="s">
        <v>60</v>
      </c>
      <c r="B121" s="197">
        <v>47102.0</v>
      </c>
      <c r="C121" s="198">
        <v>400.0</v>
      </c>
      <c r="D121" s="198">
        <v>490.0</v>
      </c>
      <c r="E121" s="198">
        <v>90.0</v>
      </c>
      <c r="F121" s="199">
        <v>27.5</v>
      </c>
      <c r="G121" s="200">
        <f t="shared" si="1"/>
        <v>62.5</v>
      </c>
      <c r="H121" s="201">
        <f t="shared" si="2"/>
        <v>2.272727273</v>
      </c>
      <c r="I121" s="202">
        <v>0.75</v>
      </c>
      <c r="J121" s="202">
        <v>0.68</v>
      </c>
      <c r="K121" s="198">
        <v>331.0</v>
      </c>
      <c r="L121" s="198">
        <v>91.0</v>
      </c>
      <c r="M121" s="198">
        <v>1.74</v>
      </c>
      <c r="N121" s="198">
        <v>0.16</v>
      </c>
      <c r="O121" s="201">
        <f t="shared" si="3"/>
        <v>1.2</v>
      </c>
      <c r="P121" s="215" t="str">
        <f t="shared" si="4"/>
        <v>OptionStrat</v>
      </c>
      <c r="Q121" s="204" t="str">
        <f t="shared" si="5"/>
        <v>TSLA 400/490 Dec28</v>
      </c>
    </row>
    <row r="122">
      <c r="A122" s="205" t="s">
        <v>60</v>
      </c>
      <c r="B122" s="206">
        <v>47102.0</v>
      </c>
      <c r="C122" s="207">
        <v>490.0</v>
      </c>
      <c r="D122" s="207">
        <v>570.0</v>
      </c>
      <c r="E122" s="207">
        <v>80.0</v>
      </c>
      <c r="F122" s="208">
        <v>18.94</v>
      </c>
      <c r="G122" s="209">
        <f t="shared" si="1"/>
        <v>61.06</v>
      </c>
      <c r="H122" s="210">
        <f t="shared" si="2"/>
        <v>3.223864836</v>
      </c>
      <c r="I122" s="211">
        <v>0.68</v>
      </c>
      <c r="J122" s="211">
        <v>0.62</v>
      </c>
      <c r="K122" s="207">
        <v>91.0</v>
      </c>
      <c r="L122" s="207">
        <v>80.0</v>
      </c>
      <c r="M122" s="207">
        <v>0.85</v>
      </c>
      <c r="N122" s="207">
        <v>0.16</v>
      </c>
      <c r="O122" s="210">
        <f t="shared" si="3"/>
        <v>1.19</v>
      </c>
      <c r="P122" s="214" t="str">
        <f t="shared" si="4"/>
        <v>OptionStrat</v>
      </c>
      <c r="Q122" s="213" t="str">
        <f t="shared" si="5"/>
        <v>TSLA 490/570 Dec28</v>
      </c>
    </row>
    <row r="123">
      <c r="A123" s="196" t="s">
        <v>60</v>
      </c>
      <c r="B123" s="197">
        <v>47102.0</v>
      </c>
      <c r="C123" s="198">
        <v>360.0</v>
      </c>
      <c r="D123" s="198">
        <v>380.0</v>
      </c>
      <c r="E123" s="198">
        <v>20.0</v>
      </c>
      <c r="F123" s="199">
        <v>5.78</v>
      </c>
      <c r="G123" s="200">
        <f t="shared" si="1"/>
        <v>14.22</v>
      </c>
      <c r="H123" s="201">
        <f t="shared" si="2"/>
        <v>2.460207612</v>
      </c>
      <c r="I123" s="202">
        <v>0.78</v>
      </c>
      <c r="J123" s="202">
        <v>0.77</v>
      </c>
      <c r="K123" s="198">
        <v>205.0</v>
      </c>
      <c r="L123" s="198">
        <v>94.0</v>
      </c>
      <c r="M123" s="198">
        <v>1.39</v>
      </c>
      <c r="N123" s="198">
        <v>0.17</v>
      </c>
      <c r="O123" s="201">
        <f t="shared" si="3"/>
        <v>1.2</v>
      </c>
      <c r="P123" s="215" t="str">
        <f t="shared" si="4"/>
        <v>OptionStrat</v>
      </c>
      <c r="Q123" s="204" t="str">
        <f t="shared" si="5"/>
        <v>TSLA 360/380 Dec28</v>
      </c>
    </row>
    <row r="124">
      <c r="A124" s="205" t="s">
        <v>60</v>
      </c>
      <c r="B124" s="206">
        <v>47102.0</v>
      </c>
      <c r="C124" s="207">
        <v>380.0</v>
      </c>
      <c r="D124" s="207">
        <v>390.0</v>
      </c>
      <c r="E124" s="207">
        <v>10.0</v>
      </c>
      <c r="F124" s="208">
        <v>2.11</v>
      </c>
      <c r="G124" s="209">
        <f t="shared" si="1"/>
        <v>7.89</v>
      </c>
      <c r="H124" s="210">
        <f t="shared" si="2"/>
        <v>3.739336493</v>
      </c>
      <c r="I124" s="211">
        <v>0.77</v>
      </c>
      <c r="J124" s="211">
        <v>0.76</v>
      </c>
      <c r="K124" s="207">
        <v>94.0</v>
      </c>
      <c r="L124" s="207">
        <v>47.0</v>
      </c>
      <c r="M124" s="207">
        <v>0.66</v>
      </c>
      <c r="N124" s="207">
        <v>0.15</v>
      </c>
      <c r="O124" s="210">
        <f t="shared" si="3"/>
        <v>1.18</v>
      </c>
      <c r="P124" s="214" t="str">
        <f t="shared" si="4"/>
        <v>OptionStrat</v>
      </c>
      <c r="Q124" s="213" t="str">
        <f t="shared" si="5"/>
        <v>TSLA 380/390 Dec28</v>
      </c>
    </row>
    <row r="125">
      <c r="A125" s="196" t="s">
        <v>60</v>
      </c>
      <c r="B125" s="197">
        <v>47102.0</v>
      </c>
      <c r="C125" s="198">
        <v>380.0</v>
      </c>
      <c r="D125" s="198">
        <v>400.0</v>
      </c>
      <c r="E125" s="198">
        <v>20.0</v>
      </c>
      <c r="F125" s="199">
        <v>6.11</v>
      </c>
      <c r="G125" s="200">
        <f t="shared" si="1"/>
        <v>13.89</v>
      </c>
      <c r="H125" s="201">
        <f t="shared" si="2"/>
        <v>2.273322422</v>
      </c>
      <c r="I125" s="202">
        <v>0.77</v>
      </c>
      <c r="J125" s="202">
        <v>0.75</v>
      </c>
      <c r="K125" s="198">
        <v>94.0</v>
      </c>
      <c r="L125" s="198">
        <v>331.0</v>
      </c>
      <c r="M125" s="198">
        <v>1.76</v>
      </c>
      <c r="N125" s="198">
        <v>0.16</v>
      </c>
      <c r="O125" s="201">
        <f t="shared" si="3"/>
        <v>1.21</v>
      </c>
      <c r="P125" s="215" t="str">
        <f t="shared" si="4"/>
        <v>OptionStrat</v>
      </c>
      <c r="Q125" s="204" t="str">
        <f t="shared" si="5"/>
        <v>TSLA 380/400 Dec28</v>
      </c>
    </row>
    <row r="126">
      <c r="A126" s="205" t="s">
        <v>60</v>
      </c>
      <c r="B126" s="206">
        <v>47102.0</v>
      </c>
      <c r="C126" s="207">
        <v>420.0</v>
      </c>
      <c r="D126" s="207">
        <v>550.0</v>
      </c>
      <c r="E126" s="207">
        <v>130.0</v>
      </c>
      <c r="F126" s="208">
        <v>35.54</v>
      </c>
      <c r="G126" s="209">
        <f t="shared" si="1"/>
        <v>94.46</v>
      </c>
      <c r="H126" s="210">
        <f t="shared" si="2"/>
        <v>2.65785031</v>
      </c>
      <c r="I126" s="211">
        <v>0.73</v>
      </c>
      <c r="J126" s="211">
        <v>0.63</v>
      </c>
      <c r="K126" s="207">
        <v>123.0</v>
      </c>
      <c r="L126" s="207">
        <v>88.0</v>
      </c>
      <c r="M126" s="207">
        <v>1.04</v>
      </c>
      <c r="N126" s="207">
        <v>0.19</v>
      </c>
      <c r="O126" s="210">
        <f t="shared" si="3"/>
        <v>1.18</v>
      </c>
      <c r="P126" s="214" t="str">
        <f t="shared" si="4"/>
        <v>OptionStrat</v>
      </c>
      <c r="Q126" s="213" t="str">
        <f t="shared" si="5"/>
        <v>TSLA 420/550 Dec28</v>
      </c>
    </row>
    <row r="127">
      <c r="A127" s="196" t="s">
        <v>60</v>
      </c>
      <c r="B127" s="197">
        <v>47102.0</v>
      </c>
      <c r="C127" s="198">
        <v>420.0</v>
      </c>
      <c r="D127" s="198">
        <v>570.0</v>
      </c>
      <c r="E127" s="198">
        <v>150.0</v>
      </c>
      <c r="F127" s="199">
        <v>40.28</v>
      </c>
      <c r="G127" s="200">
        <f t="shared" si="1"/>
        <v>109.72</v>
      </c>
      <c r="H127" s="201">
        <f t="shared" si="2"/>
        <v>2.723932473</v>
      </c>
      <c r="I127" s="202">
        <v>0.73</v>
      </c>
      <c r="J127" s="202">
        <v>0.62</v>
      </c>
      <c r="K127" s="198">
        <v>123.0</v>
      </c>
      <c r="L127" s="198">
        <v>80.0</v>
      </c>
      <c r="M127" s="198">
        <v>0.99</v>
      </c>
      <c r="N127" s="198">
        <v>0.19</v>
      </c>
      <c r="O127" s="201">
        <f t="shared" si="3"/>
        <v>1.18</v>
      </c>
      <c r="P127" s="203" t="str">
        <f t="shared" si="4"/>
        <v>OptionStrat</v>
      </c>
      <c r="Q127" s="204" t="str">
        <f t="shared" si="5"/>
        <v>TSLA 420/570 Dec28</v>
      </c>
    </row>
    <row r="128">
      <c r="A128" s="205" t="s">
        <v>60</v>
      </c>
      <c r="B128" s="206">
        <v>47102.0</v>
      </c>
      <c r="C128" s="207">
        <v>470.0</v>
      </c>
      <c r="D128" s="207">
        <v>540.0</v>
      </c>
      <c r="E128" s="207">
        <v>70.0</v>
      </c>
      <c r="F128" s="208">
        <v>16.53</v>
      </c>
      <c r="G128" s="209">
        <f t="shared" si="1"/>
        <v>53.47</v>
      </c>
      <c r="H128" s="210">
        <f t="shared" si="2"/>
        <v>3.234724743</v>
      </c>
      <c r="I128" s="211">
        <v>0.69</v>
      </c>
      <c r="J128" s="211">
        <v>0.64</v>
      </c>
      <c r="K128" s="207">
        <v>71.0</v>
      </c>
      <c r="L128" s="207">
        <v>58.0</v>
      </c>
      <c r="M128" s="207">
        <v>0.64</v>
      </c>
      <c r="N128" s="207">
        <v>0.21</v>
      </c>
      <c r="O128" s="210">
        <f t="shared" si="3"/>
        <v>1.19</v>
      </c>
      <c r="P128" s="214" t="str">
        <f t="shared" si="4"/>
        <v>OptionStrat</v>
      </c>
      <c r="Q128" s="213" t="str">
        <f t="shared" si="5"/>
        <v>TSLA 470/540 Dec28</v>
      </c>
    </row>
    <row r="129">
      <c r="A129" s="196" t="s">
        <v>60</v>
      </c>
      <c r="B129" s="197">
        <v>47102.0</v>
      </c>
      <c r="C129" s="198">
        <v>400.0</v>
      </c>
      <c r="D129" s="198">
        <v>540.0</v>
      </c>
      <c r="E129" s="198">
        <v>140.0</v>
      </c>
      <c r="F129" s="199">
        <v>40.91</v>
      </c>
      <c r="G129" s="200">
        <f t="shared" si="1"/>
        <v>99.09</v>
      </c>
      <c r="H129" s="201">
        <f t="shared" si="2"/>
        <v>2.422146175</v>
      </c>
      <c r="I129" s="202">
        <v>0.75</v>
      </c>
      <c r="J129" s="202">
        <v>0.64</v>
      </c>
      <c r="K129" s="198">
        <v>331.0</v>
      </c>
      <c r="L129" s="198">
        <v>58.0</v>
      </c>
      <c r="M129" s="198">
        <v>1.39</v>
      </c>
      <c r="N129" s="198">
        <v>0.16</v>
      </c>
      <c r="O129" s="201">
        <f t="shared" si="3"/>
        <v>1.14</v>
      </c>
      <c r="P129" s="203" t="str">
        <f t="shared" si="4"/>
        <v>OptionStrat</v>
      </c>
      <c r="Q129" s="204" t="str">
        <f t="shared" si="5"/>
        <v>TSLA 400/540 Dec28</v>
      </c>
    </row>
    <row r="130">
      <c r="A130" s="205" t="s">
        <v>60</v>
      </c>
      <c r="B130" s="206">
        <v>47102.0</v>
      </c>
      <c r="C130" s="207">
        <v>430.0</v>
      </c>
      <c r="D130" s="207">
        <v>470.0</v>
      </c>
      <c r="E130" s="207">
        <v>40.0</v>
      </c>
      <c r="F130" s="208">
        <v>12.47</v>
      </c>
      <c r="G130" s="209">
        <f t="shared" si="1"/>
        <v>27.53</v>
      </c>
      <c r="H130" s="210">
        <f t="shared" si="2"/>
        <v>2.207698476</v>
      </c>
      <c r="I130" s="211">
        <v>0.72</v>
      </c>
      <c r="J130" s="211">
        <v>0.69</v>
      </c>
      <c r="K130" s="207">
        <v>183.0</v>
      </c>
      <c r="L130" s="207">
        <v>71.0</v>
      </c>
      <c r="M130" s="207">
        <v>1.14</v>
      </c>
      <c r="N130" s="207">
        <v>0.24</v>
      </c>
      <c r="O130" s="210">
        <f t="shared" si="3"/>
        <v>1.15</v>
      </c>
      <c r="P130" s="214" t="str">
        <f t="shared" si="4"/>
        <v>OptionStrat</v>
      </c>
      <c r="Q130" s="213" t="str">
        <f t="shared" si="5"/>
        <v>TSLA 430/470 Dec28</v>
      </c>
    </row>
    <row r="131">
      <c r="A131" s="196" t="s">
        <v>60</v>
      </c>
      <c r="B131" s="197">
        <v>47102.0</v>
      </c>
      <c r="C131" s="198">
        <v>430.0</v>
      </c>
      <c r="D131" s="198">
        <v>530.0</v>
      </c>
      <c r="E131" s="198">
        <v>100.0</v>
      </c>
      <c r="F131" s="199">
        <v>27.35</v>
      </c>
      <c r="G131" s="200">
        <f t="shared" si="1"/>
        <v>72.65</v>
      </c>
      <c r="H131" s="201">
        <f t="shared" si="2"/>
        <v>2.65630713</v>
      </c>
      <c r="I131" s="202">
        <v>0.72</v>
      </c>
      <c r="J131" s="202">
        <v>0.65</v>
      </c>
      <c r="K131" s="198">
        <v>183.0</v>
      </c>
      <c r="L131" s="198">
        <v>59.0</v>
      </c>
      <c r="M131" s="198">
        <v>1.04</v>
      </c>
      <c r="N131" s="198">
        <v>0.18</v>
      </c>
      <c r="O131" s="201">
        <f t="shared" si="3"/>
        <v>1.15</v>
      </c>
      <c r="P131" s="203" t="str">
        <f t="shared" si="4"/>
        <v>OptionStrat</v>
      </c>
      <c r="Q131" s="204" t="str">
        <f t="shared" si="5"/>
        <v>TSLA 430/530 Dec28</v>
      </c>
    </row>
    <row r="132">
      <c r="A132" s="205" t="s">
        <v>60</v>
      </c>
      <c r="B132" s="206">
        <v>47102.0</v>
      </c>
      <c r="C132" s="207">
        <v>430.0</v>
      </c>
      <c r="D132" s="207">
        <v>540.0</v>
      </c>
      <c r="E132" s="207">
        <v>110.0</v>
      </c>
      <c r="F132" s="208">
        <v>29.9</v>
      </c>
      <c r="G132" s="209">
        <f t="shared" si="1"/>
        <v>80.1</v>
      </c>
      <c r="H132" s="210">
        <f t="shared" si="2"/>
        <v>2.678929766</v>
      </c>
      <c r="I132" s="211">
        <v>0.72</v>
      </c>
      <c r="J132" s="211">
        <v>0.64</v>
      </c>
      <c r="K132" s="207">
        <v>183.0</v>
      </c>
      <c r="L132" s="207">
        <v>58.0</v>
      </c>
      <c r="M132" s="207">
        <v>1.03</v>
      </c>
      <c r="N132" s="207">
        <v>0.18</v>
      </c>
      <c r="O132" s="210">
        <f t="shared" si="3"/>
        <v>1.15</v>
      </c>
      <c r="P132" s="212" t="str">
        <f t="shared" si="4"/>
        <v>OptionStrat</v>
      </c>
      <c r="Q132" s="213" t="str">
        <f t="shared" si="5"/>
        <v>TSLA 430/540 Dec28</v>
      </c>
    </row>
    <row r="133">
      <c r="A133" s="196" t="s">
        <v>60</v>
      </c>
      <c r="B133" s="197">
        <v>47102.0</v>
      </c>
      <c r="C133" s="198">
        <v>490.0</v>
      </c>
      <c r="D133" s="198">
        <v>530.0</v>
      </c>
      <c r="E133" s="198">
        <v>40.0</v>
      </c>
      <c r="F133" s="199">
        <v>9.2</v>
      </c>
      <c r="G133" s="200">
        <f t="shared" si="1"/>
        <v>30.8</v>
      </c>
      <c r="H133" s="201">
        <f t="shared" si="2"/>
        <v>3.347826087</v>
      </c>
      <c r="I133" s="202">
        <v>0.68</v>
      </c>
      <c r="J133" s="202">
        <v>0.65</v>
      </c>
      <c r="K133" s="198">
        <v>91.0</v>
      </c>
      <c r="L133" s="198">
        <v>59.0</v>
      </c>
      <c r="M133" s="198">
        <v>0.73</v>
      </c>
      <c r="N133" s="198">
        <v>0.16</v>
      </c>
      <c r="O133" s="201">
        <f t="shared" si="3"/>
        <v>1.14</v>
      </c>
      <c r="P133" s="215" t="str">
        <f t="shared" si="4"/>
        <v>OptionStrat</v>
      </c>
      <c r="Q133" s="204" t="str">
        <f t="shared" si="5"/>
        <v>TSLA 490/530 Dec28</v>
      </c>
    </row>
    <row r="134">
      <c r="A134" s="205" t="s">
        <v>60</v>
      </c>
      <c r="B134" s="206">
        <v>47102.0</v>
      </c>
      <c r="C134" s="207">
        <v>510.0</v>
      </c>
      <c r="D134" s="207">
        <v>550.0</v>
      </c>
      <c r="E134" s="207">
        <v>40.0</v>
      </c>
      <c r="F134" s="208">
        <v>8.25</v>
      </c>
      <c r="G134" s="209">
        <f t="shared" si="1"/>
        <v>31.75</v>
      </c>
      <c r="H134" s="210">
        <f t="shared" si="2"/>
        <v>3.848484848</v>
      </c>
      <c r="I134" s="211">
        <v>0.66</v>
      </c>
      <c r="J134" s="211">
        <v>0.63</v>
      </c>
      <c r="K134" s="207">
        <v>26.0</v>
      </c>
      <c r="L134" s="207">
        <v>88.0</v>
      </c>
      <c r="M134" s="207">
        <v>0.48</v>
      </c>
      <c r="N134" s="207">
        <v>0.19</v>
      </c>
      <c r="O134" s="210">
        <f t="shared" si="3"/>
        <v>1.16</v>
      </c>
      <c r="P134" s="214" t="str">
        <f t="shared" si="4"/>
        <v>OptionStrat</v>
      </c>
      <c r="Q134" s="213" t="str">
        <f t="shared" si="5"/>
        <v>TSLA 510/550 Dec28</v>
      </c>
    </row>
    <row r="135">
      <c r="A135" s="196" t="s">
        <v>60</v>
      </c>
      <c r="B135" s="197">
        <v>47102.0</v>
      </c>
      <c r="C135" s="198">
        <v>420.0</v>
      </c>
      <c r="D135" s="198">
        <v>490.0</v>
      </c>
      <c r="E135" s="198">
        <v>70.0</v>
      </c>
      <c r="F135" s="199">
        <v>19.67</v>
      </c>
      <c r="G135" s="200">
        <f t="shared" si="1"/>
        <v>50.33</v>
      </c>
      <c r="H135" s="201">
        <f t="shared" si="2"/>
        <v>2.558718861</v>
      </c>
      <c r="I135" s="202">
        <v>0.73</v>
      </c>
      <c r="J135" s="202">
        <v>0.68</v>
      </c>
      <c r="K135" s="198">
        <v>123.0</v>
      </c>
      <c r="L135" s="198">
        <v>91.0</v>
      </c>
      <c r="M135" s="198">
        <v>1.06</v>
      </c>
      <c r="N135" s="198">
        <v>0.19</v>
      </c>
      <c r="O135" s="201">
        <f t="shared" si="3"/>
        <v>1.15</v>
      </c>
      <c r="P135" s="203" t="str">
        <f t="shared" si="4"/>
        <v>OptionStrat</v>
      </c>
      <c r="Q135" s="204" t="str">
        <f t="shared" si="5"/>
        <v>TSLA 420/490 Dec28</v>
      </c>
    </row>
    <row r="136">
      <c r="A136" s="205" t="s">
        <v>60</v>
      </c>
      <c r="B136" s="206">
        <v>47102.0</v>
      </c>
      <c r="C136" s="207">
        <v>400.0</v>
      </c>
      <c r="D136" s="207">
        <v>530.0</v>
      </c>
      <c r="E136" s="207">
        <v>130.0</v>
      </c>
      <c r="F136" s="208">
        <v>38.36</v>
      </c>
      <c r="G136" s="209">
        <f t="shared" si="1"/>
        <v>91.64</v>
      </c>
      <c r="H136" s="210">
        <f t="shared" si="2"/>
        <v>2.38894682</v>
      </c>
      <c r="I136" s="211">
        <v>0.75</v>
      </c>
      <c r="J136" s="211">
        <v>0.65</v>
      </c>
      <c r="K136" s="207">
        <v>331.0</v>
      </c>
      <c r="L136" s="207">
        <v>59.0</v>
      </c>
      <c r="M136" s="207">
        <v>1.4</v>
      </c>
      <c r="N136" s="207">
        <v>0.16</v>
      </c>
      <c r="O136" s="210">
        <f t="shared" si="3"/>
        <v>1.13</v>
      </c>
      <c r="P136" s="214" t="str">
        <f t="shared" si="4"/>
        <v>OptionStrat</v>
      </c>
      <c r="Q136" s="213" t="str">
        <f t="shared" si="5"/>
        <v>TSLA 400/530 Dec28</v>
      </c>
    </row>
    <row r="137">
      <c r="A137" s="196" t="s">
        <v>60</v>
      </c>
      <c r="B137" s="197">
        <v>47102.0</v>
      </c>
      <c r="C137" s="198">
        <v>480.0</v>
      </c>
      <c r="D137" s="198">
        <v>510.0</v>
      </c>
      <c r="E137" s="198">
        <v>30.0</v>
      </c>
      <c r="F137" s="199">
        <v>7.11</v>
      </c>
      <c r="G137" s="200">
        <f t="shared" si="1"/>
        <v>22.89</v>
      </c>
      <c r="H137" s="201">
        <f t="shared" si="2"/>
        <v>3.219409283</v>
      </c>
      <c r="I137" s="202">
        <v>0.69</v>
      </c>
      <c r="J137" s="202">
        <v>0.66</v>
      </c>
      <c r="K137" s="198">
        <v>131.0</v>
      </c>
      <c r="L137" s="198">
        <v>26.0</v>
      </c>
      <c r="M137" s="198">
        <v>0.58</v>
      </c>
      <c r="N137" s="198">
        <v>0.21</v>
      </c>
      <c r="O137" s="201">
        <f t="shared" si="3"/>
        <v>1.12</v>
      </c>
      <c r="P137" s="203" t="str">
        <f t="shared" si="4"/>
        <v>OptionStrat</v>
      </c>
      <c r="Q137" s="204" t="str">
        <f t="shared" si="5"/>
        <v>TSLA 480/510 Dec28</v>
      </c>
    </row>
    <row r="138">
      <c r="A138" s="205" t="s">
        <v>60</v>
      </c>
      <c r="B138" s="206">
        <v>47102.0</v>
      </c>
      <c r="C138" s="207">
        <v>400.0</v>
      </c>
      <c r="D138" s="207">
        <v>470.0</v>
      </c>
      <c r="E138" s="207">
        <v>70.0</v>
      </c>
      <c r="F138" s="208">
        <v>23.48</v>
      </c>
      <c r="G138" s="209">
        <f t="shared" si="1"/>
        <v>46.52</v>
      </c>
      <c r="H138" s="210">
        <f t="shared" si="2"/>
        <v>1.981260647</v>
      </c>
      <c r="I138" s="211">
        <v>0.75</v>
      </c>
      <c r="J138" s="211">
        <v>0.69</v>
      </c>
      <c r="K138" s="207">
        <v>331.0</v>
      </c>
      <c r="L138" s="207">
        <v>71.0</v>
      </c>
      <c r="M138" s="207">
        <v>1.53</v>
      </c>
      <c r="N138" s="207">
        <v>0.21</v>
      </c>
      <c r="O138" s="210">
        <f t="shared" si="3"/>
        <v>1.12</v>
      </c>
      <c r="P138" s="214" t="str">
        <f t="shared" si="4"/>
        <v>OptionStrat</v>
      </c>
      <c r="Q138" s="213" t="str">
        <f t="shared" si="5"/>
        <v>TSLA 400/470 Dec28</v>
      </c>
    </row>
    <row r="139">
      <c r="A139" s="196" t="s">
        <v>60</v>
      </c>
      <c r="B139" s="197">
        <v>47102.0</v>
      </c>
      <c r="C139" s="198">
        <v>510.0</v>
      </c>
      <c r="D139" s="198">
        <v>540.0</v>
      </c>
      <c r="E139" s="198">
        <v>30.0</v>
      </c>
      <c r="F139" s="199">
        <v>5.79</v>
      </c>
      <c r="G139" s="200">
        <f t="shared" si="1"/>
        <v>24.21</v>
      </c>
      <c r="H139" s="201">
        <f t="shared" si="2"/>
        <v>4.18134715</v>
      </c>
      <c r="I139" s="202">
        <v>0.66</v>
      </c>
      <c r="J139" s="202">
        <v>0.64</v>
      </c>
      <c r="K139" s="198">
        <v>26.0</v>
      </c>
      <c r="L139" s="198">
        <v>58.0</v>
      </c>
      <c r="M139" s="198">
        <v>0.39</v>
      </c>
      <c r="N139" s="198">
        <v>0.18</v>
      </c>
      <c r="O139" s="201">
        <f t="shared" si="3"/>
        <v>1.11</v>
      </c>
      <c r="P139" s="203" t="str">
        <f t="shared" si="4"/>
        <v>OptionStrat</v>
      </c>
      <c r="Q139" s="204" t="str">
        <f t="shared" si="5"/>
        <v>TSLA 510/540 Dec28</v>
      </c>
    </row>
    <row r="140">
      <c r="A140" s="205" t="s">
        <v>60</v>
      </c>
      <c r="B140" s="206">
        <v>47102.0</v>
      </c>
      <c r="C140" s="207">
        <v>360.0</v>
      </c>
      <c r="D140" s="207">
        <v>430.0</v>
      </c>
      <c r="E140" s="207">
        <v>70.0</v>
      </c>
      <c r="F140" s="208">
        <v>24.97</v>
      </c>
      <c r="G140" s="209">
        <f t="shared" si="1"/>
        <v>45.03</v>
      </c>
      <c r="H140" s="210">
        <f t="shared" si="2"/>
        <v>1.803364037</v>
      </c>
      <c r="I140" s="211">
        <v>0.78</v>
      </c>
      <c r="J140" s="211">
        <v>0.72</v>
      </c>
      <c r="K140" s="207">
        <v>205.0</v>
      </c>
      <c r="L140" s="207">
        <v>183.0</v>
      </c>
      <c r="M140" s="207">
        <v>1.94</v>
      </c>
      <c r="N140" s="207">
        <v>0.2</v>
      </c>
      <c r="O140" s="210">
        <f t="shared" si="3"/>
        <v>1.12</v>
      </c>
      <c r="P140" s="212" t="str">
        <f t="shared" si="4"/>
        <v>OptionStrat</v>
      </c>
      <c r="Q140" s="213" t="str">
        <f t="shared" si="5"/>
        <v>TSLA 360/430 Dec28</v>
      </c>
    </row>
    <row r="141">
      <c r="A141" s="196" t="s">
        <v>60</v>
      </c>
      <c r="B141" s="197">
        <v>47102.0</v>
      </c>
      <c r="C141" s="198">
        <v>490.0</v>
      </c>
      <c r="D141" s="198">
        <v>540.0</v>
      </c>
      <c r="E141" s="198">
        <v>50.0</v>
      </c>
      <c r="F141" s="199">
        <v>11.75</v>
      </c>
      <c r="G141" s="200">
        <f t="shared" si="1"/>
        <v>38.25</v>
      </c>
      <c r="H141" s="201">
        <f t="shared" si="2"/>
        <v>3.255319149</v>
      </c>
      <c r="I141" s="202">
        <v>0.68</v>
      </c>
      <c r="J141" s="202">
        <v>0.64</v>
      </c>
      <c r="K141" s="198">
        <v>91.0</v>
      </c>
      <c r="L141" s="198">
        <v>58.0</v>
      </c>
      <c r="M141" s="198">
        <v>0.73</v>
      </c>
      <c r="N141" s="198">
        <v>0.16</v>
      </c>
      <c r="O141" s="201">
        <f t="shared" si="3"/>
        <v>1.11</v>
      </c>
      <c r="P141" s="203" t="str">
        <f t="shared" si="4"/>
        <v>OptionStrat</v>
      </c>
      <c r="Q141" s="204" t="str">
        <f t="shared" si="5"/>
        <v>TSLA 490/540 Dec28</v>
      </c>
    </row>
    <row r="142">
      <c r="A142" s="205" t="s">
        <v>60</v>
      </c>
      <c r="B142" s="206">
        <v>47102.0</v>
      </c>
      <c r="C142" s="207">
        <v>360.0</v>
      </c>
      <c r="D142" s="207">
        <v>480.0</v>
      </c>
      <c r="E142" s="207">
        <v>120.0</v>
      </c>
      <c r="F142" s="208">
        <v>40.75</v>
      </c>
      <c r="G142" s="209">
        <f t="shared" si="1"/>
        <v>79.25</v>
      </c>
      <c r="H142" s="210">
        <f t="shared" si="2"/>
        <v>1.944785276</v>
      </c>
      <c r="I142" s="211">
        <v>0.78</v>
      </c>
      <c r="J142" s="211">
        <v>0.69</v>
      </c>
      <c r="K142" s="207">
        <v>205.0</v>
      </c>
      <c r="L142" s="207">
        <v>131.0</v>
      </c>
      <c r="M142" s="207">
        <v>1.64</v>
      </c>
      <c r="N142" s="207">
        <v>0.2</v>
      </c>
      <c r="O142" s="210">
        <f t="shared" si="3"/>
        <v>1.11</v>
      </c>
      <c r="P142" s="214" t="str">
        <f t="shared" si="4"/>
        <v>OptionStrat</v>
      </c>
      <c r="Q142" s="213" t="str">
        <f t="shared" si="5"/>
        <v>TSLA 360/480 Dec28</v>
      </c>
    </row>
    <row r="143">
      <c r="A143" s="196" t="s">
        <v>60</v>
      </c>
      <c r="B143" s="197">
        <v>47102.0</v>
      </c>
      <c r="C143" s="198">
        <v>420.0</v>
      </c>
      <c r="D143" s="198">
        <v>470.0</v>
      </c>
      <c r="E143" s="198">
        <v>50.0</v>
      </c>
      <c r="F143" s="199">
        <v>15.65</v>
      </c>
      <c r="G143" s="200">
        <f t="shared" si="1"/>
        <v>34.35</v>
      </c>
      <c r="H143" s="201">
        <f t="shared" si="2"/>
        <v>2.194888179</v>
      </c>
      <c r="I143" s="202">
        <v>0.73</v>
      </c>
      <c r="J143" s="202">
        <v>0.69</v>
      </c>
      <c r="K143" s="198">
        <v>123.0</v>
      </c>
      <c r="L143" s="198">
        <v>71.0</v>
      </c>
      <c r="M143" s="198">
        <v>0.93</v>
      </c>
      <c r="N143" s="198">
        <v>0.26</v>
      </c>
      <c r="O143" s="201">
        <f t="shared" si="3"/>
        <v>1.08</v>
      </c>
      <c r="P143" s="203" t="str">
        <f t="shared" si="4"/>
        <v>OptionStrat</v>
      </c>
      <c r="Q143" s="204" t="str">
        <f t="shared" si="5"/>
        <v>TSLA 420/470 Dec28</v>
      </c>
    </row>
    <row r="144">
      <c r="A144" s="205" t="s">
        <v>60</v>
      </c>
      <c r="B144" s="206">
        <v>47102.0</v>
      </c>
      <c r="C144" s="207">
        <v>460.0</v>
      </c>
      <c r="D144" s="207">
        <v>550.0</v>
      </c>
      <c r="E144" s="207">
        <v>90.0</v>
      </c>
      <c r="F144" s="208">
        <v>21.34</v>
      </c>
      <c r="G144" s="209">
        <f t="shared" si="1"/>
        <v>68.66</v>
      </c>
      <c r="H144" s="210">
        <f t="shared" si="2"/>
        <v>3.217432052</v>
      </c>
      <c r="I144" s="211">
        <v>0.7</v>
      </c>
      <c r="J144" s="211">
        <v>0.63</v>
      </c>
      <c r="K144" s="207">
        <v>73.0</v>
      </c>
      <c r="L144" s="207">
        <v>88.0</v>
      </c>
      <c r="M144" s="207">
        <v>0.8</v>
      </c>
      <c r="N144" s="207">
        <v>0.14</v>
      </c>
      <c r="O144" s="210">
        <f t="shared" si="3"/>
        <v>1.08</v>
      </c>
      <c r="P144" s="214" t="str">
        <f t="shared" si="4"/>
        <v>OptionStrat</v>
      </c>
      <c r="Q144" s="213" t="str">
        <f t="shared" si="5"/>
        <v>TSLA 460/550 Dec28</v>
      </c>
    </row>
    <row r="145">
      <c r="A145" s="196" t="s">
        <v>60</v>
      </c>
      <c r="B145" s="197">
        <v>47102.0</v>
      </c>
      <c r="C145" s="198">
        <v>510.0</v>
      </c>
      <c r="D145" s="198">
        <v>570.0</v>
      </c>
      <c r="E145" s="198">
        <v>60.0</v>
      </c>
      <c r="F145" s="199">
        <v>12.99</v>
      </c>
      <c r="G145" s="200">
        <f t="shared" si="1"/>
        <v>47.01</v>
      </c>
      <c r="H145" s="201">
        <f t="shared" si="2"/>
        <v>3.618937644</v>
      </c>
      <c r="I145" s="202">
        <v>0.66</v>
      </c>
      <c r="J145" s="202">
        <v>0.62</v>
      </c>
      <c r="K145" s="198">
        <v>26.0</v>
      </c>
      <c r="L145" s="198">
        <v>80.0</v>
      </c>
      <c r="M145" s="198">
        <v>0.46</v>
      </c>
      <c r="N145" s="198">
        <v>0.19</v>
      </c>
      <c r="O145" s="201">
        <f t="shared" si="3"/>
        <v>1.07</v>
      </c>
      <c r="P145" s="203" t="str">
        <f t="shared" si="4"/>
        <v>OptionStrat</v>
      </c>
      <c r="Q145" s="204" t="str">
        <f t="shared" si="5"/>
        <v>TSLA 510/570 Dec28</v>
      </c>
    </row>
    <row r="146">
      <c r="A146" s="205" t="s">
        <v>60</v>
      </c>
      <c r="B146" s="206">
        <v>47102.0</v>
      </c>
      <c r="C146" s="207">
        <v>420.0</v>
      </c>
      <c r="D146" s="207">
        <v>530.0</v>
      </c>
      <c r="E146" s="207">
        <v>110.0</v>
      </c>
      <c r="F146" s="208">
        <v>30.53</v>
      </c>
      <c r="G146" s="209">
        <f t="shared" si="1"/>
        <v>79.47</v>
      </c>
      <c r="H146" s="210">
        <f t="shared" si="2"/>
        <v>2.603013429</v>
      </c>
      <c r="I146" s="211">
        <v>0.73</v>
      </c>
      <c r="J146" s="211">
        <v>0.65</v>
      </c>
      <c r="K146" s="207">
        <v>123.0</v>
      </c>
      <c r="L146" s="207">
        <v>59.0</v>
      </c>
      <c r="M146" s="207">
        <v>0.85</v>
      </c>
      <c r="N146" s="207">
        <v>0.19</v>
      </c>
      <c r="O146" s="210">
        <f t="shared" si="3"/>
        <v>1.05</v>
      </c>
      <c r="P146" s="214" t="str">
        <f t="shared" si="4"/>
        <v>OptionStrat</v>
      </c>
      <c r="Q146" s="213" t="str">
        <f t="shared" si="5"/>
        <v>TSLA 420/530 Dec28</v>
      </c>
    </row>
    <row r="147">
      <c r="A147" s="196" t="s">
        <v>60</v>
      </c>
      <c r="B147" s="197">
        <v>47102.0</v>
      </c>
      <c r="C147" s="198">
        <v>420.0</v>
      </c>
      <c r="D147" s="198">
        <v>540.0</v>
      </c>
      <c r="E147" s="198">
        <v>120.0</v>
      </c>
      <c r="F147" s="199">
        <v>33.08</v>
      </c>
      <c r="G147" s="200">
        <f t="shared" si="1"/>
        <v>86.92</v>
      </c>
      <c r="H147" s="201">
        <f t="shared" si="2"/>
        <v>2.627569528</v>
      </c>
      <c r="I147" s="202">
        <v>0.73</v>
      </c>
      <c r="J147" s="202">
        <v>0.64</v>
      </c>
      <c r="K147" s="198">
        <v>123.0</v>
      </c>
      <c r="L147" s="198">
        <v>58.0</v>
      </c>
      <c r="M147" s="198">
        <v>0.84</v>
      </c>
      <c r="N147" s="198">
        <v>0.19</v>
      </c>
      <c r="O147" s="201">
        <f t="shared" si="3"/>
        <v>1.05</v>
      </c>
      <c r="P147" s="203" t="str">
        <f t="shared" si="4"/>
        <v>OptionStrat</v>
      </c>
      <c r="Q147" s="204" t="str">
        <f t="shared" si="5"/>
        <v>TSLA 420/540 Dec28</v>
      </c>
    </row>
    <row r="148">
      <c r="A148" s="205" t="s">
        <v>60</v>
      </c>
      <c r="B148" s="206">
        <v>47102.0</v>
      </c>
      <c r="C148" s="207">
        <v>470.0</v>
      </c>
      <c r="D148" s="207">
        <v>510.0</v>
      </c>
      <c r="E148" s="207">
        <v>40.0</v>
      </c>
      <c r="F148" s="208">
        <v>9.51</v>
      </c>
      <c r="G148" s="209">
        <f t="shared" si="1"/>
        <v>30.49</v>
      </c>
      <c r="H148" s="210">
        <f t="shared" si="2"/>
        <v>3.206098843</v>
      </c>
      <c r="I148" s="211">
        <v>0.69</v>
      </c>
      <c r="J148" s="211">
        <v>0.66</v>
      </c>
      <c r="K148" s="207">
        <v>71.0</v>
      </c>
      <c r="L148" s="207">
        <v>26.0</v>
      </c>
      <c r="M148" s="207">
        <v>0.43</v>
      </c>
      <c r="N148" s="207">
        <v>0.25</v>
      </c>
      <c r="O148" s="210">
        <f t="shared" si="3"/>
        <v>1.05</v>
      </c>
      <c r="P148" s="212" t="str">
        <f t="shared" si="4"/>
        <v>OptionStrat</v>
      </c>
      <c r="Q148" s="213" t="str">
        <f t="shared" si="5"/>
        <v>TSLA 470/510 Dec28</v>
      </c>
    </row>
    <row r="149">
      <c r="A149" s="196" t="s">
        <v>60</v>
      </c>
      <c r="B149" s="197">
        <v>47102.0</v>
      </c>
      <c r="C149" s="198">
        <v>460.0</v>
      </c>
      <c r="D149" s="198">
        <v>570.0</v>
      </c>
      <c r="E149" s="198">
        <v>110.0</v>
      </c>
      <c r="F149" s="199">
        <v>26.08</v>
      </c>
      <c r="G149" s="200">
        <f t="shared" si="1"/>
        <v>83.92</v>
      </c>
      <c r="H149" s="201">
        <f t="shared" si="2"/>
        <v>3.217791411</v>
      </c>
      <c r="I149" s="202">
        <v>0.7</v>
      </c>
      <c r="J149" s="202">
        <v>0.62</v>
      </c>
      <c r="K149" s="198">
        <v>73.0</v>
      </c>
      <c r="L149" s="198">
        <v>80.0</v>
      </c>
      <c r="M149" s="198">
        <v>0.76</v>
      </c>
      <c r="N149" s="198">
        <v>0.14</v>
      </c>
      <c r="O149" s="201">
        <f t="shared" si="3"/>
        <v>1.05</v>
      </c>
      <c r="P149" s="203" t="str">
        <f t="shared" si="4"/>
        <v>OptionStrat</v>
      </c>
      <c r="Q149" s="204" t="str">
        <f t="shared" si="5"/>
        <v>TSLA 460/570 Dec28</v>
      </c>
    </row>
    <row r="150">
      <c r="A150" s="205" t="s">
        <v>60</v>
      </c>
      <c r="B150" s="206">
        <v>47102.0</v>
      </c>
      <c r="C150" s="207">
        <v>360.0</v>
      </c>
      <c r="D150" s="207">
        <v>440.0</v>
      </c>
      <c r="E150" s="207">
        <v>80.0</v>
      </c>
      <c r="F150" s="208">
        <v>28.88</v>
      </c>
      <c r="G150" s="209">
        <f t="shared" si="1"/>
        <v>51.12</v>
      </c>
      <c r="H150" s="210">
        <f t="shared" si="2"/>
        <v>1.770083102</v>
      </c>
      <c r="I150" s="211">
        <v>0.78</v>
      </c>
      <c r="J150" s="211">
        <v>0.72</v>
      </c>
      <c r="K150" s="207">
        <v>205.0</v>
      </c>
      <c r="L150" s="207">
        <v>132.0</v>
      </c>
      <c r="M150" s="207">
        <v>1.64</v>
      </c>
      <c r="N150" s="207">
        <v>0.2</v>
      </c>
      <c r="O150" s="210">
        <f t="shared" si="3"/>
        <v>1.01</v>
      </c>
      <c r="P150" s="214" t="str">
        <f t="shared" si="4"/>
        <v>OptionStrat</v>
      </c>
      <c r="Q150" s="213" t="str">
        <f t="shared" si="5"/>
        <v>TSLA 360/440 Dec28</v>
      </c>
    </row>
    <row r="151">
      <c r="A151" s="196" t="s">
        <v>60</v>
      </c>
      <c r="B151" s="197">
        <v>47102.0</v>
      </c>
      <c r="C151" s="198">
        <v>430.0</v>
      </c>
      <c r="D151" s="198">
        <v>460.0</v>
      </c>
      <c r="E151" s="198">
        <v>30.0</v>
      </c>
      <c r="F151" s="199">
        <v>8.72</v>
      </c>
      <c r="G151" s="200">
        <f t="shared" si="1"/>
        <v>21.28</v>
      </c>
      <c r="H151" s="201">
        <f t="shared" si="2"/>
        <v>2.440366972</v>
      </c>
      <c r="I151" s="202">
        <v>0.72</v>
      </c>
      <c r="J151" s="202">
        <v>0.7</v>
      </c>
      <c r="K151" s="198">
        <v>183.0</v>
      </c>
      <c r="L151" s="198">
        <v>73.0</v>
      </c>
      <c r="M151" s="198">
        <v>1.16</v>
      </c>
      <c r="N151" s="198">
        <v>0.15</v>
      </c>
      <c r="O151" s="201">
        <f t="shared" si="3"/>
        <v>1.02</v>
      </c>
      <c r="P151" s="203" t="str">
        <f t="shared" si="4"/>
        <v>OptionStrat</v>
      </c>
      <c r="Q151" s="204" t="str">
        <f t="shared" si="5"/>
        <v>TSLA 430/460 Dec28</v>
      </c>
    </row>
    <row r="152">
      <c r="A152" s="205" t="s">
        <v>60</v>
      </c>
      <c r="B152" s="206">
        <v>47102.0</v>
      </c>
      <c r="C152" s="207">
        <v>360.0</v>
      </c>
      <c r="D152" s="207">
        <v>420.0</v>
      </c>
      <c r="E152" s="207">
        <v>60.0</v>
      </c>
      <c r="F152" s="208">
        <v>21.95</v>
      </c>
      <c r="G152" s="209">
        <f t="shared" si="1"/>
        <v>38.05</v>
      </c>
      <c r="H152" s="210">
        <f t="shared" si="2"/>
        <v>1.733485194</v>
      </c>
      <c r="I152" s="211">
        <v>0.78</v>
      </c>
      <c r="J152" s="211">
        <v>0.73</v>
      </c>
      <c r="K152" s="207">
        <v>205.0</v>
      </c>
      <c r="L152" s="207">
        <v>123.0</v>
      </c>
      <c r="M152" s="207">
        <v>1.59</v>
      </c>
      <c r="N152" s="207">
        <v>0.21</v>
      </c>
      <c r="O152" s="210">
        <f t="shared" si="3"/>
        <v>1</v>
      </c>
      <c r="P152" s="214" t="str">
        <f t="shared" si="4"/>
        <v>OptionStrat</v>
      </c>
      <c r="Q152" s="213" t="str">
        <f t="shared" si="5"/>
        <v>TSLA 360/420 Dec28</v>
      </c>
    </row>
    <row r="153">
      <c r="A153" s="196" t="s">
        <v>60</v>
      </c>
      <c r="B153" s="197">
        <v>47102.0</v>
      </c>
      <c r="C153" s="198">
        <v>360.0</v>
      </c>
      <c r="D153" s="198">
        <v>490.0</v>
      </c>
      <c r="E153" s="198">
        <v>130.0</v>
      </c>
      <c r="F153" s="199">
        <v>42.77</v>
      </c>
      <c r="G153" s="200">
        <f t="shared" si="1"/>
        <v>87.23</v>
      </c>
      <c r="H153" s="201">
        <f t="shared" si="2"/>
        <v>2.039513678</v>
      </c>
      <c r="I153" s="202">
        <v>0.78</v>
      </c>
      <c r="J153" s="202">
        <v>0.68</v>
      </c>
      <c r="K153" s="198">
        <v>205.0</v>
      </c>
      <c r="L153" s="198">
        <v>91.0</v>
      </c>
      <c r="M153" s="198">
        <v>1.37</v>
      </c>
      <c r="N153" s="198">
        <v>0.17</v>
      </c>
      <c r="O153" s="201">
        <f t="shared" si="3"/>
        <v>0.98</v>
      </c>
      <c r="P153" s="215" t="str">
        <f t="shared" si="4"/>
        <v>OptionStrat</v>
      </c>
      <c r="Q153" s="204" t="str">
        <f t="shared" si="5"/>
        <v>TSLA 360/490 Dec28</v>
      </c>
    </row>
    <row r="154">
      <c r="A154" s="205" t="s">
        <v>60</v>
      </c>
      <c r="B154" s="206">
        <v>47102.0</v>
      </c>
      <c r="C154" s="207">
        <v>460.0</v>
      </c>
      <c r="D154" s="207">
        <v>530.0</v>
      </c>
      <c r="E154" s="207">
        <v>70.0</v>
      </c>
      <c r="F154" s="208">
        <v>16.33</v>
      </c>
      <c r="G154" s="209">
        <f t="shared" si="1"/>
        <v>53.67</v>
      </c>
      <c r="H154" s="210">
        <f t="shared" si="2"/>
        <v>3.2865891</v>
      </c>
      <c r="I154" s="211">
        <v>0.7</v>
      </c>
      <c r="J154" s="211">
        <v>0.65</v>
      </c>
      <c r="K154" s="207">
        <v>73.0</v>
      </c>
      <c r="L154" s="207">
        <v>59.0</v>
      </c>
      <c r="M154" s="207">
        <v>0.66</v>
      </c>
      <c r="N154" s="207">
        <v>0.13</v>
      </c>
      <c r="O154" s="210">
        <f t="shared" si="3"/>
        <v>0.96</v>
      </c>
      <c r="P154" s="214" t="str">
        <f t="shared" si="4"/>
        <v>OptionStrat</v>
      </c>
      <c r="Q154" s="213" t="str">
        <f t="shared" si="5"/>
        <v>TSLA 460/530 Dec28</v>
      </c>
    </row>
    <row r="155">
      <c r="A155" s="196" t="s">
        <v>60</v>
      </c>
      <c r="B155" s="197">
        <v>47102.0</v>
      </c>
      <c r="C155" s="198">
        <v>360.0</v>
      </c>
      <c r="D155" s="198">
        <v>470.0</v>
      </c>
      <c r="E155" s="198">
        <v>110.0</v>
      </c>
      <c r="F155" s="199">
        <v>38.75</v>
      </c>
      <c r="G155" s="200">
        <f t="shared" si="1"/>
        <v>71.25</v>
      </c>
      <c r="H155" s="201">
        <f t="shared" si="2"/>
        <v>1.838709677</v>
      </c>
      <c r="I155" s="202">
        <v>0.78</v>
      </c>
      <c r="J155" s="202">
        <v>0.69</v>
      </c>
      <c r="K155" s="198">
        <v>205.0</v>
      </c>
      <c r="L155" s="198">
        <v>71.0</v>
      </c>
      <c r="M155" s="198">
        <v>1.21</v>
      </c>
      <c r="N155" s="198">
        <v>0.23</v>
      </c>
      <c r="O155" s="201">
        <f t="shared" si="3"/>
        <v>0.97</v>
      </c>
      <c r="P155" s="215" t="str">
        <f t="shared" si="4"/>
        <v>OptionStrat</v>
      </c>
      <c r="Q155" s="204" t="str">
        <f t="shared" si="5"/>
        <v>TSLA 360/470 Dec28</v>
      </c>
    </row>
    <row r="156">
      <c r="A156" s="205" t="s">
        <v>60</v>
      </c>
      <c r="B156" s="206">
        <v>47102.0</v>
      </c>
      <c r="C156" s="207">
        <v>460.0</v>
      </c>
      <c r="D156" s="207">
        <v>540.0</v>
      </c>
      <c r="E156" s="207">
        <v>80.0</v>
      </c>
      <c r="F156" s="208">
        <v>18.88</v>
      </c>
      <c r="G156" s="209">
        <f t="shared" si="1"/>
        <v>61.12</v>
      </c>
      <c r="H156" s="210">
        <f t="shared" si="2"/>
        <v>3.237288136</v>
      </c>
      <c r="I156" s="211">
        <v>0.7</v>
      </c>
      <c r="J156" s="211">
        <v>0.64</v>
      </c>
      <c r="K156" s="207">
        <v>73.0</v>
      </c>
      <c r="L156" s="207">
        <v>58.0</v>
      </c>
      <c r="M156" s="207">
        <v>0.65</v>
      </c>
      <c r="N156" s="207">
        <v>0.13</v>
      </c>
      <c r="O156" s="210">
        <f t="shared" si="3"/>
        <v>0.94</v>
      </c>
      <c r="P156" s="214" t="str">
        <f t="shared" si="4"/>
        <v>OptionStrat</v>
      </c>
      <c r="Q156" s="213" t="str">
        <f t="shared" si="5"/>
        <v>TSLA 460/540 Dec28</v>
      </c>
    </row>
    <row r="157">
      <c r="A157" s="196" t="s">
        <v>60</v>
      </c>
      <c r="B157" s="197">
        <v>47102.0</v>
      </c>
      <c r="C157" s="198">
        <v>490.0</v>
      </c>
      <c r="D157" s="198">
        <v>510.0</v>
      </c>
      <c r="E157" s="198">
        <v>20.0</v>
      </c>
      <c r="F157" s="199">
        <v>4.73</v>
      </c>
      <c r="G157" s="200">
        <f t="shared" si="1"/>
        <v>15.27</v>
      </c>
      <c r="H157" s="201">
        <f t="shared" si="2"/>
        <v>3.22832981</v>
      </c>
      <c r="I157" s="202">
        <v>0.68</v>
      </c>
      <c r="J157" s="202">
        <v>0.66</v>
      </c>
      <c r="K157" s="198">
        <v>91.0</v>
      </c>
      <c r="L157" s="198">
        <v>26.0</v>
      </c>
      <c r="M157" s="198">
        <v>0.49</v>
      </c>
      <c r="N157" s="198">
        <v>0.18</v>
      </c>
      <c r="O157" s="201">
        <f t="shared" si="3"/>
        <v>0.96</v>
      </c>
      <c r="P157" s="215" t="str">
        <f t="shared" si="4"/>
        <v>OptionStrat</v>
      </c>
      <c r="Q157" s="204" t="str">
        <f t="shared" si="5"/>
        <v>TSLA 490/510 Dec28</v>
      </c>
    </row>
    <row r="158">
      <c r="A158" s="205" t="s">
        <v>60</v>
      </c>
      <c r="B158" s="206">
        <v>47102.0</v>
      </c>
      <c r="C158" s="207">
        <v>350.0</v>
      </c>
      <c r="D158" s="207">
        <v>400.0</v>
      </c>
      <c r="E158" s="207">
        <v>50.0</v>
      </c>
      <c r="F158" s="208">
        <v>17.9</v>
      </c>
      <c r="G158" s="209">
        <f t="shared" si="1"/>
        <v>32.1</v>
      </c>
      <c r="H158" s="210">
        <f t="shared" si="2"/>
        <v>1.793296089</v>
      </c>
      <c r="I158" s="211">
        <v>0.79</v>
      </c>
      <c r="J158" s="211">
        <v>0.75</v>
      </c>
      <c r="K158" s="207">
        <v>81.0</v>
      </c>
      <c r="L158" s="207">
        <v>331.0</v>
      </c>
      <c r="M158" s="207">
        <v>1.64</v>
      </c>
      <c r="N158" s="207">
        <v>0.17</v>
      </c>
      <c r="O158" s="210">
        <f t="shared" si="3"/>
        <v>0.95</v>
      </c>
      <c r="P158" s="214" t="str">
        <f t="shared" si="4"/>
        <v>OptionStrat</v>
      </c>
      <c r="Q158" s="213" t="str">
        <f t="shared" si="5"/>
        <v>TSLA 350/400 Dec28</v>
      </c>
    </row>
    <row r="159">
      <c r="A159" s="196" t="s">
        <v>60</v>
      </c>
      <c r="B159" s="197">
        <v>47102.0</v>
      </c>
      <c r="C159" s="198">
        <v>430.0</v>
      </c>
      <c r="D159" s="198">
        <v>510.0</v>
      </c>
      <c r="E159" s="198">
        <v>80.0</v>
      </c>
      <c r="F159" s="199">
        <v>22.88</v>
      </c>
      <c r="G159" s="200">
        <f t="shared" si="1"/>
        <v>57.12</v>
      </c>
      <c r="H159" s="201">
        <f t="shared" si="2"/>
        <v>2.496503497</v>
      </c>
      <c r="I159" s="202">
        <v>0.72</v>
      </c>
      <c r="J159" s="202">
        <v>0.66</v>
      </c>
      <c r="K159" s="198">
        <v>183.0</v>
      </c>
      <c r="L159" s="198">
        <v>26.0</v>
      </c>
      <c r="M159" s="198">
        <v>0.69</v>
      </c>
      <c r="N159" s="198">
        <v>0.21</v>
      </c>
      <c r="O159" s="201">
        <f t="shared" si="3"/>
        <v>0.95</v>
      </c>
      <c r="P159" s="203" t="str">
        <f t="shared" si="4"/>
        <v>OptionStrat</v>
      </c>
      <c r="Q159" s="204" t="str">
        <f t="shared" si="5"/>
        <v>TSLA 430/510 Dec28</v>
      </c>
    </row>
    <row r="160">
      <c r="A160" s="205" t="s">
        <v>60</v>
      </c>
      <c r="B160" s="206">
        <v>47102.0</v>
      </c>
      <c r="C160" s="207">
        <v>320.0</v>
      </c>
      <c r="D160" s="207">
        <v>450.0</v>
      </c>
      <c r="E160" s="207">
        <v>130.0</v>
      </c>
      <c r="F160" s="208">
        <v>49.19</v>
      </c>
      <c r="G160" s="209">
        <f t="shared" si="1"/>
        <v>80.81</v>
      </c>
      <c r="H160" s="210">
        <f t="shared" si="2"/>
        <v>1.64281358</v>
      </c>
      <c r="I160" s="211">
        <v>0.82</v>
      </c>
      <c r="J160" s="211">
        <v>0.71</v>
      </c>
      <c r="K160" s="207">
        <v>41.0</v>
      </c>
      <c r="L160" s="207">
        <v>690.0</v>
      </c>
      <c r="M160" s="207">
        <v>1.68</v>
      </c>
      <c r="N160" s="207">
        <v>0.19</v>
      </c>
      <c r="O160" s="210">
        <f t="shared" si="3"/>
        <v>0.93</v>
      </c>
      <c r="P160" s="212" t="str">
        <f t="shared" si="4"/>
        <v>OptionStrat</v>
      </c>
      <c r="Q160" s="213" t="str">
        <f t="shared" si="5"/>
        <v>TSLA 320/450 Dec28</v>
      </c>
    </row>
    <row r="161">
      <c r="A161" s="196" t="s">
        <v>60</v>
      </c>
      <c r="B161" s="197">
        <v>47102.0</v>
      </c>
      <c r="C161" s="198">
        <v>400.0</v>
      </c>
      <c r="D161" s="198">
        <v>460.0</v>
      </c>
      <c r="E161" s="198">
        <v>60.0</v>
      </c>
      <c r="F161" s="199">
        <v>19.73</v>
      </c>
      <c r="G161" s="200">
        <f t="shared" si="1"/>
        <v>40.27</v>
      </c>
      <c r="H161" s="201">
        <f t="shared" si="2"/>
        <v>2.041054232</v>
      </c>
      <c r="I161" s="202">
        <v>0.75</v>
      </c>
      <c r="J161" s="202">
        <v>0.7</v>
      </c>
      <c r="K161" s="198">
        <v>331.0</v>
      </c>
      <c r="L161" s="198">
        <v>73.0</v>
      </c>
      <c r="M161" s="198">
        <v>1.55</v>
      </c>
      <c r="N161" s="198">
        <v>0.13</v>
      </c>
      <c r="O161" s="201">
        <f t="shared" si="3"/>
        <v>0.92</v>
      </c>
      <c r="P161" s="215" t="str">
        <f t="shared" si="4"/>
        <v>OptionStrat</v>
      </c>
      <c r="Q161" s="204" t="str">
        <f t="shared" si="5"/>
        <v>TSLA 400/460 Dec28</v>
      </c>
    </row>
    <row r="162">
      <c r="A162" s="205" t="s">
        <v>60</v>
      </c>
      <c r="B162" s="206">
        <v>47102.0</v>
      </c>
      <c r="C162" s="207">
        <v>400.0</v>
      </c>
      <c r="D162" s="207">
        <v>510.0</v>
      </c>
      <c r="E162" s="207">
        <v>110.0</v>
      </c>
      <c r="F162" s="208">
        <v>33.89</v>
      </c>
      <c r="G162" s="209">
        <f t="shared" si="1"/>
        <v>76.11</v>
      </c>
      <c r="H162" s="210">
        <f t="shared" si="2"/>
        <v>2.24579522</v>
      </c>
      <c r="I162" s="211">
        <v>0.75</v>
      </c>
      <c r="J162" s="211">
        <v>0.66</v>
      </c>
      <c r="K162" s="207">
        <v>331.0</v>
      </c>
      <c r="L162" s="207">
        <v>26.0</v>
      </c>
      <c r="M162" s="207">
        <v>0.93</v>
      </c>
      <c r="N162" s="207">
        <v>0.18</v>
      </c>
      <c r="O162" s="210">
        <f t="shared" si="3"/>
        <v>0.92</v>
      </c>
      <c r="P162" s="212" t="str">
        <f t="shared" si="4"/>
        <v>OptionStrat</v>
      </c>
      <c r="Q162" s="213" t="str">
        <f t="shared" si="5"/>
        <v>TSLA 400/510 Dec28</v>
      </c>
    </row>
    <row r="163">
      <c r="A163" s="196" t="s">
        <v>60</v>
      </c>
      <c r="B163" s="197">
        <v>47102.0</v>
      </c>
      <c r="C163" s="198">
        <v>410.0</v>
      </c>
      <c r="D163" s="198">
        <v>430.0</v>
      </c>
      <c r="E163" s="198">
        <v>20.0</v>
      </c>
      <c r="F163" s="199">
        <v>6.23</v>
      </c>
      <c r="G163" s="200">
        <f t="shared" si="1"/>
        <v>13.77</v>
      </c>
      <c r="H163" s="201">
        <f t="shared" si="2"/>
        <v>2.210272873</v>
      </c>
      <c r="I163" s="202">
        <v>0.74</v>
      </c>
      <c r="J163" s="202">
        <v>0.72</v>
      </c>
      <c r="K163" s="198">
        <v>50.0</v>
      </c>
      <c r="L163" s="198">
        <v>183.0</v>
      </c>
      <c r="M163" s="198">
        <v>0.96</v>
      </c>
      <c r="N163" s="198">
        <v>0.17</v>
      </c>
      <c r="O163" s="201">
        <f t="shared" si="3"/>
        <v>0.89</v>
      </c>
      <c r="P163" s="203" t="str">
        <f t="shared" si="4"/>
        <v>OptionStrat</v>
      </c>
      <c r="Q163" s="204" t="str">
        <f t="shared" si="5"/>
        <v>TSLA 410/430 Dec28</v>
      </c>
    </row>
    <row r="164">
      <c r="A164" s="205" t="s">
        <v>60</v>
      </c>
      <c r="B164" s="206">
        <v>47102.0</v>
      </c>
      <c r="C164" s="207">
        <v>420.0</v>
      </c>
      <c r="D164" s="207">
        <v>460.0</v>
      </c>
      <c r="E164" s="207">
        <v>40.0</v>
      </c>
      <c r="F164" s="208">
        <v>11.9</v>
      </c>
      <c r="G164" s="209">
        <f t="shared" si="1"/>
        <v>28.1</v>
      </c>
      <c r="H164" s="210">
        <f t="shared" si="2"/>
        <v>2.361344538</v>
      </c>
      <c r="I164" s="211">
        <v>0.73</v>
      </c>
      <c r="J164" s="211">
        <v>0.7</v>
      </c>
      <c r="K164" s="207">
        <v>123.0</v>
      </c>
      <c r="L164" s="207">
        <v>73.0</v>
      </c>
      <c r="M164" s="207">
        <v>0.95</v>
      </c>
      <c r="N164" s="207">
        <v>0.15</v>
      </c>
      <c r="O164" s="210">
        <f t="shared" si="3"/>
        <v>0.89</v>
      </c>
      <c r="P164" s="214" t="str">
        <f t="shared" si="4"/>
        <v>OptionStrat</v>
      </c>
      <c r="Q164" s="213" t="str">
        <f t="shared" si="5"/>
        <v>TSLA 420/460 Dec28</v>
      </c>
    </row>
    <row r="165">
      <c r="A165" s="196" t="s">
        <v>60</v>
      </c>
      <c r="B165" s="197">
        <v>47102.0</v>
      </c>
      <c r="C165" s="198">
        <v>300.0</v>
      </c>
      <c r="D165" s="198">
        <v>400.0</v>
      </c>
      <c r="E165" s="198">
        <v>100.0</v>
      </c>
      <c r="F165" s="199">
        <v>40.58</v>
      </c>
      <c r="G165" s="200">
        <f t="shared" si="1"/>
        <v>59.42</v>
      </c>
      <c r="H165" s="201">
        <f t="shared" si="2"/>
        <v>1.464268112</v>
      </c>
      <c r="I165" s="202">
        <v>0.84</v>
      </c>
      <c r="J165" s="202">
        <v>0.75</v>
      </c>
      <c r="K165" s="198">
        <v>135.0</v>
      </c>
      <c r="L165" s="198">
        <v>331.0</v>
      </c>
      <c r="M165" s="198">
        <v>2.11</v>
      </c>
      <c r="N165" s="198">
        <v>0.17</v>
      </c>
      <c r="O165" s="201">
        <f t="shared" si="3"/>
        <v>0.88</v>
      </c>
      <c r="P165" s="203" t="str">
        <f t="shared" si="4"/>
        <v>OptionStrat</v>
      </c>
      <c r="Q165" s="204" t="str">
        <f t="shared" si="5"/>
        <v>TSLA 300/400 Dec28</v>
      </c>
    </row>
    <row r="166">
      <c r="A166" s="205" t="s">
        <v>60</v>
      </c>
      <c r="B166" s="206">
        <v>47102.0</v>
      </c>
      <c r="C166" s="207">
        <v>380.0</v>
      </c>
      <c r="D166" s="207">
        <v>430.0</v>
      </c>
      <c r="E166" s="207">
        <v>50.0</v>
      </c>
      <c r="F166" s="208">
        <v>17.45</v>
      </c>
      <c r="G166" s="209">
        <f t="shared" si="1"/>
        <v>32.55</v>
      </c>
      <c r="H166" s="210">
        <f t="shared" si="2"/>
        <v>1.865329513</v>
      </c>
      <c r="I166" s="211">
        <v>0.77</v>
      </c>
      <c r="J166" s="211">
        <v>0.72</v>
      </c>
      <c r="K166" s="207">
        <v>94.0</v>
      </c>
      <c r="L166" s="207">
        <v>183.0</v>
      </c>
      <c r="M166" s="207">
        <v>1.31</v>
      </c>
      <c r="N166" s="207">
        <v>0.17</v>
      </c>
      <c r="O166" s="210">
        <f t="shared" si="3"/>
        <v>0.88</v>
      </c>
      <c r="P166" s="214" t="str">
        <f t="shared" si="4"/>
        <v>OptionStrat</v>
      </c>
      <c r="Q166" s="213" t="str">
        <f t="shared" si="5"/>
        <v>TSLA 380/430 Dec28</v>
      </c>
    </row>
    <row r="167">
      <c r="A167" s="196" t="s">
        <v>60</v>
      </c>
      <c r="B167" s="197">
        <v>47102.0</v>
      </c>
      <c r="C167" s="198">
        <v>380.0</v>
      </c>
      <c r="D167" s="198">
        <v>480.0</v>
      </c>
      <c r="E167" s="198">
        <v>100.0</v>
      </c>
      <c r="F167" s="199">
        <v>33.23</v>
      </c>
      <c r="G167" s="200">
        <f t="shared" si="1"/>
        <v>66.77</v>
      </c>
      <c r="H167" s="201">
        <f t="shared" si="2"/>
        <v>2.00932892</v>
      </c>
      <c r="I167" s="202">
        <v>0.77</v>
      </c>
      <c r="J167" s="202">
        <v>0.69</v>
      </c>
      <c r="K167" s="198">
        <v>94.0</v>
      </c>
      <c r="L167" s="198">
        <v>131.0</v>
      </c>
      <c r="M167" s="198">
        <v>1.11</v>
      </c>
      <c r="N167" s="198">
        <v>0.17</v>
      </c>
      <c r="O167" s="201">
        <f t="shared" si="3"/>
        <v>0.87</v>
      </c>
      <c r="P167" s="203" t="str">
        <f t="shared" si="4"/>
        <v>OptionStrat</v>
      </c>
      <c r="Q167" s="204" t="str">
        <f t="shared" si="5"/>
        <v>TSLA 380/480 Dec28</v>
      </c>
    </row>
    <row r="168">
      <c r="A168" s="205" t="s">
        <v>60</v>
      </c>
      <c r="B168" s="206">
        <v>47102.0</v>
      </c>
      <c r="C168" s="207">
        <v>420.0</v>
      </c>
      <c r="D168" s="207">
        <v>510.0</v>
      </c>
      <c r="E168" s="207">
        <v>90.0</v>
      </c>
      <c r="F168" s="208">
        <v>26.06</v>
      </c>
      <c r="G168" s="209">
        <f t="shared" si="1"/>
        <v>63.94</v>
      </c>
      <c r="H168" s="210">
        <f t="shared" si="2"/>
        <v>2.453568688</v>
      </c>
      <c r="I168" s="211">
        <v>0.73</v>
      </c>
      <c r="J168" s="211">
        <v>0.66</v>
      </c>
      <c r="K168" s="207">
        <v>123.0</v>
      </c>
      <c r="L168" s="207">
        <v>26.0</v>
      </c>
      <c r="M168" s="207">
        <v>0.57</v>
      </c>
      <c r="N168" s="207">
        <v>0.22</v>
      </c>
      <c r="O168" s="210">
        <f t="shared" si="3"/>
        <v>0.87</v>
      </c>
      <c r="P168" s="214" t="str">
        <f t="shared" si="4"/>
        <v>OptionStrat</v>
      </c>
      <c r="Q168" s="213" t="str">
        <f t="shared" si="5"/>
        <v>TSLA 420/510 Dec28</v>
      </c>
    </row>
    <row r="169">
      <c r="A169" s="196" t="s">
        <v>60</v>
      </c>
      <c r="B169" s="197">
        <v>47102.0</v>
      </c>
      <c r="C169" s="198">
        <v>360.0</v>
      </c>
      <c r="D169" s="198">
        <v>390.0</v>
      </c>
      <c r="E169" s="198">
        <v>30.0</v>
      </c>
      <c r="F169" s="199">
        <v>9.63</v>
      </c>
      <c r="G169" s="200">
        <f t="shared" si="1"/>
        <v>20.37</v>
      </c>
      <c r="H169" s="201">
        <f t="shared" si="2"/>
        <v>2.115264798</v>
      </c>
      <c r="I169" s="202">
        <v>0.78</v>
      </c>
      <c r="J169" s="202">
        <v>0.76</v>
      </c>
      <c r="K169" s="198">
        <v>205.0</v>
      </c>
      <c r="L169" s="198">
        <v>47.0</v>
      </c>
      <c r="M169" s="198">
        <v>0.98</v>
      </c>
      <c r="N169" s="198">
        <v>0.17</v>
      </c>
      <c r="O169" s="201">
        <f t="shared" si="3"/>
        <v>0.86</v>
      </c>
      <c r="P169" s="215" t="str">
        <f t="shared" si="4"/>
        <v>OptionStrat</v>
      </c>
      <c r="Q169" s="204" t="str">
        <f t="shared" si="5"/>
        <v>TSLA 360/390 Dec28</v>
      </c>
    </row>
    <row r="170">
      <c r="A170" s="205" t="s">
        <v>60</v>
      </c>
      <c r="B170" s="206">
        <v>47102.0</v>
      </c>
      <c r="C170" s="207">
        <v>350.0</v>
      </c>
      <c r="D170" s="207">
        <v>430.0</v>
      </c>
      <c r="E170" s="207">
        <v>80.0</v>
      </c>
      <c r="F170" s="208">
        <v>29.24</v>
      </c>
      <c r="G170" s="209">
        <f t="shared" si="1"/>
        <v>50.76</v>
      </c>
      <c r="H170" s="210">
        <f t="shared" si="2"/>
        <v>1.735978112</v>
      </c>
      <c r="I170" s="211">
        <v>0.79</v>
      </c>
      <c r="J170" s="211">
        <v>0.72</v>
      </c>
      <c r="K170" s="207">
        <v>81.0</v>
      </c>
      <c r="L170" s="207">
        <v>183.0</v>
      </c>
      <c r="M170" s="207">
        <v>1.22</v>
      </c>
      <c r="N170" s="207">
        <v>0.19</v>
      </c>
      <c r="O170" s="210">
        <f t="shared" si="3"/>
        <v>0.84</v>
      </c>
      <c r="P170" s="214" t="str">
        <f t="shared" si="4"/>
        <v>OptionStrat</v>
      </c>
      <c r="Q170" s="213" t="str">
        <f t="shared" si="5"/>
        <v>TSLA 350/430 Dec28</v>
      </c>
    </row>
    <row r="171">
      <c r="A171" s="196" t="s">
        <v>60</v>
      </c>
      <c r="B171" s="197">
        <v>47102.0</v>
      </c>
      <c r="C171" s="198">
        <v>350.0</v>
      </c>
      <c r="D171" s="198">
        <v>480.0</v>
      </c>
      <c r="E171" s="198">
        <v>130.0</v>
      </c>
      <c r="F171" s="199">
        <v>45.03</v>
      </c>
      <c r="G171" s="200">
        <f t="shared" si="1"/>
        <v>84.97</v>
      </c>
      <c r="H171" s="201">
        <f t="shared" si="2"/>
        <v>1.886964246</v>
      </c>
      <c r="I171" s="202">
        <v>0.79</v>
      </c>
      <c r="J171" s="202">
        <v>0.69</v>
      </c>
      <c r="K171" s="198">
        <v>81.0</v>
      </c>
      <c r="L171" s="198">
        <v>131.0</v>
      </c>
      <c r="M171" s="198">
        <v>1.03</v>
      </c>
      <c r="N171" s="198">
        <v>0.19</v>
      </c>
      <c r="O171" s="201">
        <f t="shared" si="3"/>
        <v>0.83</v>
      </c>
      <c r="P171" s="203" t="str">
        <f t="shared" si="4"/>
        <v>OptionStrat</v>
      </c>
      <c r="Q171" s="204" t="str">
        <f t="shared" si="5"/>
        <v>TSLA 350/480 Dec28</v>
      </c>
    </row>
    <row r="172">
      <c r="A172" s="205" t="s">
        <v>60</v>
      </c>
      <c r="B172" s="206">
        <v>47102.0</v>
      </c>
      <c r="C172" s="207">
        <v>310.0</v>
      </c>
      <c r="D172" s="207">
        <v>400.0</v>
      </c>
      <c r="E172" s="207">
        <v>90.0</v>
      </c>
      <c r="F172" s="208">
        <v>35.29</v>
      </c>
      <c r="G172" s="209">
        <f t="shared" si="1"/>
        <v>54.71</v>
      </c>
      <c r="H172" s="210">
        <f t="shared" si="2"/>
        <v>1.550297535</v>
      </c>
      <c r="I172" s="211">
        <v>0.83</v>
      </c>
      <c r="J172" s="211">
        <v>0.75</v>
      </c>
      <c r="K172" s="207">
        <v>62.0</v>
      </c>
      <c r="L172" s="207">
        <v>331.0</v>
      </c>
      <c r="M172" s="207">
        <v>1.43</v>
      </c>
      <c r="N172" s="207">
        <v>0.19</v>
      </c>
      <c r="O172" s="210">
        <f t="shared" si="3"/>
        <v>0.81</v>
      </c>
      <c r="P172" s="214" t="str">
        <f t="shared" si="4"/>
        <v>OptionStrat</v>
      </c>
      <c r="Q172" s="213" t="str">
        <f t="shared" si="5"/>
        <v>TSLA 310/400 Dec28</v>
      </c>
    </row>
    <row r="173">
      <c r="A173" s="196" t="s">
        <v>60</v>
      </c>
      <c r="B173" s="197">
        <v>47102.0</v>
      </c>
      <c r="C173" s="198">
        <v>410.0</v>
      </c>
      <c r="D173" s="198">
        <v>480.0</v>
      </c>
      <c r="E173" s="198">
        <v>70.0</v>
      </c>
      <c r="F173" s="199">
        <v>22.01</v>
      </c>
      <c r="G173" s="200">
        <f t="shared" si="1"/>
        <v>47.99</v>
      </c>
      <c r="H173" s="201">
        <f t="shared" si="2"/>
        <v>2.180372558</v>
      </c>
      <c r="I173" s="202">
        <v>0.74</v>
      </c>
      <c r="J173" s="202">
        <v>0.69</v>
      </c>
      <c r="K173" s="198">
        <v>50.0</v>
      </c>
      <c r="L173" s="198">
        <v>131.0</v>
      </c>
      <c r="M173" s="198">
        <v>0.81</v>
      </c>
      <c r="N173" s="198">
        <v>0.17</v>
      </c>
      <c r="O173" s="201">
        <f t="shared" si="3"/>
        <v>0.81</v>
      </c>
      <c r="P173" s="203" t="str">
        <f t="shared" si="4"/>
        <v>OptionStrat</v>
      </c>
      <c r="Q173" s="204" t="str">
        <f t="shared" si="5"/>
        <v>TSLA 410/480 Dec28</v>
      </c>
    </row>
    <row r="174">
      <c r="A174" s="205" t="s">
        <v>60</v>
      </c>
      <c r="B174" s="206">
        <v>47102.0</v>
      </c>
      <c r="C174" s="207">
        <v>460.0</v>
      </c>
      <c r="D174" s="207">
        <v>510.0</v>
      </c>
      <c r="E174" s="207">
        <v>50.0</v>
      </c>
      <c r="F174" s="208">
        <v>11.86</v>
      </c>
      <c r="G174" s="209">
        <f t="shared" si="1"/>
        <v>38.14</v>
      </c>
      <c r="H174" s="210">
        <f t="shared" si="2"/>
        <v>3.215851602</v>
      </c>
      <c r="I174" s="211">
        <v>0.7</v>
      </c>
      <c r="J174" s="211">
        <v>0.66</v>
      </c>
      <c r="K174" s="207">
        <v>73.0</v>
      </c>
      <c r="L174" s="207">
        <v>26.0</v>
      </c>
      <c r="M174" s="207">
        <v>0.44</v>
      </c>
      <c r="N174" s="207">
        <v>0.15</v>
      </c>
      <c r="O174" s="210">
        <f t="shared" si="3"/>
        <v>0.83</v>
      </c>
      <c r="P174" s="214" t="str">
        <f t="shared" si="4"/>
        <v>OptionStrat</v>
      </c>
      <c r="Q174" s="213" t="str">
        <f t="shared" si="5"/>
        <v>TSLA 460/510 Dec28</v>
      </c>
    </row>
    <row r="175">
      <c r="A175" s="196" t="s">
        <v>60</v>
      </c>
      <c r="B175" s="197">
        <v>47102.0</v>
      </c>
      <c r="C175" s="198">
        <v>410.0</v>
      </c>
      <c r="D175" s="198">
        <v>550.0</v>
      </c>
      <c r="E175" s="198">
        <v>140.0</v>
      </c>
      <c r="F175" s="199">
        <v>39.9</v>
      </c>
      <c r="G175" s="200">
        <f t="shared" si="1"/>
        <v>100.1</v>
      </c>
      <c r="H175" s="201">
        <f t="shared" si="2"/>
        <v>2.50877193</v>
      </c>
      <c r="I175" s="202">
        <v>0.74</v>
      </c>
      <c r="J175" s="202">
        <v>0.63</v>
      </c>
      <c r="K175" s="198">
        <v>50.0</v>
      </c>
      <c r="L175" s="198">
        <v>88.0</v>
      </c>
      <c r="M175" s="198">
        <v>0.66</v>
      </c>
      <c r="N175" s="198">
        <v>0.16</v>
      </c>
      <c r="O175" s="201">
        <f t="shared" si="3"/>
        <v>0.82</v>
      </c>
      <c r="P175" s="203" t="str">
        <f t="shared" si="4"/>
        <v>OptionStrat</v>
      </c>
      <c r="Q175" s="204" t="str">
        <f t="shared" si="5"/>
        <v>TSLA 410/550 Dec28</v>
      </c>
    </row>
    <row r="176">
      <c r="A176" s="205" t="s">
        <v>60</v>
      </c>
      <c r="B176" s="206">
        <v>47102.0</v>
      </c>
      <c r="C176" s="207">
        <v>360.0</v>
      </c>
      <c r="D176" s="207">
        <v>410.0</v>
      </c>
      <c r="E176" s="207">
        <v>50.0</v>
      </c>
      <c r="F176" s="208">
        <v>17.01</v>
      </c>
      <c r="G176" s="209">
        <f t="shared" si="1"/>
        <v>32.99</v>
      </c>
      <c r="H176" s="210">
        <f t="shared" si="2"/>
        <v>1.939447384</v>
      </c>
      <c r="I176" s="211">
        <v>0.78</v>
      </c>
      <c r="J176" s="211">
        <v>0.74</v>
      </c>
      <c r="K176" s="207">
        <v>205.0</v>
      </c>
      <c r="L176" s="207">
        <v>50.0</v>
      </c>
      <c r="M176" s="207">
        <v>1.01</v>
      </c>
      <c r="N176" s="207">
        <v>0.17</v>
      </c>
      <c r="O176" s="210">
        <f t="shared" si="3"/>
        <v>0.8</v>
      </c>
      <c r="P176" s="214" t="str">
        <f t="shared" si="4"/>
        <v>OptionStrat</v>
      </c>
      <c r="Q176" s="213" t="str">
        <f t="shared" si="5"/>
        <v>TSLA 360/410 Dec28</v>
      </c>
    </row>
    <row r="177">
      <c r="A177" s="196" t="s">
        <v>60</v>
      </c>
      <c r="B177" s="197">
        <v>47102.0</v>
      </c>
      <c r="C177" s="198">
        <v>380.0</v>
      </c>
      <c r="D177" s="198">
        <v>440.0</v>
      </c>
      <c r="E177" s="198">
        <v>60.0</v>
      </c>
      <c r="F177" s="199">
        <v>21.36</v>
      </c>
      <c r="G177" s="200">
        <f t="shared" si="1"/>
        <v>38.64</v>
      </c>
      <c r="H177" s="201">
        <f t="shared" si="2"/>
        <v>1.808988764</v>
      </c>
      <c r="I177" s="202">
        <v>0.77</v>
      </c>
      <c r="J177" s="202">
        <v>0.72</v>
      </c>
      <c r="K177" s="198">
        <v>94.0</v>
      </c>
      <c r="L177" s="198">
        <v>132.0</v>
      </c>
      <c r="M177" s="198">
        <v>1.11</v>
      </c>
      <c r="N177" s="198">
        <v>0.18</v>
      </c>
      <c r="O177" s="201">
        <f t="shared" si="3"/>
        <v>0.81</v>
      </c>
      <c r="P177" s="215" t="str">
        <f t="shared" si="4"/>
        <v>OptionStrat</v>
      </c>
      <c r="Q177" s="204" t="str">
        <f t="shared" si="5"/>
        <v>TSLA 380/440 Dec28</v>
      </c>
    </row>
    <row r="178">
      <c r="A178" s="205" t="s">
        <v>60</v>
      </c>
      <c r="B178" s="206">
        <v>47102.0</v>
      </c>
      <c r="C178" s="207">
        <v>380.0</v>
      </c>
      <c r="D178" s="207">
        <v>490.0</v>
      </c>
      <c r="E178" s="207">
        <v>110.0</v>
      </c>
      <c r="F178" s="208">
        <v>35.25</v>
      </c>
      <c r="G178" s="209">
        <f t="shared" si="1"/>
        <v>74.75</v>
      </c>
      <c r="H178" s="210">
        <f t="shared" si="2"/>
        <v>2.120567376</v>
      </c>
      <c r="I178" s="211">
        <v>0.77</v>
      </c>
      <c r="J178" s="211">
        <v>0.68</v>
      </c>
      <c r="K178" s="207">
        <v>94.0</v>
      </c>
      <c r="L178" s="207">
        <v>91.0</v>
      </c>
      <c r="M178" s="207">
        <v>0.92</v>
      </c>
      <c r="N178" s="207">
        <v>0.16</v>
      </c>
      <c r="O178" s="210">
        <f t="shared" si="3"/>
        <v>0.81</v>
      </c>
      <c r="P178" s="214" t="str">
        <f t="shared" si="4"/>
        <v>OptionStrat</v>
      </c>
      <c r="Q178" s="213" t="str">
        <f t="shared" si="5"/>
        <v>TSLA 380/490 Dec28</v>
      </c>
    </row>
    <row r="179">
      <c r="A179" s="196" t="s">
        <v>60</v>
      </c>
      <c r="B179" s="197">
        <v>47102.0</v>
      </c>
      <c r="C179" s="198">
        <v>410.0</v>
      </c>
      <c r="D179" s="198">
        <v>420.0</v>
      </c>
      <c r="E179" s="198">
        <v>10.0</v>
      </c>
      <c r="F179" s="199">
        <v>3.21</v>
      </c>
      <c r="G179" s="200">
        <f t="shared" si="1"/>
        <v>6.79</v>
      </c>
      <c r="H179" s="201">
        <f t="shared" si="2"/>
        <v>2.115264798</v>
      </c>
      <c r="I179" s="202">
        <v>0.74</v>
      </c>
      <c r="J179" s="202">
        <v>0.73</v>
      </c>
      <c r="K179" s="198">
        <v>50.0</v>
      </c>
      <c r="L179" s="198">
        <v>123.0</v>
      </c>
      <c r="M179" s="198">
        <v>0.78</v>
      </c>
      <c r="N179" s="198">
        <v>0.18</v>
      </c>
      <c r="O179" s="201">
        <f t="shared" si="3"/>
        <v>0.79</v>
      </c>
      <c r="P179" s="203" t="str">
        <f t="shared" si="4"/>
        <v>OptionStrat</v>
      </c>
      <c r="Q179" s="204" t="str">
        <f t="shared" si="5"/>
        <v>TSLA 410/420 Dec28</v>
      </c>
    </row>
    <row r="180">
      <c r="A180" s="205" t="s">
        <v>60</v>
      </c>
      <c r="B180" s="206">
        <v>47102.0</v>
      </c>
      <c r="C180" s="207">
        <v>360.0</v>
      </c>
      <c r="D180" s="207">
        <v>510.0</v>
      </c>
      <c r="E180" s="207">
        <v>150.0</v>
      </c>
      <c r="F180" s="208">
        <v>49.16</v>
      </c>
      <c r="G180" s="209">
        <f t="shared" si="1"/>
        <v>100.84</v>
      </c>
      <c r="H180" s="210">
        <f t="shared" si="2"/>
        <v>2.051261188</v>
      </c>
      <c r="I180" s="211">
        <v>0.78</v>
      </c>
      <c r="J180" s="211">
        <v>0.66</v>
      </c>
      <c r="K180" s="207">
        <v>205.0</v>
      </c>
      <c r="L180" s="207">
        <v>26.0</v>
      </c>
      <c r="M180" s="207">
        <v>0.73</v>
      </c>
      <c r="N180" s="207">
        <v>0.2</v>
      </c>
      <c r="O180" s="210">
        <f t="shared" si="3"/>
        <v>0.78</v>
      </c>
      <c r="P180" s="212" t="str">
        <f t="shared" si="4"/>
        <v>OptionStrat</v>
      </c>
      <c r="Q180" s="213" t="str">
        <f t="shared" si="5"/>
        <v>TSLA 360/510 Dec28</v>
      </c>
    </row>
    <row r="181">
      <c r="A181" s="196" t="s">
        <v>60</v>
      </c>
      <c r="B181" s="197">
        <v>47102.0</v>
      </c>
      <c r="C181" s="198">
        <v>380.0</v>
      </c>
      <c r="D181" s="198">
        <v>420.0</v>
      </c>
      <c r="E181" s="198">
        <v>40.0</v>
      </c>
      <c r="F181" s="199">
        <v>14.43</v>
      </c>
      <c r="G181" s="200">
        <f t="shared" si="1"/>
        <v>25.57</v>
      </c>
      <c r="H181" s="201">
        <f t="shared" si="2"/>
        <v>1.772002772</v>
      </c>
      <c r="I181" s="202">
        <v>0.77</v>
      </c>
      <c r="J181" s="202">
        <v>0.73</v>
      </c>
      <c r="K181" s="198">
        <v>94.0</v>
      </c>
      <c r="L181" s="198">
        <v>123.0</v>
      </c>
      <c r="M181" s="198">
        <v>1.08</v>
      </c>
      <c r="N181" s="198">
        <v>0.18</v>
      </c>
      <c r="O181" s="201">
        <f t="shared" si="3"/>
        <v>0.78</v>
      </c>
      <c r="P181" s="203" t="str">
        <f t="shared" si="4"/>
        <v>OptionStrat</v>
      </c>
      <c r="Q181" s="204" t="str">
        <f t="shared" si="5"/>
        <v>TSLA 380/420 Dec28</v>
      </c>
    </row>
    <row r="182">
      <c r="A182" s="205" t="s">
        <v>60</v>
      </c>
      <c r="B182" s="206">
        <v>47102.0</v>
      </c>
      <c r="C182" s="207">
        <v>360.0</v>
      </c>
      <c r="D182" s="207">
        <v>460.0</v>
      </c>
      <c r="E182" s="207">
        <v>100.0</v>
      </c>
      <c r="F182" s="208">
        <v>35.0</v>
      </c>
      <c r="G182" s="209">
        <f t="shared" si="1"/>
        <v>65</v>
      </c>
      <c r="H182" s="210">
        <f t="shared" si="2"/>
        <v>1.857142857</v>
      </c>
      <c r="I182" s="211">
        <v>0.78</v>
      </c>
      <c r="J182" s="211">
        <v>0.7</v>
      </c>
      <c r="K182" s="207">
        <v>205.0</v>
      </c>
      <c r="L182" s="207">
        <v>73.0</v>
      </c>
      <c r="M182" s="207">
        <v>1.22</v>
      </c>
      <c r="N182" s="207">
        <v>0.14</v>
      </c>
      <c r="O182" s="210">
        <f t="shared" si="3"/>
        <v>0.77</v>
      </c>
      <c r="P182" s="214" t="str">
        <f t="shared" si="4"/>
        <v>OptionStrat</v>
      </c>
      <c r="Q182" s="213" t="str">
        <f t="shared" si="5"/>
        <v>TSLA 360/460 Dec28</v>
      </c>
    </row>
    <row r="183">
      <c r="A183" s="196" t="s">
        <v>60</v>
      </c>
      <c r="B183" s="197">
        <v>47102.0</v>
      </c>
      <c r="C183" s="198">
        <v>390.0</v>
      </c>
      <c r="D183" s="198">
        <v>430.0</v>
      </c>
      <c r="E183" s="198">
        <v>40.0</v>
      </c>
      <c r="F183" s="199">
        <v>13.6</v>
      </c>
      <c r="G183" s="200">
        <f t="shared" si="1"/>
        <v>26.4</v>
      </c>
      <c r="H183" s="201">
        <f t="shared" si="2"/>
        <v>1.941176471</v>
      </c>
      <c r="I183" s="202">
        <v>0.76</v>
      </c>
      <c r="J183" s="202">
        <v>0.72</v>
      </c>
      <c r="K183" s="198">
        <v>47.0</v>
      </c>
      <c r="L183" s="198">
        <v>183.0</v>
      </c>
      <c r="M183" s="198">
        <v>0.93</v>
      </c>
      <c r="N183" s="198">
        <v>0.17</v>
      </c>
      <c r="O183" s="201">
        <f t="shared" si="3"/>
        <v>0.77</v>
      </c>
      <c r="P183" s="215" t="str">
        <f t="shared" si="4"/>
        <v>OptionStrat</v>
      </c>
      <c r="Q183" s="204" t="str">
        <f t="shared" si="5"/>
        <v>TSLA 390/430 Dec28</v>
      </c>
    </row>
    <row r="184">
      <c r="A184" s="205" t="s">
        <v>60</v>
      </c>
      <c r="B184" s="206">
        <v>47102.0</v>
      </c>
      <c r="C184" s="207">
        <v>350.0</v>
      </c>
      <c r="D184" s="207">
        <v>440.0</v>
      </c>
      <c r="E184" s="207">
        <v>90.0</v>
      </c>
      <c r="F184" s="208">
        <v>33.15</v>
      </c>
      <c r="G184" s="209">
        <f t="shared" si="1"/>
        <v>56.85</v>
      </c>
      <c r="H184" s="210">
        <f t="shared" si="2"/>
        <v>1.714932127</v>
      </c>
      <c r="I184" s="211">
        <v>0.79</v>
      </c>
      <c r="J184" s="211">
        <v>0.72</v>
      </c>
      <c r="K184" s="207">
        <v>81.0</v>
      </c>
      <c r="L184" s="207">
        <v>132.0</v>
      </c>
      <c r="M184" s="207">
        <v>1.03</v>
      </c>
      <c r="N184" s="207">
        <v>0.2</v>
      </c>
      <c r="O184" s="210">
        <f t="shared" si="3"/>
        <v>0.78</v>
      </c>
      <c r="P184" s="214" t="str">
        <f t="shared" si="4"/>
        <v>OptionStrat</v>
      </c>
      <c r="Q184" s="213" t="str">
        <f t="shared" si="5"/>
        <v>TSLA 350/440 Dec28</v>
      </c>
    </row>
    <row r="185">
      <c r="A185" s="196" t="s">
        <v>60</v>
      </c>
      <c r="B185" s="197">
        <v>47102.0</v>
      </c>
      <c r="C185" s="198">
        <v>380.0</v>
      </c>
      <c r="D185" s="198">
        <v>530.0</v>
      </c>
      <c r="E185" s="198">
        <v>150.0</v>
      </c>
      <c r="F185" s="199">
        <v>46.11</v>
      </c>
      <c r="G185" s="200">
        <f t="shared" si="1"/>
        <v>103.89</v>
      </c>
      <c r="H185" s="201">
        <f t="shared" si="2"/>
        <v>2.253090436</v>
      </c>
      <c r="I185" s="202">
        <v>0.77</v>
      </c>
      <c r="J185" s="202">
        <v>0.65</v>
      </c>
      <c r="K185" s="198">
        <v>94.0</v>
      </c>
      <c r="L185" s="198">
        <v>59.0</v>
      </c>
      <c r="M185" s="198">
        <v>0.74</v>
      </c>
      <c r="N185" s="198">
        <v>0.16</v>
      </c>
      <c r="O185" s="201">
        <f t="shared" si="3"/>
        <v>0.78</v>
      </c>
      <c r="P185" s="203" t="str">
        <f t="shared" si="4"/>
        <v>OptionStrat</v>
      </c>
      <c r="Q185" s="204" t="str">
        <f t="shared" si="5"/>
        <v>TSLA 380/530 Dec28</v>
      </c>
    </row>
    <row r="186">
      <c r="A186" s="205" t="s">
        <v>60</v>
      </c>
      <c r="B186" s="206">
        <v>47102.0</v>
      </c>
      <c r="C186" s="207">
        <v>300.0</v>
      </c>
      <c r="D186" s="207">
        <v>360.0</v>
      </c>
      <c r="E186" s="207">
        <v>60.0</v>
      </c>
      <c r="F186" s="208">
        <v>25.55</v>
      </c>
      <c r="G186" s="209">
        <f t="shared" si="1"/>
        <v>34.45</v>
      </c>
      <c r="H186" s="210">
        <f t="shared" si="2"/>
        <v>1.348336595</v>
      </c>
      <c r="I186" s="211">
        <v>0.84</v>
      </c>
      <c r="J186" s="211">
        <v>0.78</v>
      </c>
      <c r="K186" s="207">
        <v>135.0</v>
      </c>
      <c r="L186" s="207">
        <v>205.0</v>
      </c>
      <c r="M186" s="207">
        <v>1.66</v>
      </c>
      <c r="N186" s="207">
        <v>0.19</v>
      </c>
      <c r="O186" s="210">
        <f t="shared" si="3"/>
        <v>0.76</v>
      </c>
      <c r="P186" s="214" t="str">
        <f t="shared" si="4"/>
        <v>OptionStrat</v>
      </c>
      <c r="Q186" s="213" t="str">
        <f t="shared" si="5"/>
        <v>TSLA 300/360 Dec28</v>
      </c>
    </row>
    <row r="187">
      <c r="A187" s="196" t="s">
        <v>60</v>
      </c>
      <c r="B187" s="197">
        <v>47102.0</v>
      </c>
      <c r="C187" s="198">
        <v>310.0</v>
      </c>
      <c r="D187" s="198">
        <v>430.0</v>
      </c>
      <c r="E187" s="198">
        <v>120.0</v>
      </c>
      <c r="F187" s="199">
        <v>46.63</v>
      </c>
      <c r="G187" s="200">
        <f t="shared" si="1"/>
        <v>73.37</v>
      </c>
      <c r="H187" s="201">
        <f t="shared" si="2"/>
        <v>1.573450568</v>
      </c>
      <c r="I187" s="202">
        <v>0.83</v>
      </c>
      <c r="J187" s="202">
        <v>0.72</v>
      </c>
      <c r="K187" s="198">
        <v>62.0</v>
      </c>
      <c r="L187" s="198">
        <v>183.0</v>
      </c>
      <c r="M187" s="198">
        <v>1.07</v>
      </c>
      <c r="N187" s="198">
        <v>0.22</v>
      </c>
      <c r="O187" s="201">
        <f t="shared" si="3"/>
        <v>0.76</v>
      </c>
      <c r="P187" s="203" t="str">
        <f t="shared" si="4"/>
        <v>OptionStrat</v>
      </c>
      <c r="Q187" s="204" t="str">
        <f t="shared" si="5"/>
        <v>TSLA 310/430 Dec28</v>
      </c>
    </row>
    <row r="188">
      <c r="A188" s="205" t="s">
        <v>60</v>
      </c>
      <c r="B188" s="206">
        <v>47102.0</v>
      </c>
      <c r="C188" s="207">
        <v>380.0</v>
      </c>
      <c r="D188" s="207">
        <v>470.0</v>
      </c>
      <c r="E188" s="207">
        <v>90.0</v>
      </c>
      <c r="F188" s="208">
        <v>31.23</v>
      </c>
      <c r="G188" s="209">
        <f t="shared" si="1"/>
        <v>58.77</v>
      </c>
      <c r="H188" s="210">
        <f t="shared" si="2"/>
        <v>1.88184438</v>
      </c>
      <c r="I188" s="211">
        <v>0.77</v>
      </c>
      <c r="J188" s="211">
        <v>0.69</v>
      </c>
      <c r="K188" s="207">
        <v>94.0</v>
      </c>
      <c r="L188" s="207">
        <v>71.0</v>
      </c>
      <c r="M188" s="207">
        <v>0.82</v>
      </c>
      <c r="N188" s="207">
        <v>0.2</v>
      </c>
      <c r="O188" s="210">
        <f t="shared" si="3"/>
        <v>0.76</v>
      </c>
      <c r="P188" s="212" t="str">
        <f t="shared" si="4"/>
        <v>OptionStrat</v>
      </c>
      <c r="Q188" s="213" t="str">
        <f t="shared" si="5"/>
        <v>TSLA 380/470 Dec28</v>
      </c>
    </row>
    <row r="189">
      <c r="A189" s="196" t="s">
        <v>60</v>
      </c>
      <c r="B189" s="197">
        <v>47102.0</v>
      </c>
      <c r="C189" s="198">
        <v>390.0</v>
      </c>
      <c r="D189" s="198">
        <v>480.0</v>
      </c>
      <c r="E189" s="198">
        <v>90.0</v>
      </c>
      <c r="F189" s="199">
        <v>29.38</v>
      </c>
      <c r="G189" s="200">
        <f t="shared" si="1"/>
        <v>60.62</v>
      </c>
      <c r="H189" s="201">
        <f t="shared" si="2"/>
        <v>2.063308373</v>
      </c>
      <c r="I189" s="202">
        <v>0.76</v>
      </c>
      <c r="J189" s="202">
        <v>0.69</v>
      </c>
      <c r="K189" s="198">
        <v>47.0</v>
      </c>
      <c r="L189" s="198">
        <v>131.0</v>
      </c>
      <c r="M189" s="198">
        <v>0.78</v>
      </c>
      <c r="N189" s="198">
        <v>0.17</v>
      </c>
      <c r="O189" s="201">
        <f t="shared" si="3"/>
        <v>0.75</v>
      </c>
      <c r="P189" s="203" t="str">
        <f t="shared" si="4"/>
        <v>OptionStrat</v>
      </c>
      <c r="Q189" s="204" t="str">
        <f t="shared" si="5"/>
        <v>TSLA 390/480 Dec28</v>
      </c>
    </row>
    <row r="190">
      <c r="A190" s="205" t="s">
        <v>60</v>
      </c>
      <c r="B190" s="206">
        <v>47102.0</v>
      </c>
      <c r="C190" s="207">
        <v>300.0</v>
      </c>
      <c r="D190" s="207">
        <v>420.0</v>
      </c>
      <c r="E190" s="207">
        <v>120.0</v>
      </c>
      <c r="F190" s="208">
        <v>48.9</v>
      </c>
      <c r="G190" s="209">
        <f t="shared" si="1"/>
        <v>71.1</v>
      </c>
      <c r="H190" s="210">
        <f t="shared" si="2"/>
        <v>1.45398773</v>
      </c>
      <c r="I190" s="211">
        <v>0.84</v>
      </c>
      <c r="J190" s="211">
        <v>0.73</v>
      </c>
      <c r="K190" s="207">
        <v>135.0</v>
      </c>
      <c r="L190" s="207">
        <v>123.0</v>
      </c>
      <c r="M190" s="207">
        <v>1.29</v>
      </c>
      <c r="N190" s="207">
        <v>0.21</v>
      </c>
      <c r="O190" s="210">
        <f t="shared" si="3"/>
        <v>0.76</v>
      </c>
      <c r="P190" s="212" t="str">
        <f t="shared" si="4"/>
        <v>OptionStrat</v>
      </c>
      <c r="Q190" s="213" t="str">
        <f t="shared" si="5"/>
        <v>TSLA 300/420 Dec28</v>
      </c>
    </row>
    <row r="191">
      <c r="A191" s="196" t="s">
        <v>60</v>
      </c>
      <c r="B191" s="197">
        <v>47102.0</v>
      </c>
      <c r="C191" s="198">
        <v>350.0</v>
      </c>
      <c r="D191" s="198">
        <v>380.0</v>
      </c>
      <c r="E191" s="198">
        <v>30.0</v>
      </c>
      <c r="F191" s="199">
        <v>10.05</v>
      </c>
      <c r="G191" s="200">
        <f t="shared" si="1"/>
        <v>19.95</v>
      </c>
      <c r="H191" s="201">
        <f t="shared" si="2"/>
        <v>1.985074627</v>
      </c>
      <c r="I191" s="202">
        <v>0.79</v>
      </c>
      <c r="J191" s="202">
        <v>0.77</v>
      </c>
      <c r="K191" s="198">
        <v>81.0</v>
      </c>
      <c r="L191" s="198">
        <v>94.0</v>
      </c>
      <c r="M191" s="198">
        <v>0.87</v>
      </c>
      <c r="N191" s="198">
        <v>0.17</v>
      </c>
      <c r="O191" s="201">
        <f t="shared" si="3"/>
        <v>0.76</v>
      </c>
      <c r="P191" s="203" t="str">
        <f t="shared" si="4"/>
        <v>OptionStrat</v>
      </c>
      <c r="Q191" s="204" t="str">
        <f t="shared" si="5"/>
        <v>TSLA 350/380 Dec28</v>
      </c>
    </row>
    <row r="192">
      <c r="A192" s="205" t="s">
        <v>60</v>
      </c>
      <c r="B192" s="206">
        <v>47102.0</v>
      </c>
      <c r="C192" s="207">
        <v>350.0</v>
      </c>
      <c r="D192" s="207">
        <v>420.0</v>
      </c>
      <c r="E192" s="207">
        <v>70.0</v>
      </c>
      <c r="F192" s="208">
        <v>26.22</v>
      </c>
      <c r="G192" s="209">
        <f t="shared" si="1"/>
        <v>43.78</v>
      </c>
      <c r="H192" s="210">
        <f t="shared" si="2"/>
        <v>1.669717773</v>
      </c>
      <c r="I192" s="211">
        <v>0.79</v>
      </c>
      <c r="J192" s="211">
        <v>0.73</v>
      </c>
      <c r="K192" s="207">
        <v>81.0</v>
      </c>
      <c r="L192" s="207">
        <v>123.0</v>
      </c>
      <c r="M192" s="207">
        <v>1.0</v>
      </c>
      <c r="N192" s="207">
        <v>0.2</v>
      </c>
      <c r="O192" s="210">
        <f t="shared" si="3"/>
        <v>0.75</v>
      </c>
      <c r="P192" s="214" t="str">
        <f t="shared" si="4"/>
        <v>OptionStrat</v>
      </c>
      <c r="Q192" s="213" t="str">
        <f t="shared" si="5"/>
        <v>TSLA 350/420 Dec28</v>
      </c>
    </row>
    <row r="193">
      <c r="A193" s="196" t="s">
        <v>60</v>
      </c>
      <c r="B193" s="197">
        <v>47102.0</v>
      </c>
      <c r="C193" s="198">
        <v>350.0</v>
      </c>
      <c r="D193" s="198">
        <v>490.0</v>
      </c>
      <c r="E193" s="198">
        <v>140.0</v>
      </c>
      <c r="F193" s="199">
        <v>47.04</v>
      </c>
      <c r="G193" s="200">
        <f t="shared" si="1"/>
        <v>92.96</v>
      </c>
      <c r="H193" s="201">
        <f t="shared" si="2"/>
        <v>1.976190476</v>
      </c>
      <c r="I193" s="202">
        <v>0.79</v>
      </c>
      <c r="J193" s="202">
        <v>0.68</v>
      </c>
      <c r="K193" s="198">
        <v>81.0</v>
      </c>
      <c r="L193" s="198">
        <v>91.0</v>
      </c>
      <c r="M193" s="198">
        <v>0.86</v>
      </c>
      <c r="N193" s="198">
        <v>0.17</v>
      </c>
      <c r="O193" s="201">
        <f t="shared" si="3"/>
        <v>0.76</v>
      </c>
      <c r="P193" s="215" t="str">
        <f t="shared" si="4"/>
        <v>OptionStrat</v>
      </c>
      <c r="Q193" s="204" t="str">
        <f t="shared" si="5"/>
        <v>TSLA 350/490 Dec28</v>
      </c>
    </row>
    <row r="194">
      <c r="A194" s="205" t="s">
        <v>60</v>
      </c>
      <c r="B194" s="206">
        <v>47102.0</v>
      </c>
      <c r="C194" s="207">
        <v>410.0</v>
      </c>
      <c r="D194" s="207">
        <v>490.0</v>
      </c>
      <c r="E194" s="207">
        <v>80.0</v>
      </c>
      <c r="F194" s="208">
        <v>24.03</v>
      </c>
      <c r="G194" s="209">
        <f t="shared" si="1"/>
        <v>55.97</v>
      </c>
      <c r="H194" s="210">
        <f t="shared" si="2"/>
        <v>2.329171868</v>
      </c>
      <c r="I194" s="211">
        <v>0.74</v>
      </c>
      <c r="J194" s="211">
        <v>0.68</v>
      </c>
      <c r="K194" s="207">
        <v>50.0</v>
      </c>
      <c r="L194" s="207">
        <v>91.0</v>
      </c>
      <c r="M194" s="207">
        <v>0.67</v>
      </c>
      <c r="N194" s="207">
        <v>0.16</v>
      </c>
      <c r="O194" s="210">
        <f t="shared" si="3"/>
        <v>0.76</v>
      </c>
      <c r="P194" s="214" t="str">
        <f t="shared" si="4"/>
        <v>OptionStrat</v>
      </c>
      <c r="Q194" s="213" t="str">
        <f t="shared" si="5"/>
        <v>TSLA 410/490 Dec28</v>
      </c>
    </row>
    <row r="195">
      <c r="A195" s="196" t="s">
        <v>60</v>
      </c>
      <c r="B195" s="197">
        <v>47102.0</v>
      </c>
      <c r="C195" s="198">
        <v>350.0</v>
      </c>
      <c r="D195" s="198">
        <v>470.0</v>
      </c>
      <c r="E195" s="198">
        <v>120.0</v>
      </c>
      <c r="F195" s="199">
        <v>43.02</v>
      </c>
      <c r="G195" s="200">
        <f t="shared" si="1"/>
        <v>76.98</v>
      </c>
      <c r="H195" s="201">
        <f t="shared" si="2"/>
        <v>1.789400279</v>
      </c>
      <c r="I195" s="202">
        <v>0.79</v>
      </c>
      <c r="J195" s="202">
        <v>0.69</v>
      </c>
      <c r="K195" s="198">
        <v>81.0</v>
      </c>
      <c r="L195" s="198">
        <v>71.0</v>
      </c>
      <c r="M195" s="198">
        <v>0.76</v>
      </c>
      <c r="N195" s="198">
        <v>0.22</v>
      </c>
      <c r="O195" s="201">
        <f t="shared" si="3"/>
        <v>0.73</v>
      </c>
      <c r="P195" s="203" t="str">
        <f t="shared" si="4"/>
        <v>OptionStrat</v>
      </c>
      <c r="Q195" s="204" t="str">
        <f t="shared" si="5"/>
        <v>TSLA 350/470 Dec28</v>
      </c>
    </row>
    <row r="196">
      <c r="A196" s="205" t="s">
        <v>60</v>
      </c>
      <c r="B196" s="206">
        <v>47102.0</v>
      </c>
      <c r="C196" s="207">
        <v>410.0</v>
      </c>
      <c r="D196" s="207">
        <v>440.0</v>
      </c>
      <c r="E196" s="207">
        <v>30.0</v>
      </c>
      <c r="F196" s="208">
        <v>10.14</v>
      </c>
      <c r="G196" s="209">
        <f t="shared" si="1"/>
        <v>19.86</v>
      </c>
      <c r="H196" s="210">
        <f t="shared" si="2"/>
        <v>1.958579882</v>
      </c>
      <c r="I196" s="211">
        <v>0.74</v>
      </c>
      <c r="J196" s="211">
        <v>0.72</v>
      </c>
      <c r="K196" s="207">
        <v>50.0</v>
      </c>
      <c r="L196" s="207">
        <v>132.0</v>
      </c>
      <c r="M196" s="207">
        <v>0.81</v>
      </c>
      <c r="N196" s="207">
        <v>0.18</v>
      </c>
      <c r="O196" s="210">
        <f t="shared" si="3"/>
        <v>0.75</v>
      </c>
      <c r="P196" s="214" t="str">
        <f t="shared" si="4"/>
        <v>OptionStrat</v>
      </c>
      <c r="Q196" s="213" t="str">
        <f t="shared" si="5"/>
        <v>TSLA 410/440 Dec28</v>
      </c>
    </row>
    <row r="197">
      <c r="A197" s="196" t="s">
        <v>60</v>
      </c>
      <c r="B197" s="197">
        <v>47102.0</v>
      </c>
      <c r="C197" s="198">
        <v>310.0</v>
      </c>
      <c r="D197" s="198">
        <v>360.0</v>
      </c>
      <c r="E197" s="198">
        <v>50.0</v>
      </c>
      <c r="F197" s="199">
        <v>20.26</v>
      </c>
      <c r="G197" s="200">
        <f t="shared" si="1"/>
        <v>29.74</v>
      </c>
      <c r="H197" s="201">
        <f t="shared" si="2"/>
        <v>1.467917078</v>
      </c>
      <c r="I197" s="202">
        <v>0.83</v>
      </c>
      <c r="J197" s="202">
        <v>0.78</v>
      </c>
      <c r="K197" s="198">
        <v>62.0</v>
      </c>
      <c r="L197" s="198">
        <v>205.0</v>
      </c>
      <c r="M197" s="198">
        <v>1.13</v>
      </c>
      <c r="N197" s="198">
        <v>0.21</v>
      </c>
      <c r="O197" s="201">
        <f t="shared" si="3"/>
        <v>0.72</v>
      </c>
      <c r="P197" s="203" t="str">
        <f t="shared" si="4"/>
        <v>OptionStrat</v>
      </c>
      <c r="Q197" s="204" t="str">
        <f t="shared" si="5"/>
        <v>TSLA 310/360 Dec28</v>
      </c>
    </row>
    <row r="198">
      <c r="A198" s="205" t="s">
        <v>60</v>
      </c>
      <c r="B198" s="206">
        <v>47102.0</v>
      </c>
      <c r="C198" s="207">
        <v>410.0</v>
      </c>
      <c r="D198" s="207">
        <v>540.0</v>
      </c>
      <c r="E198" s="207">
        <v>130.0</v>
      </c>
      <c r="F198" s="208">
        <v>37.44</v>
      </c>
      <c r="G198" s="209">
        <f t="shared" si="1"/>
        <v>92.56</v>
      </c>
      <c r="H198" s="210">
        <f t="shared" si="2"/>
        <v>2.472222222</v>
      </c>
      <c r="I198" s="211">
        <v>0.74</v>
      </c>
      <c r="J198" s="211">
        <v>0.64</v>
      </c>
      <c r="K198" s="207">
        <v>50.0</v>
      </c>
      <c r="L198" s="207">
        <v>58.0</v>
      </c>
      <c r="M198" s="207">
        <v>0.54</v>
      </c>
      <c r="N198" s="207">
        <v>0.16</v>
      </c>
      <c r="O198" s="210">
        <f t="shared" si="3"/>
        <v>0.73</v>
      </c>
      <c r="P198" s="214" t="str">
        <f t="shared" si="4"/>
        <v>OptionStrat</v>
      </c>
      <c r="Q198" s="213" t="str">
        <f t="shared" si="5"/>
        <v>TSLA 410/540 Dec28</v>
      </c>
    </row>
    <row r="199">
      <c r="A199" s="196" t="s">
        <v>60</v>
      </c>
      <c r="B199" s="197">
        <v>47102.0</v>
      </c>
      <c r="C199" s="198">
        <v>410.0</v>
      </c>
      <c r="D199" s="198">
        <v>530.0</v>
      </c>
      <c r="E199" s="198">
        <v>120.0</v>
      </c>
      <c r="F199" s="199">
        <v>34.89</v>
      </c>
      <c r="G199" s="200">
        <f t="shared" si="1"/>
        <v>85.11</v>
      </c>
      <c r="H199" s="201">
        <f t="shared" si="2"/>
        <v>2.439380911</v>
      </c>
      <c r="I199" s="202">
        <v>0.74</v>
      </c>
      <c r="J199" s="202">
        <v>0.65</v>
      </c>
      <c r="K199" s="198">
        <v>50.0</v>
      </c>
      <c r="L199" s="198">
        <v>59.0</v>
      </c>
      <c r="M199" s="198">
        <v>0.54</v>
      </c>
      <c r="N199" s="198">
        <v>0.16</v>
      </c>
      <c r="O199" s="201">
        <f t="shared" si="3"/>
        <v>0.72</v>
      </c>
      <c r="P199" s="215" t="str">
        <f t="shared" si="4"/>
        <v>OptionStrat</v>
      </c>
      <c r="Q199" s="204" t="str">
        <f t="shared" si="5"/>
        <v>TSLA 410/530 Dec28</v>
      </c>
    </row>
    <row r="200">
      <c r="A200" s="205" t="s">
        <v>60</v>
      </c>
      <c r="B200" s="206">
        <v>47102.0</v>
      </c>
      <c r="C200" s="207">
        <v>380.0</v>
      </c>
      <c r="D200" s="207">
        <v>410.0</v>
      </c>
      <c r="E200" s="207">
        <v>30.0</v>
      </c>
      <c r="F200" s="208">
        <v>9.49</v>
      </c>
      <c r="G200" s="209">
        <f t="shared" si="1"/>
        <v>20.51</v>
      </c>
      <c r="H200" s="210">
        <f t="shared" si="2"/>
        <v>2.161222339</v>
      </c>
      <c r="I200" s="211">
        <v>0.77</v>
      </c>
      <c r="J200" s="211">
        <v>0.74</v>
      </c>
      <c r="K200" s="207">
        <v>94.0</v>
      </c>
      <c r="L200" s="207">
        <v>50.0</v>
      </c>
      <c r="M200" s="207">
        <v>0.69</v>
      </c>
      <c r="N200" s="207">
        <v>0.15</v>
      </c>
      <c r="O200" s="210">
        <f t="shared" si="3"/>
        <v>0.7</v>
      </c>
      <c r="P200" s="214" t="str">
        <f t="shared" si="4"/>
        <v>OptionStrat</v>
      </c>
      <c r="Q200" s="213" t="str">
        <f t="shared" si="5"/>
        <v>TSLA 380/410 Dec28</v>
      </c>
    </row>
    <row r="201">
      <c r="A201" s="196" t="s">
        <v>60</v>
      </c>
      <c r="B201" s="197">
        <v>47102.0</v>
      </c>
      <c r="C201" s="198">
        <v>390.0</v>
      </c>
      <c r="D201" s="198">
        <v>490.0</v>
      </c>
      <c r="E201" s="198">
        <v>100.0</v>
      </c>
      <c r="F201" s="199">
        <v>31.4</v>
      </c>
      <c r="G201" s="200">
        <f t="shared" si="1"/>
        <v>68.6</v>
      </c>
      <c r="H201" s="201">
        <f t="shared" si="2"/>
        <v>2.184713376</v>
      </c>
      <c r="I201" s="202">
        <v>0.76</v>
      </c>
      <c r="J201" s="202">
        <v>0.68</v>
      </c>
      <c r="K201" s="198">
        <v>47.0</v>
      </c>
      <c r="L201" s="198">
        <v>91.0</v>
      </c>
      <c r="M201" s="198">
        <v>0.65</v>
      </c>
      <c r="N201" s="198">
        <v>0.16</v>
      </c>
      <c r="O201" s="201">
        <f t="shared" si="3"/>
        <v>0.7</v>
      </c>
      <c r="P201" s="203" t="str">
        <f t="shared" si="4"/>
        <v>OptionStrat</v>
      </c>
      <c r="Q201" s="204" t="str">
        <f t="shared" si="5"/>
        <v>TSLA 390/490 Dec28</v>
      </c>
    </row>
    <row r="202">
      <c r="A202" s="205" t="s">
        <v>60</v>
      </c>
      <c r="B202" s="206">
        <v>47102.0</v>
      </c>
      <c r="C202" s="207">
        <v>310.0</v>
      </c>
      <c r="D202" s="207">
        <v>420.0</v>
      </c>
      <c r="E202" s="207">
        <v>110.0</v>
      </c>
      <c r="F202" s="208">
        <v>43.61</v>
      </c>
      <c r="G202" s="209">
        <f t="shared" si="1"/>
        <v>66.39</v>
      </c>
      <c r="H202" s="210">
        <f t="shared" si="2"/>
        <v>1.522357258</v>
      </c>
      <c r="I202" s="211">
        <v>0.83</v>
      </c>
      <c r="J202" s="211">
        <v>0.73</v>
      </c>
      <c r="K202" s="207">
        <v>62.0</v>
      </c>
      <c r="L202" s="207">
        <v>123.0</v>
      </c>
      <c r="M202" s="207">
        <v>0.87</v>
      </c>
      <c r="N202" s="207">
        <v>0.24</v>
      </c>
      <c r="O202" s="210">
        <f t="shared" si="3"/>
        <v>0.7</v>
      </c>
      <c r="P202" s="214" t="str">
        <f t="shared" si="4"/>
        <v>OptionStrat</v>
      </c>
      <c r="Q202" s="213" t="str">
        <f t="shared" si="5"/>
        <v>TSLA 310/420 Dec28</v>
      </c>
    </row>
    <row r="203">
      <c r="A203" s="196" t="s">
        <v>60</v>
      </c>
      <c r="B203" s="197">
        <v>47102.0</v>
      </c>
      <c r="C203" s="198">
        <v>390.0</v>
      </c>
      <c r="D203" s="198">
        <v>410.0</v>
      </c>
      <c r="E203" s="198">
        <v>20.0</v>
      </c>
      <c r="F203" s="199">
        <v>5.64</v>
      </c>
      <c r="G203" s="200">
        <f t="shared" si="1"/>
        <v>14.36</v>
      </c>
      <c r="H203" s="201">
        <f t="shared" si="2"/>
        <v>2.546099291</v>
      </c>
      <c r="I203" s="202">
        <v>0.76</v>
      </c>
      <c r="J203" s="202">
        <v>0.74</v>
      </c>
      <c r="K203" s="198">
        <v>47.0</v>
      </c>
      <c r="L203" s="198">
        <v>50.0</v>
      </c>
      <c r="M203" s="198">
        <v>0.48</v>
      </c>
      <c r="N203" s="198">
        <v>0.15</v>
      </c>
      <c r="O203" s="201">
        <f t="shared" si="3"/>
        <v>0.68</v>
      </c>
      <c r="P203" s="215" t="str">
        <f t="shared" si="4"/>
        <v>OptionStrat</v>
      </c>
      <c r="Q203" s="204" t="str">
        <f t="shared" si="5"/>
        <v>TSLA 390/410 Dec28</v>
      </c>
    </row>
    <row r="204">
      <c r="A204" s="205" t="s">
        <v>60</v>
      </c>
      <c r="B204" s="206">
        <v>47102.0</v>
      </c>
      <c r="C204" s="207">
        <v>390.0</v>
      </c>
      <c r="D204" s="207">
        <v>440.0</v>
      </c>
      <c r="E204" s="207">
        <v>50.0</v>
      </c>
      <c r="F204" s="208">
        <v>17.51</v>
      </c>
      <c r="G204" s="209">
        <f t="shared" si="1"/>
        <v>32.49</v>
      </c>
      <c r="H204" s="210">
        <f t="shared" si="2"/>
        <v>1.855511136</v>
      </c>
      <c r="I204" s="211">
        <v>0.76</v>
      </c>
      <c r="J204" s="211">
        <v>0.72</v>
      </c>
      <c r="K204" s="207">
        <v>47.0</v>
      </c>
      <c r="L204" s="207">
        <v>132.0</v>
      </c>
      <c r="M204" s="207">
        <v>0.79</v>
      </c>
      <c r="N204" s="207">
        <v>0.18</v>
      </c>
      <c r="O204" s="210">
        <f t="shared" si="3"/>
        <v>0.7</v>
      </c>
      <c r="P204" s="214" t="str">
        <f t="shared" si="4"/>
        <v>OptionStrat</v>
      </c>
      <c r="Q204" s="213" t="str">
        <f t="shared" si="5"/>
        <v>TSLA 390/440 Dec28</v>
      </c>
    </row>
    <row r="205">
      <c r="A205" s="196" t="s">
        <v>60</v>
      </c>
      <c r="B205" s="197">
        <v>47102.0</v>
      </c>
      <c r="C205" s="198">
        <v>410.0</v>
      </c>
      <c r="D205" s="198">
        <v>470.0</v>
      </c>
      <c r="E205" s="198">
        <v>60.0</v>
      </c>
      <c r="F205" s="199">
        <v>20.01</v>
      </c>
      <c r="G205" s="200">
        <f t="shared" si="1"/>
        <v>39.99</v>
      </c>
      <c r="H205" s="201">
        <f t="shared" si="2"/>
        <v>1.99850075</v>
      </c>
      <c r="I205" s="202">
        <v>0.74</v>
      </c>
      <c r="J205" s="202">
        <v>0.69</v>
      </c>
      <c r="K205" s="198">
        <v>50.0</v>
      </c>
      <c r="L205" s="198">
        <v>71.0</v>
      </c>
      <c r="M205" s="198">
        <v>0.6</v>
      </c>
      <c r="N205" s="198">
        <v>0.2</v>
      </c>
      <c r="O205" s="201">
        <f t="shared" si="3"/>
        <v>0.69</v>
      </c>
      <c r="P205" s="203" t="str">
        <f t="shared" si="4"/>
        <v>OptionStrat</v>
      </c>
      <c r="Q205" s="204" t="str">
        <f t="shared" si="5"/>
        <v>TSLA 410/470 Dec28</v>
      </c>
    </row>
    <row r="206">
      <c r="A206" s="205" t="s">
        <v>60</v>
      </c>
      <c r="B206" s="206">
        <v>47102.0</v>
      </c>
      <c r="C206" s="207">
        <v>390.0</v>
      </c>
      <c r="D206" s="207">
        <v>420.0</v>
      </c>
      <c r="E206" s="207">
        <v>30.0</v>
      </c>
      <c r="F206" s="208">
        <v>10.58</v>
      </c>
      <c r="G206" s="209">
        <f t="shared" si="1"/>
        <v>19.42</v>
      </c>
      <c r="H206" s="210">
        <f t="shared" si="2"/>
        <v>1.835538752</v>
      </c>
      <c r="I206" s="211">
        <v>0.76</v>
      </c>
      <c r="J206" s="211">
        <v>0.73</v>
      </c>
      <c r="K206" s="207">
        <v>47.0</v>
      </c>
      <c r="L206" s="207">
        <v>123.0</v>
      </c>
      <c r="M206" s="207">
        <v>0.76</v>
      </c>
      <c r="N206" s="207">
        <v>0.18</v>
      </c>
      <c r="O206" s="210">
        <f t="shared" si="3"/>
        <v>0.68</v>
      </c>
      <c r="P206" s="212" t="str">
        <f t="shared" si="4"/>
        <v>OptionStrat</v>
      </c>
      <c r="Q206" s="213" t="str">
        <f t="shared" si="5"/>
        <v>TSLA 390/420 Dec28</v>
      </c>
    </row>
    <row r="207">
      <c r="A207" s="196" t="s">
        <v>60</v>
      </c>
      <c r="B207" s="197">
        <v>47102.0</v>
      </c>
      <c r="C207" s="198">
        <v>390.0</v>
      </c>
      <c r="D207" s="198">
        <v>540.0</v>
      </c>
      <c r="E207" s="198">
        <v>150.0</v>
      </c>
      <c r="F207" s="199">
        <v>44.81</v>
      </c>
      <c r="G207" s="200">
        <f t="shared" si="1"/>
        <v>105.19</v>
      </c>
      <c r="H207" s="201">
        <f t="shared" si="2"/>
        <v>2.347467083</v>
      </c>
      <c r="I207" s="202">
        <v>0.76</v>
      </c>
      <c r="J207" s="202">
        <v>0.64</v>
      </c>
      <c r="K207" s="198">
        <v>47.0</v>
      </c>
      <c r="L207" s="198">
        <v>58.0</v>
      </c>
      <c r="M207" s="198">
        <v>0.52</v>
      </c>
      <c r="N207" s="198">
        <v>0.16</v>
      </c>
      <c r="O207" s="201">
        <f t="shared" si="3"/>
        <v>0.68</v>
      </c>
      <c r="P207" s="215" t="str">
        <f t="shared" si="4"/>
        <v>OptionStrat</v>
      </c>
      <c r="Q207" s="204" t="str">
        <f t="shared" si="5"/>
        <v>TSLA 390/540 Dec28</v>
      </c>
    </row>
    <row r="208">
      <c r="A208" s="205" t="s">
        <v>60</v>
      </c>
      <c r="B208" s="206">
        <v>47102.0</v>
      </c>
      <c r="C208" s="207">
        <v>390.0</v>
      </c>
      <c r="D208" s="207">
        <v>530.0</v>
      </c>
      <c r="E208" s="207">
        <v>140.0</v>
      </c>
      <c r="F208" s="208">
        <v>42.26</v>
      </c>
      <c r="G208" s="209">
        <f t="shared" si="1"/>
        <v>97.74</v>
      </c>
      <c r="H208" s="210">
        <f t="shared" si="2"/>
        <v>2.312825367</v>
      </c>
      <c r="I208" s="211">
        <v>0.76</v>
      </c>
      <c r="J208" s="211">
        <v>0.65</v>
      </c>
      <c r="K208" s="207">
        <v>47.0</v>
      </c>
      <c r="L208" s="207">
        <v>59.0</v>
      </c>
      <c r="M208" s="207">
        <v>0.53</v>
      </c>
      <c r="N208" s="207">
        <v>0.16</v>
      </c>
      <c r="O208" s="210">
        <f t="shared" si="3"/>
        <v>0.67</v>
      </c>
      <c r="P208" s="214" t="str">
        <f t="shared" si="4"/>
        <v>OptionStrat</v>
      </c>
      <c r="Q208" s="213" t="str">
        <f t="shared" si="5"/>
        <v>TSLA 390/530 Dec28</v>
      </c>
    </row>
    <row r="209">
      <c r="A209" s="196" t="s">
        <v>60</v>
      </c>
      <c r="B209" s="197">
        <v>47102.0</v>
      </c>
      <c r="C209" s="198">
        <v>320.0</v>
      </c>
      <c r="D209" s="198">
        <v>400.0</v>
      </c>
      <c r="E209" s="198">
        <v>80.0</v>
      </c>
      <c r="F209" s="199">
        <v>31.65</v>
      </c>
      <c r="G209" s="200">
        <f t="shared" si="1"/>
        <v>48.35</v>
      </c>
      <c r="H209" s="201">
        <f t="shared" si="2"/>
        <v>1.52764613</v>
      </c>
      <c r="I209" s="202">
        <v>0.82</v>
      </c>
      <c r="J209" s="202">
        <v>0.75</v>
      </c>
      <c r="K209" s="198">
        <v>41.0</v>
      </c>
      <c r="L209" s="198">
        <v>331.0</v>
      </c>
      <c r="M209" s="198">
        <v>1.16</v>
      </c>
      <c r="N209" s="198">
        <v>0.15</v>
      </c>
      <c r="O209" s="201">
        <f t="shared" si="3"/>
        <v>0.64</v>
      </c>
      <c r="P209" s="203" t="str">
        <f t="shared" si="4"/>
        <v>OptionStrat</v>
      </c>
      <c r="Q209" s="204" t="str">
        <f t="shared" si="5"/>
        <v>TSLA 320/400 Dec28</v>
      </c>
    </row>
    <row r="210">
      <c r="A210" s="205" t="s">
        <v>60</v>
      </c>
      <c r="B210" s="206">
        <v>47102.0</v>
      </c>
      <c r="C210" s="207">
        <v>390.0</v>
      </c>
      <c r="D210" s="207">
        <v>470.0</v>
      </c>
      <c r="E210" s="207">
        <v>80.0</v>
      </c>
      <c r="F210" s="208">
        <v>27.38</v>
      </c>
      <c r="G210" s="209">
        <f t="shared" si="1"/>
        <v>52.62</v>
      </c>
      <c r="H210" s="210">
        <f t="shared" si="2"/>
        <v>1.92184076</v>
      </c>
      <c r="I210" s="211">
        <v>0.76</v>
      </c>
      <c r="J210" s="211">
        <v>0.69</v>
      </c>
      <c r="K210" s="207">
        <v>47.0</v>
      </c>
      <c r="L210" s="207">
        <v>71.0</v>
      </c>
      <c r="M210" s="207">
        <v>0.58</v>
      </c>
      <c r="N210" s="207">
        <v>0.2</v>
      </c>
      <c r="O210" s="210">
        <f t="shared" si="3"/>
        <v>0.65</v>
      </c>
      <c r="P210" s="214" t="str">
        <f t="shared" si="4"/>
        <v>OptionStrat</v>
      </c>
      <c r="Q210" s="213" t="str">
        <f t="shared" si="5"/>
        <v>TSLA 390/470 Dec28</v>
      </c>
    </row>
    <row r="211">
      <c r="A211" s="196" t="s">
        <v>60</v>
      </c>
      <c r="B211" s="197">
        <v>47102.0</v>
      </c>
      <c r="C211" s="198">
        <v>300.0</v>
      </c>
      <c r="D211" s="198">
        <v>320.0</v>
      </c>
      <c r="E211" s="198">
        <v>20.0</v>
      </c>
      <c r="F211" s="199">
        <v>7.12</v>
      </c>
      <c r="G211" s="200">
        <f t="shared" si="1"/>
        <v>12.88</v>
      </c>
      <c r="H211" s="201">
        <f t="shared" si="2"/>
        <v>1.808988764</v>
      </c>
      <c r="I211" s="202">
        <v>0.84</v>
      </c>
      <c r="J211" s="202">
        <v>0.82</v>
      </c>
      <c r="K211" s="198">
        <v>135.0</v>
      </c>
      <c r="L211" s="198">
        <v>41.0</v>
      </c>
      <c r="M211" s="198">
        <v>0.74</v>
      </c>
      <c r="N211" s="198">
        <v>0.16</v>
      </c>
      <c r="O211" s="201">
        <f t="shared" si="3"/>
        <v>0.62</v>
      </c>
      <c r="P211" s="215" t="str">
        <f t="shared" si="4"/>
        <v>OptionStrat</v>
      </c>
      <c r="Q211" s="204" t="str">
        <f t="shared" si="5"/>
        <v>TSLA 300/320 Dec28</v>
      </c>
    </row>
    <row r="212">
      <c r="A212" s="205" t="s">
        <v>60</v>
      </c>
      <c r="B212" s="206">
        <v>47102.0</v>
      </c>
      <c r="C212" s="207">
        <v>300.0</v>
      </c>
      <c r="D212" s="207">
        <v>380.0</v>
      </c>
      <c r="E212" s="207">
        <v>80.0</v>
      </c>
      <c r="F212" s="208">
        <v>32.73</v>
      </c>
      <c r="G212" s="209">
        <f t="shared" si="1"/>
        <v>47.27</v>
      </c>
      <c r="H212" s="210">
        <f t="shared" si="2"/>
        <v>1.444240758</v>
      </c>
      <c r="I212" s="211">
        <v>0.84</v>
      </c>
      <c r="J212" s="211">
        <v>0.77</v>
      </c>
      <c r="K212" s="207">
        <v>135.0</v>
      </c>
      <c r="L212" s="207">
        <v>94.0</v>
      </c>
      <c r="M212" s="207">
        <v>1.13</v>
      </c>
      <c r="N212" s="207">
        <v>0.17</v>
      </c>
      <c r="O212" s="210">
        <f t="shared" si="3"/>
        <v>0.63</v>
      </c>
      <c r="P212" s="214" t="str">
        <f t="shared" si="4"/>
        <v>OptionStrat</v>
      </c>
      <c r="Q212" s="213" t="str">
        <f t="shared" si="5"/>
        <v>TSLA 300/380 Dec28</v>
      </c>
    </row>
    <row r="213">
      <c r="A213" s="196" t="s">
        <v>60</v>
      </c>
      <c r="B213" s="197">
        <v>47102.0</v>
      </c>
      <c r="C213" s="198">
        <v>380.0</v>
      </c>
      <c r="D213" s="198">
        <v>460.0</v>
      </c>
      <c r="E213" s="198">
        <v>80.0</v>
      </c>
      <c r="F213" s="199">
        <v>27.48</v>
      </c>
      <c r="G213" s="200">
        <f t="shared" si="1"/>
        <v>52.52</v>
      </c>
      <c r="H213" s="201">
        <f t="shared" si="2"/>
        <v>1.911208151</v>
      </c>
      <c r="I213" s="202">
        <v>0.77</v>
      </c>
      <c r="J213" s="202">
        <v>0.7</v>
      </c>
      <c r="K213" s="198">
        <v>94.0</v>
      </c>
      <c r="L213" s="198">
        <v>73.0</v>
      </c>
      <c r="M213" s="198">
        <v>0.83</v>
      </c>
      <c r="N213" s="198">
        <v>0.13</v>
      </c>
      <c r="O213" s="201">
        <f t="shared" si="3"/>
        <v>0.63</v>
      </c>
      <c r="P213" s="203" t="str">
        <f t="shared" si="4"/>
        <v>OptionStrat</v>
      </c>
      <c r="Q213" s="204" t="str">
        <f t="shared" si="5"/>
        <v>TSLA 380/460 Dec28</v>
      </c>
    </row>
    <row r="214">
      <c r="A214" s="205" t="s">
        <v>60</v>
      </c>
      <c r="B214" s="206">
        <v>47102.0</v>
      </c>
      <c r="C214" s="207">
        <v>380.0</v>
      </c>
      <c r="D214" s="207">
        <v>510.0</v>
      </c>
      <c r="E214" s="207">
        <v>130.0</v>
      </c>
      <c r="F214" s="208">
        <v>41.64</v>
      </c>
      <c r="G214" s="209">
        <f t="shared" si="1"/>
        <v>88.36</v>
      </c>
      <c r="H214" s="210">
        <f t="shared" si="2"/>
        <v>2.121998079</v>
      </c>
      <c r="I214" s="211">
        <v>0.77</v>
      </c>
      <c r="J214" s="211">
        <v>0.66</v>
      </c>
      <c r="K214" s="207">
        <v>94.0</v>
      </c>
      <c r="L214" s="207">
        <v>26.0</v>
      </c>
      <c r="M214" s="207">
        <v>0.49</v>
      </c>
      <c r="N214" s="207">
        <v>0.18</v>
      </c>
      <c r="O214" s="210">
        <f t="shared" si="3"/>
        <v>0.63</v>
      </c>
      <c r="P214" s="212" t="str">
        <f t="shared" si="4"/>
        <v>OptionStrat</v>
      </c>
      <c r="Q214" s="213" t="str">
        <f t="shared" si="5"/>
        <v>TSLA 380/510 Dec28</v>
      </c>
    </row>
    <row r="215">
      <c r="A215" s="196" t="s">
        <v>60</v>
      </c>
      <c r="B215" s="197">
        <v>47102.0</v>
      </c>
      <c r="C215" s="198">
        <v>300.0</v>
      </c>
      <c r="D215" s="198">
        <v>310.0</v>
      </c>
      <c r="E215" s="198">
        <v>10.0</v>
      </c>
      <c r="F215" s="199">
        <v>4.21</v>
      </c>
      <c r="G215" s="200">
        <f t="shared" si="1"/>
        <v>5.79</v>
      </c>
      <c r="H215" s="201">
        <f t="shared" si="2"/>
        <v>1.375296912</v>
      </c>
      <c r="I215" s="202">
        <v>0.84</v>
      </c>
      <c r="J215" s="202">
        <v>0.83</v>
      </c>
      <c r="K215" s="198">
        <v>135.0</v>
      </c>
      <c r="L215" s="198">
        <v>62.0</v>
      </c>
      <c r="M215" s="198">
        <v>0.91</v>
      </c>
      <c r="N215" s="198">
        <v>0.21</v>
      </c>
      <c r="O215" s="201">
        <f t="shared" si="3"/>
        <v>0.6</v>
      </c>
      <c r="P215" s="203" t="str">
        <f t="shared" si="4"/>
        <v>OptionStrat</v>
      </c>
      <c r="Q215" s="204" t="str">
        <f t="shared" si="5"/>
        <v>TSLA 300/310 Dec28</v>
      </c>
    </row>
    <row r="216">
      <c r="A216" s="205" t="s">
        <v>60</v>
      </c>
      <c r="B216" s="206">
        <v>47102.0</v>
      </c>
      <c r="C216" s="207">
        <v>300.0</v>
      </c>
      <c r="D216" s="207">
        <v>350.0</v>
      </c>
      <c r="E216" s="207">
        <v>50.0</v>
      </c>
      <c r="F216" s="208">
        <v>21.22</v>
      </c>
      <c r="G216" s="209">
        <f t="shared" si="1"/>
        <v>28.78</v>
      </c>
      <c r="H216" s="210">
        <f t="shared" si="2"/>
        <v>1.356267672</v>
      </c>
      <c r="I216" s="211">
        <v>0.84</v>
      </c>
      <c r="J216" s="211">
        <v>0.79</v>
      </c>
      <c r="K216" s="207">
        <v>135.0</v>
      </c>
      <c r="L216" s="207">
        <v>81.0</v>
      </c>
      <c r="M216" s="207">
        <v>1.05</v>
      </c>
      <c r="N216" s="207">
        <v>0.19</v>
      </c>
      <c r="O216" s="210">
        <f t="shared" si="3"/>
        <v>0.61</v>
      </c>
      <c r="P216" s="214" t="str">
        <f t="shared" si="4"/>
        <v>OptionStrat</v>
      </c>
      <c r="Q216" s="213" t="str">
        <f t="shared" si="5"/>
        <v>TSLA 300/350 Dec28</v>
      </c>
    </row>
    <row r="217">
      <c r="A217" s="196" t="s">
        <v>60</v>
      </c>
      <c r="B217" s="197">
        <v>47102.0</v>
      </c>
      <c r="C217" s="198">
        <v>320.0</v>
      </c>
      <c r="D217" s="198">
        <v>430.0</v>
      </c>
      <c r="E217" s="198">
        <v>110.0</v>
      </c>
      <c r="F217" s="199">
        <v>42.99</v>
      </c>
      <c r="G217" s="200">
        <f t="shared" si="1"/>
        <v>67.01</v>
      </c>
      <c r="H217" s="201">
        <f t="shared" si="2"/>
        <v>1.558734589</v>
      </c>
      <c r="I217" s="202">
        <v>0.82</v>
      </c>
      <c r="J217" s="202">
        <v>0.72</v>
      </c>
      <c r="K217" s="198">
        <v>41.0</v>
      </c>
      <c r="L217" s="198">
        <v>183.0</v>
      </c>
      <c r="M217" s="198">
        <v>0.87</v>
      </c>
      <c r="N217" s="198">
        <v>0.17</v>
      </c>
      <c r="O217" s="201">
        <f t="shared" si="3"/>
        <v>0.6</v>
      </c>
      <c r="P217" s="203" t="str">
        <f t="shared" si="4"/>
        <v>OptionStrat</v>
      </c>
      <c r="Q217" s="204" t="str">
        <f t="shared" si="5"/>
        <v>TSLA 320/430 Dec28</v>
      </c>
    </row>
    <row r="218">
      <c r="A218" s="205" t="s">
        <v>60</v>
      </c>
      <c r="B218" s="206">
        <v>47102.0</v>
      </c>
      <c r="C218" s="207">
        <v>350.0</v>
      </c>
      <c r="D218" s="207">
        <v>390.0</v>
      </c>
      <c r="E218" s="207">
        <v>40.0</v>
      </c>
      <c r="F218" s="208">
        <v>13.9</v>
      </c>
      <c r="G218" s="209">
        <f t="shared" si="1"/>
        <v>26.1</v>
      </c>
      <c r="H218" s="210">
        <f t="shared" si="2"/>
        <v>1.877697842</v>
      </c>
      <c r="I218" s="211">
        <v>0.79</v>
      </c>
      <c r="J218" s="211">
        <v>0.76</v>
      </c>
      <c r="K218" s="207">
        <v>81.0</v>
      </c>
      <c r="L218" s="207">
        <v>47.0</v>
      </c>
      <c r="M218" s="207">
        <v>0.62</v>
      </c>
      <c r="N218" s="207">
        <v>0.17</v>
      </c>
      <c r="O218" s="210">
        <f t="shared" si="3"/>
        <v>0.61</v>
      </c>
      <c r="P218" s="212" t="str">
        <f t="shared" si="4"/>
        <v>OptionStrat</v>
      </c>
      <c r="Q218" s="213" t="str">
        <f t="shared" si="5"/>
        <v>TSLA 350/390 Dec28</v>
      </c>
    </row>
    <row r="219">
      <c r="A219" s="196" t="s">
        <v>60</v>
      </c>
      <c r="B219" s="197">
        <v>47102.0</v>
      </c>
      <c r="C219" s="198">
        <v>290.0</v>
      </c>
      <c r="D219" s="198">
        <v>400.0</v>
      </c>
      <c r="E219" s="198">
        <v>110.0</v>
      </c>
      <c r="F219" s="199">
        <v>46.01</v>
      </c>
      <c r="G219" s="200">
        <f t="shared" si="1"/>
        <v>63.99</v>
      </c>
      <c r="H219" s="201">
        <f t="shared" si="2"/>
        <v>1.390784612</v>
      </c>
      <c r="I219" s="202">
        <v>0.84</v>
      </c>
      <c r="J219" s="202">
        <v>0.75</v>
      </c>
      <c r="K219" s="198">
        <v>42.0</v>
      </c>
      <c r="L219" s="198">
        <v>331.0</v>
      </c>
      <c r="M219" s="198">
        <v>1.18</v>
      </c>
      <c r="N219" s="198">
        <v>0.15</v>
      </c>
      <c r="O219" s="201">
        <f t="shared" si="3"/>
        <v>0.59</v>
      </c>
      <c r="P219" s="203" t="str">
        <f t="shared" si="4"/>
        <v>OptionStrat</v>
      </c>
      <c r="Q219" s="204" t="str">
        <f t="shared" si="5"/>
        <v>TSLA 290/400 Dec28</v>
      </c>
    </row>
    <row r="220">
      <c r="A220" s="205" t="s">
        <v>60</v>
      </c>
      <c r="B220" s="206">
        <v>47102.0</v>
      </c>
      <c r="C220" s="207">
        <v>310.0</v>
      </c>
      <c r="D220" s="207">
        <v>380.0</v>
      </c>
      <c r="E220" s="207">
        <v>70.0</v>
      </c>
      <c r="F220" s="208">
        <v>27.44</v>
      </c>
      <c r="G220" s="209">
        <f t="shared" si="1"/>
        <v>42.56</v>
      </c>
      <c r="H220" s="210">
        <f t="shared" si="2"/>
        <v>1.551020408</v>
      </c>
      <c r="I220" s="211">
        <v>0.83</v>
      </c>
      <c r="J220" s="211">
        <v>0.77</v>
      </c>
      <c r="K220" s="207">
        <v>62.0</v>
      </c>
      <c r="L220" s="207">
        <v>94.0</v>
      </c>
      <c r="M220" s="207">
        <v>0.76</v>
      </c>
      <c r="N220" s="207">
        <v>0.19</v>
      </c>
      <c r="O220" s="210">
        <f t="shared" si="3"/>
        <v>0.59</v>
      </c>
      <c r="P220" s="214" t="str">
        <f t="shared" si="4"/>
        <v>OptionStrat</v>
      </c>
      <c r="Q220" s="213" t="str">
        <f t="shared" si="5"/>
        <v>TSLA 310/380 Dec28</v>
      </c>
    </row>
    <row r="221">
      <c r="A221" s="196" t="s">
        <v>60</v>
      </c>
      <c r="B221" s="197">
        <v>47102.0</v>
      </c>
      <c r="C221" s="198">
        <v>350.0</v>
      </c>
      <c r="D221" s="198">
        <v>410.0</v>
      </c>
      <c r="E221" s="198">
        <v>60.0</v>
      </c>
      <c r="F221" s="199">
        <v>21.28</v>
      </c>
      <c r="G221" s="200">
        <f t="shared" si="1"/>
        <v>38.72</v>
      </c>
      <c r="H221" s="201">
        <f t="shared" si="2"/>
        <v>1.819548872</v>
      </c>
      <c r="I221" s="202">
        <v>0.79</v>
      </c>
      <c r="J221" s="202">
        <v>0.74</v>
      </c>
      <c r="K221" s="198">
        <v>81.0</v>
      </c>
      <c r="L221" s="198">
        <v>50.0</v>
      </c>
      <c r="M221" s="198">
        <v>0.64</v>
      </c>
      <c r="N221" s="198">
        <v>0.17</v>
      </c>
      <c r="O221" s="201">
        <f t="shared" si="3"/>
        <v>0.6</v>
      </c>
      <c r="P221" s="215" t="str">
        <f t="shared" si="4"/>
        <v>OptionStrat</v>
      </c>
      <c r="Q221" s="204" t="str">
        <f t="shared" si="5"/>
        <v>TSLA 350/410 Dec28</v>
      </c>
    </row>
    <row r="222">
      <c r="A222" s="205" t="s">
        <v>60</v>
      </c>
      <c r="B222" s="206">
        <v>47102.0</v>
      </c>
      <c r="C222" s="207">
        <v>350.0</v>
      </c>
      <c r="D222" s="207">
        <v>460.0</v>
      </c>
      <c r="E222" s="207">
        <v>110.0</v>
      </c>
      <c r="F222" s="208">
        <v>39.27</v>
      </c>
      <c r="G222" s="209">
        <f t="shared" si="1"/>
        <v>70.73</v>
      </c>
      <c r="H222" s="210">
        <f t="shared" si="2"/>
        <v>1.801120448</v>
      </c>
      <c r="I222" s="211">
        <v>0.79</v>
      </c>
      <c r="J222" s="211">
        <v>0.7</v>
      </c>
      <c r="K222" s="207">
        <v>81.0</v>
      </c>
      <c r="L222" s="207">
        <v>73.0</v>
      </c>
      <c r="M222" s="207">
        <v>0.77</v>
      </c>
      <c r="N222" s="207">
        <v>0.14</v>
      </c>
      <c r="O222" s="210">
        <f t="shared" si="3"/>
        <v>0.59</v>
      </c>
      <c r="P222" s="214" t="str">
        <f t="shared" si="4"/>
        <v>OptionStrat</v>
      </c>
      <c r="Q222" s="213" t="str">
        <f t="shared" si="5"/>
        <v>TSLA 350/460 Dec28</v>
      </c>
    </row>
    <row r="223">
      <c r="A223" s="196" t="s">
        <v>60</v>
      </c>
      <c r="B223" s="197">
        <v>47102.0</v>
      </c>
      <c r="C223" s="198">
        <v>310.0</v>
      </c>
      <c r="D223" s="198">
        <v>350.0</v>
      </c>
      <c r="E223" s="198">
        <v>40.0</v>
      </c>
      <c r="F223" s="199">
        <v>15.93</v>
      </c>
      <c r="G223" s="200">
        <f t="shared" si="1"/>
        <v>24.07</v>
      </c>
      <c r="H223" s="201">
        <f t="shared" si="2"/>
        <v>1.510985562</v>
      </c>
      <c r="I223" s="202">
        <v>0.83</v>
      </c>
      <c r="J223" s="202">
        <v>0.79</v>
      </c>
      <c r="K223" s="198">
        <v>62.0</v>
      </c>
      <c r="L223" s="198">
        <v>81.0</v>
      </c>
      <c r="M223" s="198">
        <v>0.71</v>
      </c>
      <c r="N223" s="198">
        <v>0.21</v>
      </c>
      <c r="O223" s="201">
        <f t="shared" si="3"/>
        <v>0.58</v>
      </c>
      <c r="P223" s="203" t="str">
        <f t="shared" si="4"/>
        <v>OptionStrat</v>
      </c>
      <c r="Q223" s="204" t="str">
        <f t="shared" si="5"/>
        <v>TSLA 310/350 Dec28</v>
      </c>
    </row>
    <row r="224">
      <c r="A224" s="205" t="s">
        <v>60</v>
      </c>
      <c r="B224" s="206">
        <v>47102.0</v>
      </c>
      <c r="C224" s="207">
        <v>410.0</v>
      </c>
      <c r="D224" s="207">
        <v>460.0</v>
      </c>
      <c r="E224" s="207">
        <v>50.0</v>
      </c>
      <c r="F224" s="208">
        <v>16.26</v>
      </c>
      <c r="G224" s="209">
        <f t="shared" si="1"/>
        <v>33.74</v>
      </c>
      <c r="H224" s="210">
        <f t="shared" si="2"/>
        <v>2.07503075</v>
      </c>
      <c r="I224" s="211">
        <v>0.74</v>
      </c>
      <c r="J224" s="211">
        <v>0.7</v>
      </c>
      <c r="K224" s="207">
        <v>50.0</v>
      </c>
      <c r="L224" s="207">
        <v>73.0</v>
      </c>
      <c r="M224" s="207">
        <v>0.6</v>
      </c>
      <c r="N224" s="207">
        <v>0.13</v>
      </c>
      <c r="O224" s="210">
        <f t="shared" si="3"/>
        <v>0.58</v>
      </c>
      <c r="P224" s="214" t="str">
        <f t="shared" si="4"/>
        <v>OptionStrat</v>
      </c>
      <c r="Q224" s="213" t="str">
        <f t="shared" si="5"/>
        <v>TSLA 410/460 Dec28</v>
      </c>
    </row>
    <row r="225">
      <c r="A225" s="196" t="s">
        <v>60</v>
      </c>
      <c r="B225" s="197">
        <v>47102.0</v>
      </c>
      <c r="C225" s="198">
        <v>410.0</v>
      </c>
      <c r="D225" s="198">
        <v>510.0</v>
      </c>
      <c r="E225" s="198">
        <v>100.0</v>
      </c>
      <c r="F225" s="199">
        <v>30.42</v>
      </c>
      <c r="G225" s="200">
        <f t="shared" si="1"/>
        <v>69.58</v>
      </c>
      <c r="H225" s="201">
        <f t="shared" si="2"/>
        <v>2.28731098</v>
      </c>
      <c r="I225" s="202">
        <v>0.74</v>
      </c>
      <c r="J225" s="202">
        <v>0.66</v>
      </c>
      <c r="K225" s="198">
        <v>50.0</v>
      </c>
      <c r="L225" s="198">
        <v>26.0</v>
      </c>
      <c r="M225" s="198">
        <v>0.36</v>
      </c>
      <c r="N225" s="198">
        <v>0.18</v>
      </c>
      <c r="O225" s="201">
        <f t="shared" si="3"/>
        <v>0.58</v>
      </c>
      <c r="P225" s="203" t="str">
        <f t="shared" si="4"/>
        <v>OptionStrat</v>
      </c>
      <c r="Q225" s="204" t="str">
        <f t="shared" si="5"/>
        <v>TSLA 410/510 Dec28</v>
      </c>
    </row>
    <row r="226">
      <c r="A226" s="205" t="s">
        <v>60</v>
      </c>
      <c r="B226" s="206">
        <v>47102.0</v>
      </c>
      <c r="C226" s="207">
        <v>300.0</v>
      </c>
      <c r="D226" s="207">
        <v>410.0</v>
      </c>
      <c r="E226" s="207">
        <v>110.0</v>
      </c>
      <c r="F226" s="208">
        <v>43.96</v>
      </c>
      <c r="G226" s="209">
        <f t="shared" si="1"/>
        <v>66.04</v>
      </c>
      <c r="H226" s="210">
        <f t="shared" si="2"/>
        <v>1.502274795</v>
      </c>
      <c r="I226" s="211">
        <v>0.84</v>
      </c>
      <c r="J226" s="211">
        <v>0.74</v>
      </c>
      <c r="K226" s="207">
        <v>135.0</v>
      </c>
      <c r="L226" s="207">
        <v>50.0</v>
      </c>
      <c r="M226" s="207">
        <v>0.82</v>
      </c>
      <c r="N226" s="207">
        <v>0.17</v>
      </c>
      <c r="O226" s="210">
        <f t="shared" si="3"/>
        <v>0.56</v>
      </c>
      <c r="P226" s="214" t="str">
        <f t="shared" si="4"/>
        <v>OptionStrat</v>
      </c>
      <c r="Q226" s="213" t="str">
        <f t="shared" si="5"/>
        <v>TSLA 300/410 Dec28</v>
      </c>
    </row>
    <row r="227">
      <c r="A227" s="196" t="s">
        <v>60</v>
      </c>
      <c r="B227" s="197">
        <v>47102.0</v>
      </c>
      <c r="C227" s="198">
        <v>320.0</v>
      </c>
      <c r="D227" s="198">
        <v>440.0</v>
      </c>
      <c r="E227" s="198">
        <v>120.0</v>
      </c>
      <c r="F227" s="199">
        <v>46.9</v>
      </c>
      <c r="G227" s="200">
        <f t="shared" si="1"/>
        <v>73.1</v>
      </c>
      <c r="H227" s="201">
        <f t="shared" si="2"/>
        <v>1.558635394</v>
      </c>
      <c r="I227" s="202">
        <v>0.82</v>
      </c>
      <c r="J227" s="202">
        <v>0.72</v>
      </c>
      <c r="K227" s="198">
        <v>41.0</v>
      </c>
      <c r="L227" s="198">
        <v>132.0</v>
      </c>
      <c r="M227" s="198">
        <v>0.74</v>
      </c>
      <c r="N227" s="198">
        <v>0.17</v>
      </c>
      <c r="O227" s="201">
        <f t="shared" si="3"/>
        <v>0.55</v>
      </c>
      <c r="P227" s="203" t="str">
        <f t="shared" si="4"/>
        <v>OptionStrat</v>
      </c>
      <c r="Q227" s="204" t="str">
        <f t="shared" si="5"/>
        <v>TSLA 320/440 Dec28</v>
      </c>
    </row>
    <row r="228">
      <c r="A228" s="205" t="s">
        <v>60</v>
      </c>
      <c r="B228" s="206">
        <v>47102.0</v>
      </c>
      <c r="C228" s="207">
        <v>320.0</v>
      </c>
      <c r="D228" s="207">
        <v>360.0</v>
      </c>
      <c r="E228" s="207">
        <v>40.0</v>
      </c>
      <c r="F228" s="208">
        <v>16.62</v>
      </c>
      <c r="G228" s="209">
        <f t="shared" si="1"/>
        <v>23.38</v>
      </c>
      <c r="H228" s="210">
        <f t="shared" si="2"/>
        <v>1.406738869</v>
      </c>
      <c r="I228" s="211">
        <v>0.82</v>
      </c>
      <c r="J228" s="211">
        <v>0.78</v>
      </c>
      <c r="K228" s="207">
        <v>41.0</v>
      </c>
      <c r="L228" s="207">
        <v>205.0</v>
      </c>
      <c r="M228" s="207">
        <v>0.92</v>
      </c>
      <c r="N228" s="207">
        <v>0.16</v>
      </c>
      <c r="O228" s="210">
        <f t="shared" si="3"/>
        <v>0.54</v>
      </c>
      <c r="P228" s="214" t="str">
        <f t="shared" si="4"/>
        <v>OptionStrat</v>
      </c>
      <c r="Q228" s="213" t="str">
        <f t="shared" si="5"/>
        <v>TSLA 320/360 Dec28</v>
      </c>
    </row>
    <row r="229">
      <c r="A229" s="196" t="s">
        <v>60</v>
      </c>
      <c r="B229" s="197">
        <v>47102.0</v>
      </c>
      <c r="C229" s="198">
        <v>390.0</v>
      </c>
      <c r="D229" s="198">
        <v>460.0</v>
      </c>
      <c r="E229" s="198">
        <v>70.0</v>
      </c>
      <c r="F229" s="199">
        <v>23.63</v>
      </c>
      <c r="G229" s="200">
        <f t="shared" si="1"/>
        <v>46.37</v>
      </c>
      <c r="H229" s="201">
        <f t="shared" si="2"/>
        <v>1.962336014</v>
      </c>
      <c r="I229" s="202">
        <v>0.76</v>
      </c>
      <c r="J229" s="202">
        <v>0.7</v>
      </c>
      <c r="K229" s="198">
        <v>47.0</v>
      </c>
      <c r="L229" s="198">
        <v>73.0</v>
      </c>
      <c r="M229" s="198">
        <v>0.59</v>
      </c>
      <c r="N229" s="198">
        <v>0.13</v>
      </c>
      <c r="O229" s="201">
        <f t="shared" si="3"/>
        <v>0.54</v>
      </c>
      <c r="P229" s="203" t="str">
        <f t="shared" si="4"/>
        <v>OptionStrat</v>
      </c>
      <c r="Q229" s="204" t="str">
        <f t="shared" si="5"/>
        <v>TSLA 390/460 Dec28</v>
      </c>
    </row>
    <row r="230">
      <c r="A230" s="205" t="s">
        <v>60</v>
      </c>
      <c r="B230" s="206">
        <v>47102.0</v>
      </c>
      <c r="C230" s="207">
        <v>390.0</v>
      </c>
      <c r="D230" s="207">
        <v>510.0</v>
      </c>
      <c r="E230" s="207">
        <v>120.0</v>
      </c>
      <c r="F230" s="208">
        <v>37.79</v>
      </c>
      <c r="G230" s="209">
        <f t="shared" si="1"/>
        <v>82.21</v>
      </c>
      <c r="H230" s="210">
        <f t="shared" si="2"/>
        <v>2.175443239</v>
      </c>
      <c r="I230" s="211">
        <v>0.76</v>
      </c>
      <c r="J230" s="211">
        <v>0.66</v>
      </c>
      <c r="K230" s="207">
        <v>47.0</v>
      </c>
      <c r="L230" s="207">
        <v>26.0</v>
      </c>
      <c r="M230" s="207">
        <v>0.35</v>
      </c>
      <c r="N230" s="207">
        <v>0.18</v>
      </c>
      <c r="O230" s="210">
        <f t="shared" si="3"/>
        <v>0.55</v>
      </c>
      <c r="P230" s="214" t="str">
        <f t="shared" si="4"/>
        <v>OptionStrat</v>
      </c>
      <c r="Q230" s="213" t="str">
        <f t="shared" si="5"/>
        <v>TSLA 390/510 Dec28</v>
      </c>
    </row>
    <row r="231">
      <c r="A231" s="196" t="s">
        <v>60</v>
      </c>
      <c r="B231" s="197">
        <v>47102.0</v>
      </c>
      <c r="C231" s="198">
        <v>300.0</v>
      </c>
      <c r="D231" s="198">
        <v>390.0</v>
      </c>
      <c r="E231" s="198">
        <v>90.0</v>
      </c>
      <c r="F231" s="199">
        <v>36.58</v>
      </c>
      <c r="G231" s="200">
        <f t="shared" si="1"/>
        <v>53.42</v>
      </c>
      <c r="H231" s="201">
        <f t="shared" si="2"/>
        <v>1.460360853</v>
      </c>
      <c r="I231" s="202">
        <v>0.84</v>
      </c>
      <c r="J231" s="202">
        <v>0.76</v>
      </c>
      <c r="K231" s="198">
        <v>135.0</v>
      </c>
      <c r="L231" s="198">
        <v>47.0</v>
      </c>
      <c r="M231" s="198">
        <v>0.8</v>
      </c>
      <c r="N231" s="198">
        <v>0.17</v>
      </c>
      <c r="O231" s="201">
        <f t="shared" si="3"/>
        <v>0.54</v>
      </c>
      <c r="P231" s="203" t="str">
        <f t="shared" si="4"/>
        <v>OptionStrat</v>
      </c>
      <c r="Q231" s="204" t="str">
        <f t="shared" si="5"/>
        <v>TSLA 300/390 Dec28</v>
      </c>
    </row>
    <row r="232">
      <c r="A232" s="205" t="s">
        <v>60</v>
      </c>
      <c r="B232" s="206">
        <v>47102.0</v>
      </c>
      <c r="C232" s="207">
        <v>320.0</v>
      </c>
      <c r="D232" s="207">
        <v>420.0</v>
      </c>
      <c r="E232" s="207">
        <v>100.0</v>
      </c>
      <c r="F232" s="208">
        <v>39.97</v>
      </c>
      <c r="G232" s="209">
        <f t="shared" si="1"/>
        <v>60.03</v>
      </c>
      <c r="H232" s="210">
        <f t="shared" si="2"/>
        <v>1.501876407</v>
      </c>
      <c r="I232" s="211">
        <v>0.82</v>
      </c>
      <c r="J232" s="211">
        <v>0.73</v>
      </c>
      <c r="K232" s="207">
        <v>41.0</v>
      </c>
      <c r="L232" s="207">
        <v>123.0</v>
      </c>
      <c r="M232" s="207">
        <v>0.71</v>
      </c>
      <c r="N232" s="207">
        <v>0.18</v>
      </c>
      <c r="O232" s="210">
        <f t="shared" si="3"/>
        <v>0.54</v>
      </c>
      <c r="P232" s="214" t="str">
        <f t="shared" si="4"/>
        <v>OptionStrat</v>
      </c>
      <c r="Q232" s="213" t="str">
        <f t="shared" si="5"/>
        <v>TSLA 320/420 Dec28</v>
      </c>
    </row>
    <row r="233">
      <c r="A233" s="196" t="s">
        <v>60</v>
      </c>
      <c r="B233" s="197">
        <v>47102.0</v>
      </c>
      <c r="C233" s="198">
        <v>290.0</v>
      </c>
      <c r="D233" s="198">
        <v>300.0</v>
      </c>
      <c r="E233" s="198">
        <v>10.0</v>
      </c>
      <c r="F233" s="199">
        <v>4.03</v>
      </c>
      <c r="G233" s="200">
        <f t="shared" si="1"/>
        <v>5.97</v>
      </c>
      <c r="H233" s="201">
        <f t="shared" si="2"/>
        <v>1.481389578</v>
      </c>
      <c r="I233" s="202">
        <v>0.84</v>
      </c>
      <c r="J233" s="202">
        <v>0.84</v>
      </c>
      <c r="K233" s="198">
        <v>42.0</v>
      </c>
      <c r="L233" s="198">
        <v>135.0</v>
      </c>
      <c r="M233" s="198">
        <v>0.75</v>
      </c>
      <c r="N233" s="198">
        <v>0.17</v>
      </c>
      <c r="O233" s="201">
        <f t="shared" si="3"/>
        <v>0.53</v>
      </c>
      <c r="P233" s="215" t="str">
        <f t="shared" si="4"/>
        <v>OptionStrat</v>
      </c>
      <c r="Q233" s="204" t="str">
        <f t="shared" si="5"/>
        <v>TSLA 290/300 Dec28</v>
      </c>
    </row>
    <row r="234">
      <c r="A234" s="205" t="s">
        <v>60</v>
      </c>
      <c r="B234" s="206">
        <v>47102.0</v>
      </c>
      <c r="C234" s="207">
        <v>250.0</v>
      </c>
      <c r="D234" s="207">
        <v>300.0</v>
      </c>
      <c r="E234" s="207">
        <v>50.0</v>
      </c>
      <c r="F234" s="208">
        <v>25.34</v>
      </c>
      <c r="G234" s="209">
        <f t="shared" si="1"/>
        <v>24.66</v>
      </c>
      <c r="H234" s="210">
        <f t="shared" si="2"/>
        <v>0.9731649566</v>
      </c>
      <c r="I234" s="211">
        <v>0.88</v>
      </c>
      <c r="J234" s="211">
        <v>0.84</v>
      </c>
      <c r="K234" s="207">
        <v>224.0</v>
      </c>
      <c r="L234" s="207">
        <v>135.0</v>
      </c>
      <c r="M234" s="207">
        <v>1.74</v>
      </c>
      <c r="N234" s="207">
        <v>0.16</v>
      </c>
      <c r="O234" s="210">
        <f t="shared" si="3"/>
        <v>0.51</v>
      </c>
      <c r="P234" s="214" t="str">
        <f t="shared" si="4"/>
        <v>OptionStrat</v>
      </c>
      <c r="Q234" s="213" t="str">
        <f t="shared" si="5"/>
        <v>TSLA 250/300 Dec28</v>
      </c>
    </row>
    <row r="235">
      <c r="A235" s="196" t="s">
        <v>60</v>
      </c>
      <c r="B235" s="197">
        <v>47102.0</v>
      </c>
      <c r="C235" s="198">
        <v>310.0</v>
      </c>
      <c r="D235" s="198">
        <v>410.0</v>
      </c>
      <c r="E235" s="198">
        <v>100.0</v>
      </c>
      <c r="F235" s="199">
        <v>38.67</v>
      </c>
      <c r="G235" s="200">
        <f t="shared" si="1"/>
        <v>61.33</v>
      </c>
      <c r="H235" s="201">
        <f t="shared" si="2"/>
        <v>1.585983967</v>
      </c>
      <c r="I235" s="202">
        <v>0.83</v>
      </c>
      <c r="J235" s="202">
        <v>0.74</v>
      </c>
      <c r="K235" s="198">
        <v>62.0</v>
      </c>
      <c r="L235" s="198">
        <v>50.0</v>
      </c>
      <c r="M235" s="198">
        <v>0.56</v>
      </c>
      <c r="N235" s="198">
        <v>0.19</v>
      </c>
      <c r="O235" s="201">
        <f t="shared" si="3"/>
        <v>0.52</v>
      </c>
      <c r="P235" s="203" t="str">
        <f t="shared" si="4"/>
        <v>OptionStrat</v>
      </c>
      <c r="Q235" s="204" t="str">
        <f t="shared" si="5"/>
        <v>TSLA 310/410 Dec28</v>
      </c>
    </row>
    <row r="236">
      <c r="A236" s="205" t="s">
        <v>60</v>
      </c>
      <c r="B236" s="206">
        <v>47102.0</v>
      </c>
      <c r="C236" s="207">
        <v>250.0</v>
      </c>
      <c r="D236" s="207">
        <v>350.0</v>
      </c>
      <c r="E236" s="207">
        <v>100.0</v>
      </c>
      <c r="F236" s="208">
        <v>47.96</v>
      </c>
      <c r="G236" s="209">
        <f t="shared" si="1"/>
        <v>52.04</v>
      </c>
      <c r="H236" s="210">
        <f t="shared" si="2"/>
        <v>1.085070892</v>
      </c>
      <c r="I236" s="211">
        <v>0.88</v>
      </c>
      <c r="J236" s="211">
        <v>0.79</v>
      </c>
      <c r="K236" s="207">
        <v>224.0</v>
      </c>
      <c r="L236" s="207">
        <v>81.0</v>
      </c>
      <c r="M236" s="207">
        <v>1.35</v>
      </c>
      <c r="N236" s="207">
        <v>0.16</v>
      </c>
      <c r="O236" s="210">
        <f t="shared" si="3"/>
        <v>0.5</v>
      </c>
      <c r="P236" s="212" t="str">
        <f t="shared" si="4"/>
        <v>OptionStrat</v>
      </c>
      <c r="Q236" s="213" t="str">
        <f t="shared" si="5"/>
        <v>TSLA 250/350 Dec28</v>
      </c>
    </row>
    <row r="237">
      <c r="A237" s="196" t="s">
        <v>60</v>
      </c>
      <c r="B237" s="197">
        <v>47102.0</v>
      </c>
      <c r="C237" s="198">
        <v>290.0</v>
      </c>
      <c r="D237" s="198">
        <v>360.0</v>
      </c>
      <c r="E237" s="198">
        <v>70.0</v>
      </c>
      <c r="F237" s="199">
        <v>30.98</v>
      </c>
      <c r="G237" s="200">
        <f t="shared" si="1"/>
        <v>39.02</v>
      </c>
      <c r="H237" s="201">
        <f t="shared" si="2"/>
        <v>1.259522272</v>
      </c>
      <c r="I237" s="202">
        <v>0.84</v>
      </c>
      <c r="J237" s="202">
        <v>0.78</v>
      </c>
      <c r="K237" s="198">
        <v>42.0</v>
      </c>
      <c r="L237" s="198">
        <v>205.0</v>
      </c>
      <c r="M237" s="198">
        <v>0.93</v>
      </c>
      <c r="N237" s="198">
        <v>0.17</v>
      </c>
      <c r="O237" s="201">
        <f t="shared" si="3"/>
        <v>0.5</v>
      </c>
      <c r="P237" s="203" t="str">
        <f t="shared" si="4"/>
        <v>OptionStrat</v>
      </c>
      <c r="Q237" s="204" t="str">
        <f t="shared" si="5"/>
        <v>TSLA 290/360 Dec28</v>
      </c>
    </row>
    <row r="238">
      <c r="A238" s="205" t="s">
        <v>60</v>
      </c>
      <c r="B238" s="206">
        <v>47102.0</v>
      </c>
      <c r="C238" s="207">
        <v>310.0</v>
      </c>
      <c r="D238" s="207">
        <v>390.0</v>
      </c>
      <c r="E238" s="207">
        <v>80.0</v>
      </c>
      <c r="F238" s="208">
        <v>31.29</v>
      </c>
      <c r="G238" s="209">
        <f t="shared" si="1"/>
        <v>48.71</v>
      </c>
      <c r="H238" s="210">
        <f t="shared" si="2"/>
        <v>1.556727389</v>
      </c>
      <c r="I238" s="211">
        <v>0.83</v>
      </c>
      <c r="J238" s="211">
        <v>0.76</v>
      </c>
      <c r="K238" s="207">
        <v>62.0</v>
      </c>
      <c r="L238" s="207">
        <v>47.0</v>
      </c>
      <c r="M238" s="207">
        <v>0.54</v>
      </c>
      <c r="N238" s="207">
        <v>0.19</v>
      </c>
      <c r="O238" s="210">
        <f t="shared" si="3"/>
        <v>0.5</v>
      </c>
      <c r="P238" s="212" t="str">
        <f t="shared" si="4"/>
        <v>OptionStrat</v>
      </c>
      <c r="Q238" s="213" t="str">
        <f t="shared" si="5"/>
        <v>TSLA 310/390 Dec28</v>
      </c>
    </row>
    <row r="239">
      <c r="A239" s="196" t="s">
        <v>60</v>
      </c>
      <c r="B239" s="197">
        <v>47102.0</v>
      </c>
      <c r="C239" s="198">
        <v>320.0</v>
      </c>
      <c r="D239" s="198">
        <v>380.0</v>
      </c>
      <c r="E239" s="198">
        <v>60.0</v>
      </c>
      <c r="F239" s="199">
        <v>23.8</v>
      </c>
      <c r="G239" s="200">
        <f t="shared" si="1"/>
        <v>36.2</v>
      </c>
      <c r="H239" s="201">
        <f t="shared" si="2"/>
        <v>1.521008403</v>
      </c>
      <c r="I239" s="202">
        <v>0.82</v>
      </c>
      <c r="J239" s="202">
        <v>0.77</v>
      </c>
      <c r="K239" s="198">
        <v>41.0</v>
      </c>
      <c r="L239" s="198">
        <v>94.0</v>
      </c>
      <c r="M239" s="198">
        <v>0.62</v>
      </c>
      <c r="N239" s="198">
        <v>0.15</v>
      </c>
      <c r="O239" s="201">
        <f t="shared" si="3"/>
        <v>0.46</v>
      </c>
      <c r="P239" s="203" t="str">
        <f t="shared" si="4"/>
        <v>OptionStrat</v>
      </c>
      <c r="Q239" s="204" t="str">
        <f t="shared" si="5"/>
        <v>TSLA 320/380 Dec28</v>
      </c>
    </row>
    <row r="240">
      <c r="A240" s="205" t="s">
        <v>60</v>
      </c>
      <c r="B240" s="206">
        <v>47102.0</v>
      </c>
      <c r="C240" s="207">
        <v>320.0</v>
      </c>
      <c r="D240" s="207">
        <v>350.0</v>
      </c>
      <c r="E240" s="207">
        <v>30.0</v>
      </c>
      <c r="F240" s="208">
        <v>12.29</v>
      </c>
      <c r="G240" s="209">
        <f t="shared" si="1"/>
        <v>17.71</v>
      </c>
      <c r="H240" s="210">
        <f t="shared" si="2"/>
        <v>1.44100895</v>
      </c>
      <c r="I240" s="211">
        <v>0.82</v>
      </c>
      <c r="J240" s="211">
        <v>0.79</v>
      </c>
      <c r="K240" s="207">
        <v>41.0</v>
      </c>
      <c r="L240" s="207">
        <v>81.0</v>
      </c>
      <c r="M240" s="207">
        <v>0.58</v>
      </c>
      <c r="N240" s="207">
        <v>0.16</v>
      </c>
      <c r="O240" s="210">
        <f t="shared" si="3"/>
        <v>0.44</v>
      </c>
      <c r="P240" s="212" t="str">
        <f t="shared" si="4"/>
        <v>OptionStrat</v>
      </c>
      <c r="Q240" s="213" t="str">
        <f t="shared" si="5"/>
        <v>TSLA 320/350 Dec28</v>
      </c>
    </row>
    <row r="241">
      <c r="A241" s="196" t="s">
        <v>60</v>
      </c>
      <c r="B241" s="197">
        <v>47102.0</v>
      </c>
      <c r="C241" s="198">
        <v>250.0</v>
      </c>
      <c r="D241" s="198">
        <v>310.0</v>
      </c>
      <c r="E241" s="198">
        <v>60.0</v>
      </c>
      <c r="F241" s="199">
        <v>30.94</v>
      </c>
      <c r="G241" s="200">
        <f t="shared" si="1"/>
        <v>29.06</v>
      </c>
      <c r="H241" s="201">
        <f t="shared" si="2"/>
        <v>0.9392372334</v>
      </c>
      <c r="I241" s="202">
        <v>0.88</v>
      </c>
      <c r="J241" s="202">
        <v>0.83</v>
      </c>
      <c r="K241" s="198">
        <v>224.0</v>
      </c>
      <c r="L241" s="198">
        <v>62.0</v>
      </c>
      <c r="M241" s="198">
        <v>1.18</v>
      </c>
      <c r="N241" s="198">
        <v>0.18</v>
      </c>
      <c r="O241" s="201">
        <f t="shared" si="3"/>
        <v>0.43</v>
      </c>
      <c r="P241" s="215" t="str">
        <f t="shared" si="4"/>
        <v>OptionStrat</v>
      </c>
      <c r="Q241" s="204" t="str">
        <f t="shared" si="5"/>
        <v>TSLA 250/310 Dec28</v>
      </c>
    </row>
    <row r="242">
      <c r="A242" s="205" t="s">
        <v>60</v>
      </c>
      <c r="B242" s="206">
        <v>47102.0</v>
      </c>
      <c r="C242" s="207">
        <v>290.0</v>
      </c>
      <c r="D242" s="207">
        <v>380.0</v>
      </c>
      <c r="E242" s="207">
        <v>90.0</v>
      </c>
      <c r="F242" s="208">
        <v>38.16</v>
      </c>
      <c r="G242" s="209">
        <f t="shared" si="1"/>
        <v>51.84</v>
      </c>
      <c r="H242" s="210">
        <f t="shared" si="2"/>
        <v>1.358490566</v>
      </c>
      <c r="I242" s="211">
        <v>0.84</v>
      </c>
      <c r="J242" s="211">
        <v>0.77</v>
      </c>
      <c r="K242" s="207">
        <v>42.0</v>
      </c>
      <c r="L242" s="207">
        <v>94.0</v>
      </c>
      <c r="M242" s="207">
        <v>0.63</v>
      </c>
      <c r="N242" s="207">
        <v>0.15</v>
      </c>
      <c r="O242" s="210">
        <f t="shared" si="3"/>
        <v>0.42</v>
      </c>
      <c r="P242" s="214" t="str">
        <f t="shared" si="4"/>
        <v>OptionStrat</v>
      </c>
      <c r="Q242" s="213" t="str">
        <f t="shared" si="5"/>
        <v>TSLA 290/380 Dec28</v>
      </c>
    </row>
    <row r="243">
      <c r="A243" s="196" t="s">
        <v>60</v>
      </c>
      <c r="B243" s="197">
        <v>47102.0</v>
      </c>
      <c r="C243" s="198">
        <v>320.0</v>
      </c>
      <c r="D243" s="198">
        <v>410.0</v>
      </c>
      <c r="E243" s="198">
        <v>90.0</v>
      </c>
      <c r="F243" s="199">
        <v>35.03</v>
      </c>
      <c r="G243" s="200">
        <f t="shared" si="1"/>
        <v>54.97</v>
      </c>
      <c r="H243" s="201">
        <f t="shared" si="2"/>
        <v>1.569226377</v>
      </c>
      <c r="I243" s="202">
        <v>0.82</v>
      </c>
      <c r="J243" s="202">
        <v>0.74</v>
      </c>
      <c r="K243" s="198">
        <v>41.0</v>
      </c>
      <c r="L243" s="198">
        <v>50.0</v>
      </c>
      <c r="M243" s="198">
        <v>0.45</v>
      </c>
      <c r="N243" s="198">
        <v>0.15</v>
      </c>
      <c r="O243" s="201">
        <f t="shared" si="3"/>
        <v>0.41</v>
      </c>
      <c r="P243" s="215" t="str">
        <f t="shared" si="4"/>
        <v>OptionStrat</v>
      </c>
      <c r="Q243" s="204" t="str">
        <f t="shared" si="5"/>
        <v>TSLA 320/410 Dec28</v>
      </c>
    </row>
    <row r="244">
      <c r="A244" s="205" t="s">
        <v>60</v>
      </c>
      <c r="B244" s="206">
        <v>47102.0</v>
      </c>
      <c r="C244" s="207">
        <v>250.0</v>
      </c>
      <c r="D244" s="207">
        <v>290.0</v>
      </c>
      <c r="E244" s="207">
        <v>40.0</v>
      </c>
      <c r="F244" s="208">
        <v>19.52</v>
      </c>
      <c r="G244" s="209">
        <f t="shared" si="1"/>
        <v>20.48</v>
      </c>
      <c r="H244" s="210">
        <f t="shared" si="2"/>
        <v>1.049180328</v>
      </c>
      <c r="I244" s="211">
        <v>0.88</v>
      </c>
      <c r="J244" s="211">
        <v>0.84</v>
      </c>
      <c r="K244" s="207">
        <v>224.0</v>
      </c>
      <c r="L244" s="207">
        <v>42.0</v>
      </c>
      <c r="M244" s="207">
        <v>0.97</v>
      </c>
      <c r="N244" s="207">
        <v>0.14</v>
      </c>
      <c r="O244" s="210">
        <f t="shared" si="3"/>
        <v>0.39</v>
      </c>
      <c r="P244" s="214" t="str">
        <f t="shared" si="4"/>
        <v>OptionStrat</v>
      </c>
      <c r="Q244" s="213" t="str">
        <f t="shared" si="5"/>
        <v>TSLA 250/290 Dec28</v>
      </c>
    </row>
    <row r="245">
      <c r="A245" s="196" t="s">
        <v>60</v>
      </c>
      <c r="B245" s="197">
        <v>47102.0</v>
      </c>
      <c r="C245" s="198">
        <v>250.0</v>
      </c>
      <c r="D245" s="198">
        <v>320.0</v>
      </c>
      <c r="E245" s="198">
        <v>70.0</v>
      </c>
      <c r="F245" s="199">
        <v>33.86</v>
      </c>
      <c r="G245" s="200">
        <f t="shared" si="1"/>
        <v>36.14</v>
      </c>
      <c r="H245" s="201">
        <f t="shared" si="2"/>
        <v>1.06733609</v>
      </c>
      <c r="I245" s="202">
        <v>0.88</v>
      </c>
      <c r="J245" s="202">
        <v>0.82</v>
      </c>
      <c r="K245" s="198">
        <v>224.0</v>
      </c>
      <c r="L245" s="198">
        <v>41.0</v>
      </c>
      <c r="M245" s="198">
        <v>0.96</v>
      </c>
      <c r="N245" s="198">
        <v>0.14</v>
      </c>
      <c r="O245" s="201">
        <f t="shared" si="3"/>
        <v>0.39</v>
      </c>
      <c r="P245" s="215" t="str">
        <f t="shared" si="4"/>
        <v>OptionStrat</v>
      </c>
      <c r="Q245" s="204" t="str">
        <f t="shared" si="5"/>
        <v>TSLA 250/320 Dec28</v>
      </c>
    </row>
    <row r="246">
      <c r="A246" s="205" t="s">
        <v>60</v>
      </c>
      <c r="B246" s="206">
        <v>47102.0</v>
      </c>
      <c r="C246" s="207">
        <v>290.0</v>
      </c>
      <c r="D246" s="207">
        <v>350.0</v>
      </c>
      <c r="E246" s="207">
        <v>60.0</v>
      </c>
      <c r="F246" s="208">
        <v>26.66</v>
      </c>
      <c r="G246" s="209">
        <f t="shared" si="1"/>
        <v>33.34</v>
      </c>
      <c r="H246" s="210">
        <f t="shared" si="2"/>
        <v>1.250562641</v>
      </c>
      <c r="I246" s="211">
        <v>0.84</v>
      </c>
      <c r="J246" s="211">
        <v>0.79</v>
      </c>
      <c r="K246" s="207">
        <v>42.0</v>
      </c>
      <c r="L246" s="207">
        <v>81.0</v>
      </c>
      <c r="M246" s="207">
        <v>0.58</v>
      </c>
      <c r="N246" s="207">
        <v>0.16</v>
      </c>
      <c r="O246" s="210">
        <f t="shared" si="3"/>
        <v>0.38</v>
      </c>
      <c r="P246" s="212" t="str">
        <f t="shared" si="4"/>
        <v>OptionStrat</v>
      </c>
      <c r="Q246" s="213" t="str">
        <f t="shared" si="5"/>
        <v>TSLA 290/350 Dec28</v>
      </c>
    </row>
    <row r="247">
      <c r="A247" s="196" t="s">
        <v>60</v>
      </c>
      <c r="B247" s="197">
        <v>47102.0</v>
      </c>
      <c r="C247" s="198">
        <v>320.0</v>
      </c>
      <c r="D247" s="198">
        <v>390.0</v>
      </c>
      <c r="E247" s="198">
        <v>70.0</v>
      </c>
      <c r="F247" s="199">
        <v>27.65</v>
      </c>
      <c r="G247" s="200">
        <f t="shared" si="1"/>
        <v>42.35</v>
      </c>
      <c r="H247" s="201">
        <f t="shared" si="2"/>
        <v>1.53164557</v>
      </c>
      <c r="I247" s="202">
        <v>0.82</v>
      </c>
      <c r="J247" s="202">
        <v>0.76</v>
      </c>
      <c r="K247" s="198">
        <v>41.0</v>
      </c>
      <c r="L247" s="198">
        <v>47.0</v>
      </c>
      <c r="M247" s="198">
        <v>0.44</v>
      </c>
      <c r="N247" s="198">
        <v>0.15</v>
      </c>
      <c r="O247" s="201">
        <f t="shared" si="3"/>
        <v>0.39</v>
      </c>
      <c r="P247" s="203" t="str">
        <f t="shared" si="4"/>
        <v>OptionStrat</v>
      </c>
      <c r="Q247" s="204" t="str">
        <f t="shared" si="5"/>
        <v>TSLA 320/390 Dec28</v>
      </c>
    </row>
    <row r="248">
      <c r="A248" s="205" t="s">
        <v>60</v>
      </c>
      <c r="B248" s="206">
        <v>47102.0</v>
      </c>
      <c r="C248" s="207">
        <v>290.0</v>
      </c>
      <c r="D248" s="207">
        <v>410.0</v>
      </c>
      <c r="E248" s="207">
        <v>120.0</v>
      </c>
      <c r="F248" s="208">
        <v>49.39</v>
      </c>
      <c r="G248" s="209">
        <f t="shared" si="1"/>
        <v>70.61</v>
      </c>
      <c r="H248" s="210">
        <f t="shared" si="2"/>
        <v>1.429641628</v>
      </c>
      <c r="I248" s="211">
        <v>0.84</v>
      </c>
      <c r="J248" s="211">
        <v>0.74</v>
      </c>
      <c r="K248" s="207">
        <v>42.0</v>
      </c>
      <c r="L248" s="207">
        <v>50.0</v>
      </c>
      <c r="M248" s="207">
        <v>0.46</v>
      </c>
      <c r="N248" s="207">
        <v>0.15</v>
      </c>
      <c r="O248" s="210">
        <f t="shared" si="3"/>
        <v>0.38</v>
      </c>
      <c r="P248" s="214" t="str">
        <f t="shared" si="4"/>
        <v>OptionStrat</v>
      </c>
      <c r="Q248" s="213" t="str">
        <f t="shared" si="5"/>
        <v>TSLA 290/410 Dec28</v>
      </c>
    </row>
    <row r="249">
      <c r="A249" s="196" t="s">
        <v>60</v>
      </c>
      <c r="B249" s="197">
        <v>47102.0</v>
      </c>
      <c r="C249" s="198">
        <v>290.0</v>
      </c>
      <c r="D249" s="198">
        <v>390.0</v>
      </c>
      <c r="E249" s="198">
        <v>100.0</v>
      </c>
      <c r="F249" s="199">
        <v>42.01</v>
      </c>
      <c r="G249" s="200">
        <f t="shared" si="1"/>
        <v>57.99</v>
      </c>
      <c r="H249" s="201">
        <f t="shared" si="2"/>
        <v>1.380385622</v>
      </c>
      <c r="I249" s="202">
        <v>0.84</v>
      </c>
      <c r="J249" s="202">
        <v>0.76</v>
      </c>
      <c r="K249" s="198">
        <v>42.0</v>
      </c>
      <c r="L249" s="198">
        <v>47.0</v>
      </c>
      <c r="M249" s="198">
        <v>0.44</v>
      </c>
      <c r="N249" s="198">
        <v>0.15</v>
      </c>
      <c r="O249" s="201">
        <f t="shared" si="3"/>
        <v>0.35</v>
      </c>
      <c r="P249" s="203" t="str">
        <f t="shared" si="4"/>
        <v>OptionStrat</v>
      </c>
      <c r="Q249" s="204" t="str">
        <f t="shared" si="5"/>
        <v>TSLA 290/390 Dec28</v>
      </c>
    </row>
    <row r="250">
      <c r="A250" s="205" t="s">
        <v>60</v>
      </c>
      <c r="B250" s="206">
        <v>47102.0</v>
      </c>
      <c r="C250" s="207">
        <v>290.0</v>
      </c>
      <c r="D250" s="207">
        <v>320.0</v>
      </c>
      <c r="E250" s="207">
        <v>30.0</v>
      </c>
      <c r="F250" s="208">
        <v>12.55</v>
      </c>
      <c r="G250" s="209">
        <f t="shared" si="1"/>
        <v>17.45</v>
      </c>
      <c r="H250" s="210">
        <f t="shared" si="2"/>
        <v>1.390438247</v>
      </c>
      <c r="I250" s="211">
        <v>0.84</v>
      </c>
      <c r="J250" s="211">
        <v>0.82</v>
      </c>
      <c r="K250" s="207">
        <v>42.0</v>
      </c>
      <c r="L250" s="207">
        <v>41.0</v>
      </c>
      <c r="M250" s="207">
        <v>0.41</v>
      </c>
      <c r="N250" s="207">
        <v>0.15</v>
      </c>
      <c r="O250" s="210">
        <f t="shared" si="3"/>
        <v>0.34</v>
      </c>
      <c r="P250" s="214" t="str">
        <f t="shared" si="4"/>
        <v>OptionStrat</v>
      </c>
      <c r="Q250" s="213" t="str">
        <f t="shared" si="5"/>
        <v>TSLA 290/320 Dec28</v>
      </c>
    </row>
    <row r="251">
      <c r="A251" s="196" t="s">
        <v>60</v>
      </c>
      <c r="B251" s="197">
        <v>47102.0</v>
      </c>
      <c r="C251" s="198">
        <v>290.0</v>
      </c>
      <c r="D251" s="198">
        <v>310.0</v>
      </c>
      <c r="E251" s="198">
        <v>20.0</v>
      </c>
      <c r="F251" s="199">
        <v>9.64</v>
      </c>
      <c r="G251" s="200">
        <f t="shared" si="1"/>
        <v>10.36</v>
      </c>
      <c r="H251" s="201">
        <f t="shared" si="2"/>
        <v>1.074688797</v>
      </c>
      <c r="I251" s="202">
        <v>0.84</v>
      </c>
      <c r="J251" s="202">
        <v>0.83</v>
      </c>
      <c r="K251" s="198">
        <v>42.0</v>
      </c>
      <c r="L251" s="198">
        <v>62.0</v>
      </c>
      <c r="M251" s="198">
        <v>0.51</v>
      </c>
      <c r="N251" s="198">
        <v>0.18</v>
      </c>
      <c r="O251" s="201">
        <f t="shared" si="3"/>
        <v>0.33</v>
      </c>
      <c r="P251" s="203" t="str">
        <f t="shared" si="4"/>
        <v>OptionStrat</v>
      </c>
      <c r="Q251" s="204" t="str">
        <f t="shared" si="5"/>
        <v>TSLA 290/310 Dec28</v>
      </c>
    </row>
    <row r="252">
      <c r="A252" s="205" t="s">
        <v>60</v>
      </c>
      <c r="B252" s="206">
        <v>47102.0</v>
      </c>
      <c r="C252" s="207">
        <v>200.0</v>
      </c>
      <c r="D252" s="207">
        <v>250.0</v>
      </c>
      <c r="E252" s="207">
        <v>50.0</v>
      </c>
      <c r="F252" s="208">
        <v>26.6</v>
      </c>
      <c r="G252" s="209">
        <f t="shared" si="1"/>
        <v>23.4</v>
      </c>
      <c r="H252" s="210">
        <f t="shared" si="2"/>
        <v>0.8796992481</v>
      </c>
      <c r="I252" s="211">
        <v>0.91</v>
      </c>
      <c r="J252" s="211">
        <v>0.88</v>
      </c>
      <c r="K252" s="207">
        <v>54.0</v>
      </c>
      <c r="L252" s="207">
        <v>224.0</v>
      </c>
      <c r="M252" s="207">
        <v>1.1</v>
      </c>
      <c r="N252" s="207">
        <v>0.12</v>
      </c>
      <c r="O252" s="210">
        <f t="shared" si="3"/>
        <v>0.32</v>
      </c>
      <c r="P252" s="212" t="str">
        <f t="shared" si="4"/>
        <v>OptionStrat</v>
      </c>
      <c r="Q252" s="213" t="str">
        <f t="shared" si="5"/>
        <v>TSLA 200/250 Dec28</v>
      </c>
    </row>
    <row r="253">
      <c r="A253" s="196" t="s">
        <v>60</v>
      </c>
      <c r="B253" s="197">
        <v>47102.0</v>
      </c>
      <c r="C253" s="198">
        <v>180.0</v>
      </c>
      <c r="D253" s="198">
        <v>250.0</v>
      </c>
      <c r="E253" s="198">
        <v>70.0</v>
      </c>
      <c r="F253" s="199">
        <v>39.62</v>
      </c>
      <c r="G253" s="200">
        <f t="shared" si="1"/>
        <v>30.38</v>
      </c>
      <c r="H253" s="201">
        <f t="shared" si="2"/>
        <v>0.7667844523</v>
      </c>
      <c r="I253" s="202">
        <v>0.93</v>
      </c>
      <c r="J253" s="202">
        <v>0.88</v>
      </c>
      <c r="K253" s="198">
        <v>41.0</v>
      </c>
      <c r="L253" s="198">
        <v>224.0</v>
      </c>
      <c r="M253" s="198">
        <v>0.96</v>
      </c>
      <c r="N253" s="198">
        <v>0.12</v>
      </c>
      <c r="O253" s="201">
        <f t="shared" si="3"/>
        <v>0.26</v>
      </c>
      <c r="P253" s="203" t="str">
        <f t="shared" si="4"/>
        <v>OptionStrat</v>
      </c>
      <c r="Q253" s="204" t="str">
        <f t="shared" si="5"/>
        <v>TSLA 180/250 Dec28</v>
      </c>
    </row>
    <row r="254">
      <c r="A254" s="205" t="s">
        <v>60</v>
      </c>
      <c r="B254" s="206">
        <v>47102.0</v>
      </c>
      <c r="C254" s="207">
        <v>200.0</v>
      </c>
      <c r="D254" s="207">
        <v>290.0</v>
      </c>
      <c r="E254" s="207">
        <v>90.0</v>
      </c>
      <c r="F254" s="208">
        <v>48.05</v>
      </c>
      <c r="G254" s="209">
        <f t="shared" si="1"/>
        <v>41.95</v>
      </c>
      <c r="H254" s="210">
        <f t="shared" si="2"/>
        <v>0.8730489074</v>
      </c>
      <c r="I254" s="211">
        <v>0.91</v>
      </c>
      <c r="J254" s="211">
        <v>0.84</v>
      </c>
      <c r="K254" s="207">
        <v>54.0</v>
      </c>
      <c r="L254" s="207">
        <v>42.0</v>
      </c>
      <c r="M254" s="207">
        <v>0.48</v>
      </c>
      <c r="N254" s="207">
        <v>0.12</v>
      </c>
      <c r="O254" s="210">
        <f t="shared" si="3"/>
        <v>0.21</v>
      </c>
      <c r="P254" s="214" t="str">
        <f t="shared" si="4"/>
        <v>OptionStrat</v>
      </c>
      <c r="Q254" s="213" t="str">
        <f t="shared" si="5"/>
        <v>TSLA 200/290 Dec28</v>
      </c>
    </row>
    <row r="255">
      <c r="A255" s="196" t="s">
        <v>60</v>
      </c>
      <c r="B255" s="197">
        <v>47102.0</v>
      </c>
      <c r="C255" s="198">
        <v>180.0</v>
      </c>
      <c r="D255" s="198">
        <v>200.0</v>
      </c>
      <c r="E255" s="198">
        <v>20.0</v>
      </c>
      <c r="F255" s="199">
        <v>10.46</v>
      </c>
      <c r="G255" s="200">
        <f t="shared" si="1"/>
        <v>9.54</v>
      </c>
      <c r="H255" s="201">
        <f t="shared" si="2"/>
        <v>0.9120458891</v>
      </c>
      <c r="I255" s="202">
        <v>0.93</v>
      </c>
      <c r="J255" s="202">
        <v>0.91</v>
      </c>
      <c r="K255" s="198">
        <v>41.0</v>
      </c>
      <c r="L255" s="198">
        <v>54.0</v>
      </c>
      <c r="M255" s="198">
        <v>0.47</v>
      </c>
      <c r="N255" s="198">
        <v>0.1</v>
      </c>
      <c r="O255" s="201">
        <f t="shared" si="3"/>
        <v>0.2</v>
      </c>
      <c r="P255" s="203" t="str">
        <f t="shared" si="4"/>
        <v>OptionStrat</v>
      </c>
      <c r="Q255" s="204" t="str">
        <f t="shared" si="5"/>
        <v>TSLA 180/200 Dec28</v>
      </c>
    </row>
    <row r="256">
      <c r="A256" s="216"/>
      <c r="B256" s="217"/>
      <c r="F256" s="218"/>
      <c r="G256" s="218"/>
      <c r="H256" s="219"/>
      <c r="I256" s="219"/>
      <c r="J256" s="219"/>
      <c r="O256" s="219"/>
    </row>
    <row r="257">
      <c r="A257" s="216"/>
      <c r="B257" s="217"/>
      <c r="F257" s="218"/>
      <c r="G257" s="218"/>
      <c r="H257" s="219"/>
      <c r="I257" s="219"/>
      <c r="J257" s="219"/>
      <c r="O257" s="219"/>
    </row>
    <row r="258">
      <c r="A258" s="216"/>
      <c r="B258" s="217"/>
      <c r="F258" s="218"/>
      <c r="G258" s="218"/>
      <c r="H258" s="219"/>
      <c r="I258" s="219"/>
      <c r="J258" s="219"/>
      <c r="O258" s="219"/>
    </row>
    <row r="259">
      <c r="A259" s="216"/>
      <c r="B259" s="217"/>
      <c r="F259" s="218"/>
      <c r="G259" s="218"/>
      <c r="H259" s="219"/>
      <c r="I259" s="219"/>
      <c r="J259" s="219"/>
      <c r="O259" s="219"/>
    </row>
    <row r="260">
      <c r="A260" s="216"/>
      <c r="B260" s="217"/>
      <c r="F260" s="218"/>
      <c r="G260" s="218"/>
      <c r="H260" s="219"/>
      <c r="I260" s="219"/>
      <c r="J260" s="219"/>
      <c r="O260" s="219"/>
    </row>
    <row r="261">
      <c r="A261" s="216"/>
      <c r="B261" s="217"/>
      <c r="F261" s="218"/>
      <c r="G261" s="218"/>
      <c r="H261" s="219"/>
      <c r="I261" s="219"/>
      <c r="J261" s="219"/>
      <c r="O261" s="219"/>
    </row>
    <row r="262">
      <c r="A262" s="216"/>
      <c r="B262" s="217"/>
      <c r="F262" s="218"/>
      <c r="G262" s="218"/>
      <c r="H262" s="219"/>
      <c r="I262" s="219"/>
      <c r="J262" s="219"/>
      <c r="O262" s="219"/>
    </row>
    <row r="263">
      <c r="A263" s="216"/>
      <c r="B263" s="217"/>
      <c r="F263" s="218"/>
      <c r="G263" s="218"/>
      <c r="H263" s="219"/>
      <c r="I263" s="219"/>
      <c r="J263" s="219"/>
      <c r="O263" s="219"/>
    </row>
    <row r="264">
      <c r="A264" s="216"/>
      <c r="B264" s="217"/>
      <c r="F264" s="218"/>
      <c r="G264" s="218"/>
      <c r="H264" s="219"/>
      <c r="I264" s="219"/>
      <c r="J264" s="219"/>
      <c r="O264" s="219"/>
    </row>
    <row r="265">
      <c r="A265" s="216"/>
      <c r="B265" s="217"/>
      <c r="F265" s="218"/>
      <c r="G265" s="218"/>
      <c r="H265" s="219"/>
      <c r="I265" s="219"/>
      <c r="J265" s="219"/>
      <c r="O265" s="219"/>
    </row>
    <row r="266">
      <c r="A266" s="216"/>
      <c r="B266" s="217"/>
      <c r="F266" s="218"/>
      <c r="G266" s="218"/>
      <c r="H266" s="219"/>
      <c r="I266" s="219"/>
      <c r="J266" s="219"/>
      <c r="O266" s="219"/>
    </row>
    <row r="267">
      <c r="A267" s="216"/>
      <c r="B267" s="217"/>
      <c r="F267" s="218"/>
      <c r="G267" s="218"/>
      <c r="H267" s="219"/>
      <c r="I267" s="219"/>
      <c r="J267" s="219"/>
      <c r="O267" s="219"/>
    </row>
    <row r="268">
      <c r="A268" s="216"/>
      <c r="B268" s="217"/>
      <c r="F268" s="218"/>
      <c r="G268" s="218"/>
      <c r="H268" s="219"/>
      <c r="I268" s="219"/>
      <c r="J268" s="219"/>
      <c r="O268" s="219"/>
    </row>
    <row r="269">
      <c r="A269" s="216"/>
      <c r="B269" s="217"/>
      <c r="F269" s="218"/>
      <c r="G269" s="218"/>
      <c r="H269" s="219"/>
      <c r="I269" s="219"/>
      <c r="J269" s="219"/>
      <c r="O269" s="219"/>
    </row>
    <row r="270">
      <c r="A270" s="216"/>
      <c r="B270" s="217"/>
      <c r="F270" s="218"/>
      <c r="G270" s="218"/>
      <c r="H270" s="219"/>
      <c r="I270" s="219"/>
      <c r="J270" s="219"/>
      <c r="O270" s="219"/>
    </row>
    <row r="271">
      <c r="A271" s="216"/>
      <c r="B271" s="217"/>
      <c r="F271" s="218"/>
      <c r="G271" s="218"/>
      <c r="H271" s="219"/>
      <c r="I271" s="219"/>
      <c r="J271" s="219"/>
      <c r="O271" s="219"/>
    </row>
    <row r="272">
      <c r="A272" s="216"/>
      <c r="B272" s="217"/>
      <c r="F272" s="218"/>
      <c r="G272" s="218"/>
      <c r="H272" s="219"/>
      <c r="I272" s="219"/>
      <c r="J272" s="219"/>
      <c r="O272" s="219"/>
    </row>
    <row r="273">
      <c r="A273" s="216"/>
      <c r="B273" s="217"/>
      <c r="F273" s="218"/>
      <c r="G273" s="218"/>
      <c r="H273" s="219"/>
      <c r="I273" s="219"/>
      <c r="J273" s="219"/>
      <c r="O273" s="219"/>
    </row>
    <row r="274">
      <c r="A274" s="216"/>
      <c r="B274" s="217"/>
      <c r="F274" s="218"/>
      <c r="G274" s="218"/>
      <c r="H274" s="219"/>
      <c r="I274" s="219"/>
      <c r="J274" s="219"/>
      <c r="O274" s="219"/>
    </row>
    <row r="275">
      <c r="A275" s="216"/>
      <c r="B275" s="217"/>
      <c r="F275" s="218"/>
      <c r="G275" s="218"/>
      <c r="H275" s="219"/>
      <c r="I275" s="219"/>
      <c r="J275" s="219"/>
      <c r="O275" s="219"/>
    </row>
    <row r="276">
      <c r="A276" s="216"/>
      <c r="B276" s="217"/>
      <c r="F276" s="218"/>
      <c r="G276" s="218"/>
      <c r="H276" s="219"/>
      <c r="I276" s="219"/>
      <c r="J276" s="219"/>
      <c r="O276" s="219"/>
    </row>
    <row r="277">
      <c r="A277" s="216"/>
      <c r="B277" s="217"/>
      <c r="F277" s="218"/>
      <c r="G277" s="218"/>
      <c r="H277" s="219"/>
      <c r="I277" s="219"/>
      <c r="J277" s="219"/>
      <c r="O277" s="219"/>
    </row>
    <row r="278">
      <c r="A278" s="216"/>
      <c r="B278" s="217"/>
      <c r="F278" s="218"/>
      <c r="G278" s="218"/>
      <c r="H278" s="219"/>
      <c r="I278" s="219"/>
      <c r="J278" s="219"/>
      <c r="O278" s="219"/>
    </row>
    <row r="279">
      <c r="A279" s="216"/>
      <c r="B279" s="217"/>
      <c r="F279" s="218"/>
      <c r="G279" s="218"/>
      <c r="H279" s="219"/>
      <c r="I279" s="219"/>
      <c r="J279" s="219"/>
      <c r="O279" s="219"/>
    </row>
    <row r="280">
      <c r="A280" s="216"/>
      <c r="B280" s="217"/>
      <c r="F280" s="218"/>
      <c r="G280" s="218"/>
      <c r="H280" s="219"/>
      <c r="I280" s="219"/>
      <c r="J280" s="219"/>
      <c r="O280" s="219"/>
    </row>
    <row r="281">
      <c r="A281" s="216"/>
      <c r="B281" s="217"/>
      <c r="F281" s="218"/>
      <c r="G281" s="218"/>
      <c r="H281" s="219"/>
      <c r="I281" s="219"/>
      <c r="J281" s="219"/>
      <c r="O281" s="219"/>
    </row>
    <row r="282">
      <c r="A282" s="216"/>
      <c r="B282" s="217"/>
      <c r="F282" s="218"/>
      <c r="G282" s="218"/>
      <c r="H282" s="219"/>
      <c r="I282" s="219"/>
      <c r="J282" s="219"/>
      <c r="O282" s="219"/>
    </row>
    <row r="283">
      <c r="A283" s="216"/>
      <c r="B283" s="217"/>
      <c r="F283" s="218"/>
      <c r="G283" s="218"/>
      <c r="H283" s="219"/>
      <c r="I283" s="219"/>
      <c r="J283" s="219"/>
      <c r="O283" s="219"/>
    </row>
    <row r="284">
      <c r="A284" s="216"/>
      <c r="B284" s="217"/>
      <c r="F284" s="218"/>
      <c r="G284" s="218"/>
      <c r="H284" s="219"/>
      <c r="I284" s="219"/>
      <c r="J284" s="219"/>
      <c r="O284" s="219"/>
    </row>
    <row r="285">
      <c r="A285" s="216"/>
      <c r="B285" s="217"/>
      <c r="F285" s="218"/>
      <c r="G285" s="218"/>
      <c r="H285" s="219"/>
      <c r="I285" s="219"/>
      <c r="J285" s="219"/>
      <c r="O285" s="219"/>
    </row>
    <row r="286">
      <c r="A286" s="216"/>
      <c r="B286" s="217"/>
      <c r="F286" s="218"/>
      <c r="G286" s="218"/>
      <c r="H286" s="219"/>
      <c r="I286" s="219"/>
      <c r="J286" s="219"/>
      <c r="O286" s="219"/>
    </row>
    <row r="287">
      <c r="A287" s="216"/>
      <c r="B287" s="217"/>
      <c r="F287" s="218"/>
      <c r="G287" s="218"/>
      <c r="H287" s="219"/>
      <c r="I287" s="219"/>
      <c r="J287" s="219"/>
      <c r="O287" s="219"/>
    </row>
    <row r="288">
      <c r="A288" s="216"/>
      <c r="B288" s="217"/>
      <c r="F288" s="218"/>
      <c r="G288" s="218"/>
      <c r="H288" s="219"/>
      <c r="I288" s="219"/>
      <c r="J288" s="219"/>
      <c r="O288" s="219"/>
    </row>
    <row r="289">
      <c r="A289" s="216"/>
      <c r="B289" s="217"/>
      <c r="F289" s="218"/>
      <c r="G289" s="218"/>
      <c r="H289" s="219"/>
      <c r="I289" s="219"/>
      <c r="J289" s="219"/>
      <c r="O289" s="219"/>
    </row>
    <row r="290">
      <c r="A290" s="216"/>
      <c r="B290" s="217"/>
      <c r="F290" s="218"/>
      <c r="G290" s="218"/>
      <c r="H290" s="219"/>
      <c r="I290" s="219"/>
      <c r="J290" s="219"/>
      <c r="O290" s="219"/>
    </row>
    <row r="291">
      <c r="A291" s="216"/>
      <c r="B291" s="217"/>
      <c r="F291" s="218"/>
      <c r="G291" s="218"/>
      <c r="H291" s="219"/>
      <c r="I291" s="219"/>
      <c r="J291" s="219"/>
      <c r="O291" s="219"/>
    </row>
    <row r="292">
      <c r="A292" s="216"/>
      <c r="B292" s="217"/>
      <c r="F292" s="218"/>
      <c r="G292" s="218"/>
      <c r="H292" s="219"/>
      <c r="I292" s="219"/>
      <c r="J292" s="219"/>
      <c r="O292" s="219"/>
    </row>
    <row r="293">
      <c r="A293" s="216"/>
      <c r="B293" s="217"/>
      <c r="F293" s="218"/>
      <c r="G293" s="218"/>
      <c r="H293" s="219"/>
      <c r="I293" s="219"/>
      <c r="J293" s="219"/>
      <c r="O293" s="219"/>
    </row>
    <row r="294">
      <c r="A294" s="216"/>
      <c r="B294" s="217"/>
      <c r="F294" s="218"/>
      <c r="G294" s="218"/>
      <c r="H294" s="219"/>
      <c r="I294" s="219"/>
      <c r="J294" s="219"/>
      <c r="O294" s="219"/>
    </row>
    <row r="295">
      <c r="A295" s="216"/>
      <c r="B295" s="217"/>
      <c r="F295" s="218"/>
      <c r="G295" s="218"/>
      <c r="H295" s="219"/>
      <c r="I295" s="219"/>
      <c r="J295" s="219"/>
      <c r="O295" s="219"/>
    </row>
    <row r="296">
      <c r="A296" s="216"/>
      <c r="B296" s="217"/>
      <c r="F296" s="218"/>
      <c r="G296" s="218"/>
      <c r="H296" s="219"/>
      <c r="I296" s="219"/>
      <c r="J296" s="219"/>
      <c r="O296" s="219"/>
    </row>
    <row r="297">
      <c r="A297" s="216"/>
      <c r="B297" s="217"/>
      <c r="F297" s="218"/>
      <c r="G297" s="218"/>
      <c r="H297" s="219"/>
      <c r="I297" s="219"/>
      <c r="J297" s="219"/>
      <c r="O297" s="219"/>
    </row>
    <row r="298">
      <c r="A298" s="216"/>
      <c r="B298" s="217"/>
      <c r="F298" s="218"/>
      <c r="G298" s="218"/>
      <c r="H298" s="219"/>
      <c r="I298" s="219"/>
      <c r="J298" s="219"/>
      <c r="O298" s="219"/>
    </row>
    <row r="299">
      <c r="A299" s="216"/>
      <c r="B299" s="217"/>
      <c r="F299" s="218"/>
      <c r="G299" s="218"/>
      <c r="H299" s="219"/>
      <c r="I299" s="219"/>
      <c r="J299" s="219"/>
      <c r="O299" s="219"/>
    </row>
    <row r="300">
      <c r="A300" s="216"/>
      <c r="B300" s="217"/>
      <c r="F300" s="218"/>
      <c r="G300" s="218"/>
      <c r="H300" s="219"/>
      <c r="I300" s="219"/>
      <c r="J300" s="219"/>
      <c r="O300" s="219"/>
    </row>
    <row r="301">
      <c r="A301" s="216"/>
      <c r="B301" s="217"/>
      <c r="F301" s="218"/>
      <c r="G301" s="218"/>
      <c r="H301" s="219"/>
      <c r="I301" s="219"/>
      <c r="J301" s="219"/>
      <c r="O301" s="219"/>
    </row>
    <row r="302">
      <c r="A302" s="216"/>
      <c r="B302" s="217"/>
      <c r="F302" s="218"/>
      <c r="G302" s="218"/>
      <c r="H302" s="219"/>
      <c r="I302" s="219"/>
      <c r="J302" s="219"/>
      <c r="O302" s="219"/>
    </row>
    <row r="303">
      <c r="A303" s="216"/>
      <c r="B303" s="217"/>
      <c r="F303" s="218"/>
      <c r="G303" s="218"/>
      <c r="H303" s="219"/>
      <c r="I303" s="219"/>
      <c r="J303" s="219"/>
      <c r="O303" s="219"/>
    </row>
    <row r="304">
      <c r="A304" s="216"/>
      <c r="B304" s="217"/>
      <c r="F304" s="218"/>
      <c r="G304" s="218"/>
      <c r="H304" s="219"/>
      <c r="I304" s="219"/>
      <c r="J304" s="219"/>
      <c r="O304" s="219"/>
    </row>
    <row r="305">
      <c r="A305" s="216"/>
      <c r="B305" s="217"/>
      <c r="F305" s="218"/>
      <c r="G305" s="218"/>
      <c r="H305" s="219"/>
      <c r="I305" s="219"/>
      <c r="J305" s="219"/>
      <c r="O305" s="219"/>
    </row>
    <row r="306">
      <c r="A306" s="216"/>
      <c r="B306" s="217"/>
      <c r="F306" s="218"/>
      <c r="G306" s="218"/>
      <c r="H306" s="219"/>
      <c r="I306" s="219"/>
      <c r="J306" s="219"/>
      <c r="O306" s="219"/>
    </row>
    <row r="307">
      <c r="A307" s="216"/>
      <c r="B307" s="217"/>
      <c r="F307" s="218"/>
      <c r="G307" s="218"/>
      <c r="H307" s="219"/>
      <c r="I307" s="219"/>
      <c r="J307" s="219"/>
      <c r="O307" s="219"/>
    </row>
    <row r="308">
      <c r="A308" s="216"/>
      <c r="B308" s="217"/>
      <c r="F308" s="218"/>
      <c r="G308" s="218"/>
      <c r="H308" s="219"/>
      <c r="I308" s="219"/>
      <c r="J308" s="219"/>
      <c r="O308" s="219"/>
    </row>
    <row r="309">
      <c r="A309" s="216"/>
      <c r="B309" s="217"/>
      <c r="F309" s="218"/>
      <c r="G309" s="218"/>
      <c r="H309" s="219"/>
      <c r="I309" s="219"/>
      <c r="J309" s="219"/>
      <c r="O309" s="219"/>
    </row>
    <row r="310">
      <c r="A310" s="216"/>
      <c r="B310" s="217"/>
      <c r="F310" s="218"/>
      <c r="G310" s="218"/>
      <c r="H310" s="219"/>
      <c r="I310" s="219"/>
      <c r="J310" s="219"/>
      <c r="O310" s="219"/>
    </row>
    <row r="311">
      <c r="A311" s="216"/>
      <c r="B311" s="217"/>
      <c r="F311" s="218"/>
      <c r="G311" s="218"/>
      <c r="H311" s="219"/>
      <c r="I311" s="219"/>
      <c r="J311" s="219"/>
      <c r="O311" s="219"/>
    </row>
    <row r="312">
      <c r="A312" s="216"/>
      <c r="B312" s="217"/>
      <c r="F312" s="218"/>
      <c r="G312" s="218"/>
      <c r="H312" s="219"/>
      <c r="I312" s="219"/>
      <c r="J312" s="219"/>
      <c r="O312" s="219"/>
    </row>
    <row r="313">
      <c r="A313" s="216"/>
      <c r="B313" s="217"/>
      <c r="F313" s="218"/>
      <c r="G313" s="218"/>
      <c r="H313" s="219"/>
      <c r="I313" s="219"/>
      <c r="J313" s="219"/>
      <c r="O313" s="219"/>
    </row>
    <row r="314">
      <c r="A314" s="216"/>
      <c r="B314" s="217"/>
      <c r="F314" s="218"/>
      <c r="G314" s="218"/>
      <c r="H314" s="219"/>
      <c r="I314" s="219"/>
      <c r="J314" s="219"/>
      <c r="O314" s="219"/>
    </row>
    <row r="315">
      <c r="A315" s="216"/>
      <c r="B315" s="217"/>
      <c r="F315" s="218"/>
      <c r="G315" s="218"/>
      <c r="H315" s="219"/>
      <c r="I315" s="219"/>
      <c r="J315" s="219"/>
      <c r="O315" s="219"/>
    </row>
    <row r="316">
      <c r="A316" s="216"/>
      <c r="B316" s="217"/>
      <c r="F316" s="218"/>
      <c r="G316" s="218"/>
      <c r="H316" s="219"/>
      <c r="I316" s="219"/>
      <c r="J316" s="219"/>
      <c r="O316" s="219"/>
    </row>
    <row r="317">
      <c r="A317" s="216"/>
      <c r="B317" s="217"/>
      <c r="F317" s="218"/>
      <c r="G317" s="218"/>
      <c r="H317" s="219"/>
      <c r="I317" s="219"/>
      <c r="J317" s="219"/>
      <c r="O317" s="219"/>
    </row>
    <row r="318">
      <c r="A318" s="216"/>
      <c r="B318" s="217"/>
      <c r="F318" s="218"/>
      <c r="G318" s="218"/>
      <c r="H318" s="219"/>
      <c r="I318" s="219"/>
      <c r="J318" s="219"/>
      <c r="O318" s="219"/>
    </row>
    <row r="319">
      <c r="A319" s="216"/>
      <c r="B319" s="217"/>
      <c r="F319" s="218"/>
      <c r="G319" s="218"/>
      <c r="H319" s="219"/>
      <c r="I319" s="219"/>
      <c r="J319" s="219"/>
      <c r="O319" s="219"/>
    </row>
    <row r="320">
      <c r="A320" s="216"/>
      <c r="B320" s="217"/>
      <c r="F320" s="218"/>
      <c r="G320" s="218"/>
      <c r="H320" s="219"/>
      <c r="I320" s="219"/>
      <c r="J320" s="219"/>
      <c r="O320" s="219"/>
    </row>
    <row r="321">
      <c r="A321" s="216"/>
      <c r="B321" s="217"/>
      <c r="F321" s="218"/>
      <c r="G321" s="218"/>
      <c r="H321" s="219"/>
      <c r="I321" s="219"/>
      <c r="J321" s="219"/>
      <c r="O321" s="219"/>
    </row>
    <row r="322">
      <c r="A322" s="216"/>
      <c r="B322" s="217"/>
      <c r="F322" s="218"/>
      <c r="G322" s="218"/>
      <c r="H322" s="219"/>
      <c r="I322" s="219"/>
      <c r="J322" s="219"/>
      <c r="O322" s="219"/>
    </row>
    <row r="323">
      <c r="A323" s="216"/>
      <c r="B323" s="217"/>
      <c r="F323" s="218"/>
      <c r="G323" s="218"/>
      <c r="H323" s="219"/>
      <c r="I323" s="219"/>
      <c r="J323" s="219"/>
      <c r="O323" s="219"/>
    </row>
    <row r="324">
      <c r="A324" s="216"/>
      <c r="B324" s="217"/>
      <c r="F324" s="218"/>
      <c r="G324" s="218"/>
      <c r="H324" s="219"/>
      <c r="I324" s="219"/>
      <c r="J324" s="219"/>
      <c r="O324" s="219"/>
    </row>
    <row r="325">
      <c r="A325" s="216"/>
      <c r="B325" s="217"/>
      <c r="F325" s="218"/>
      <c r="G325" s="218"/>
      <c r="H325" s="219"/>
      <c r="I325" s="219"/>
      <c r="J325" s="219"/>
      <c r="O325" s="219"/>
    </row>
    <row r="326">
      <c r="A326" s="216"/>
      <c r="B326" s="217"/>
      <c r="F326" s="218"/>
      <c r="G326" s="218"/>
      <c r="H326" s="219"/>
      <c r="I326" s="219"/>
      <c r="J326" s="219"/>
      <c r="O326" s="219"/>
    </row>
    <row r="327">
      <c r="A327" s="216"/>
      <c r="B327" s="217"/>
      <c r="F327" s="218"/>
      <c r="G327" s="218"/>
      <c r="H327" s="219"/>
      <c r="I327" s="219"/>
      <c r="J327" s="219"/>
      <c r="O327" s="219"/>
    </row>
    <row r="328">
      <c r="A328" s="216"/>
      <c r="B328" s="217"/>
      <c r="F328" s="218"/>
      <c r="G328" s="218"/>
      <c r="H328" s="219"/>
      <c r="I328" s="219"/>
      <c r="J328" s="219"/>
      <c r="O328" s="219"/>
    </row>
    <row r="329">
      <c r="A329" s="216"/>
      <c r="B329" s="217"/>
      <c r="F329" s="218"/>
      <c r="G329" s="218"/>
      <c r="H329" s="219"/>
      <c r="I329" s="219"/>
      <c r="J329" s="219"/>
      <c r="O329" s="219"/>
    </row>
    <row r="330">
      <c r="A330" s="216"/>
      <c r="B330" s="217"/>
      <c r="F330" s="218"/>
      <c r="G330" s="218"/>
      <c r="H330" s="219"/>
      <c r="I330" s="219"/>
      <c r="J330" s="219"/>
      <c r="O330" s="219"/>
    </row>
    <row r="331">
      <c r="A331" s="216"/>
      <c r="B331" s="217"/>
      <c r="F331" s="218"/>
      <c r="G331" s="218"/>
      <c r="H331" s="219"/>
      <c r="I331" s="219"/>
      <c r="J331" s="219"/>
      <c r="O331" s="219"/>
    </row>
    <row r="332">
      <c r="A332" s="216"/>
      <c r="B332" s="217"/>
      <c r="F332" s="218"/>
      <c r="G332" s="218"/>
      <c r="H332" s="219"/>
      <c r="I332" s="219"/>
      <c r="J332" s="219"/>
      <c r="O332" s="219"/>
    </row>
    <row r="333">
      <c r="A333" s="216"/>
      <c r="B333" s="217"/>
      <c r="F333" s="218"/>
      <c r="G333" s="218"/>
      <c r="H333" s="219"/>
      <c r="I333" s="219"/>
      <c r="J333" s="219"/>
      <c r="O333" s="219"/>
    </row>
    <row r="334">
      <c r="A334" s="216"/>
      <c r="B334" s="217"/>
      <c r="F334" s="218"/>
      <c r="G334" s="218"/>
      <c r="H334" s="219"/>
      <c r="I334" s="219"/>
      <c r="J334" s="219"/>
      <c r="O334" s="219"/>
    </row>
    <row r="335">
      <c r="A335" s="216"/>
      <c r="B335" s="217"/>
      <c r="F335" s="218"/>
      <c r="G335" s="218"/>
      <c r="H335" s="219"/>
      <c r="I335" s="219"/>
      <c r="J335" s="219"/>
      <c r="O335" s="219"/>
    </row>
    <row r="336">
      <c r="A336" s="216"/>
      <c r="B336" s="217"/>
      <c r="F336" s="218"/>
      <c r="G336" s="218"/>
      <c r="H336" s="219"/>
      <c r="I336" s="219"/>
      <c r="J336" s="219"/>
      <c r="O336" s="219"/>
    </row>
    <row r="337">
      <c r="A337" s="216"/>
      <c r="B337" s="217"/>
      <c r="F337" s="218"/>
      <c r="G337" s="218"/>
      <c r="H337" s="219"/>
      <c r="I337" s="219"/>
      <c r="J337" s="219"/>
      <c r="O337" s="219"/>
    </row>
    <row r="338">
      <c r="A338" s="216"/>
      <c r="B338" s="217"/>
      <c r="F338" s="218"/>
      <c r="G338" s="218"/>
      <c r="H338" s="219"/>
      <c r="I338" s="219"/>
      <c r="J338" s="219"/>
      <c r="O338" s="219"/>
    </row>
    <row r="339">
      <c r="A339" s="216"/>
      <c r="B339" s="217"/>
      <c r="F339" s="218"/>
      <c r="G339" s="218"/>
      <c r="H339" s="219"/>
      <c r="I339" s="219"/>
      <c r="J339" s="219"/>
      <c r="O339" s="219"/>
    </row>
    <row r="340">
      <c r="A340" s="216"/>
      <c r="B340" s="217"/>
      <c r="F340" s="218"/>
      <c r="G340" s="218"/>
      <c r="H340" s="219"/>
      <c r="I340" s="219"/>
      <c r="J340" s="219"/>
      <c r="O340" s="219"/>
    </row>
    <row r="341">
      <c r="A341" s="216"/>
      <c r="B341" s="217"/>
      <c r="F341" s="218"/>
      <c r="G341" s="218"/>
      <c r="H341" s="219"/>
      <c r="I341" s="219"/>
      <c r="J341" s="219"/>
      <c r="O341" s="219"/>
    </row>
    <row r="342">
      <c r="A342" s="216"/>
      <c r="B342" s="217"/>
      <c r="F342" s="218"/>
      <c r="G342" s="218"/>
      <c r="H342" s="219"/>
      <c r="I342" s="219"/>
      <c r="J342" s="219"/>
      <c r="O342" s="219"/>
    </row>
    <row r="343">
      <c r="A343" s="216"/>
      <c r="B343" s="217"/>
      <c r="F343" s="218"/>
      <c r="G343" s="218"/>
      <c r="H343" s="219"/>
      <c r="I343" s="219"/>
      <c r="J343" s="219"/>
      <c r="O343" s="219"/>
    </row>
    <row r="344">
      <c r="A344" s="216"/>
      <c r="B344" s="217"/>
      <c r="F344" s="218"/>
      <c r="G344" s="218"/>
      <c r="H344" s="219"/>
      <c r="I344" s="219"/>
      <c r="J344" s="219"/>
      <c r="O344" s="219"/>
    </row>
    <row r="345">
      <c r="A345" s="216"/>
      <c r="B345" s="217"/>
      <c r="F345" s="218"/>
      <c r="G345" s="218"/>
      <c r="H345" s="219"/>
      <c r="I345" s="219"/>
      <c r="J345" s="219"/>
      <c r="O345" s="219"/>
    </row>
    <row r="346">
      <c r="A346" s="216"/>
      <c r="B346" s="217"/>
      <c r="F346" s="218"/>
      <c r="G346" s="218"/>
      <c r="H346" s="219"/>
      <c r="I346" s="219"/>
      <c r="J346" s="219"/>
      <c r="O346" s="219"/>
    </row>
    <row r="347">
      <c r="A347" s="216"/>
      <c r="B347" s="217"/>
      <c r="F347" s="218"/>
      <c r="G347" s="218"/>
      <c r="H347" s="219"/>
      <c r="I347" s="219"/>
      <c r="J347" s="219"/>
      <c r="O347" s="219"/>
    </row>
    <row r="348">
      <c r="A348" s="216"/>
      <c r="B348" s="217"/>
      <c r="F348" s="218"/>
      <c r="G348" s="218"/>
      <c r="H348" s="219"/>
      <c r="I348" s="219"/>
      <c r="J348" s="219"/>
      <c r="O348" s="219"/>
    </row>
    <row r="349">
      <c r="A349" s="216"/>
      <c r="B349" s="217"/>
      <c r="F349" s="218"/>
      <c r="G349" s="218"/>
      <c r="H349" s="219"/>
      <c r="I349" s="219"/>
      <c r="J349" s="219"/>
      <c r="O349" s="219"/>
    </row>
    <row r="350">
      <c r="A350" s="216"/>
      <c r="B350" s="217"/>
      <c r="F350" s="218"/>
      <c r="G350" s="218"/>
      <c r="H350" s="219"/>
      <c r="I350" s="219"/>
      <c r="J350" s="219"/>
      <c r="O350" s="219"/>
    </row>
    <row r="351">
      <c r="A351" s="216"/>
      <c r="B351" s="217"/>
      <c r="F351" s="218"/>
      <c r="G351" s="218"/>
      <c r="H351" s="219"/>
      <c r="I351" s="219"/>
      <c r="J351" s="219"/>
      <c r="O351" s="219"/>
    </row>
    <row r="352">
      <c r="A352" s="216"/>
      <c r="B352" s="217"/>
      <c r="F352" s="218"/>
      <c r="G352" s="218"/>
      <c r="H352" s="219"/>
      <c r="I352" s="219"/>
      <c r="J352" s="219"/>
      <c r="O352" s="219"/>
    </row>
    <row r="353">
      <c r="A353" s="216"/>
      <c r="B353" s="217"/>
      <c r="F353" s="218"/>
      <c r="G353" s="218"/>
      <c r="H353" s="219"/>
      <c r="I353" s="219"/>
      <c r="J353" s="219"/>
      <c r="O353" s="219"/>
    </row>
    <row r="354">
      <c r="A354" s="216"/>
      <c r="B354" s="217"/>
      <c r="F354" s="218"/>
      <c r="G354" s="218"/>
      <c r="H354" s="219"/>
      <c r="I354" s="219"/>
      <c r="J354" s="219"/>
      <c r="O354" s="219"/>
    </row>
    <row r="355">
      <c r="A355" s="216"/>
      <c r="B355" s="217"/>
      <c r="F355" s="218"/>
      <c r="G355" s="218"/>
      <c r="H355" s="219"/>
      <c r="I355" s="219"/>
      <c r="J355" s="219"/>
      <c r="O355" s="219"/>
    </row>
    <row r="356">
      <c r="A356" s="216"/>
      <c r="B356" s="217"/>
      <c r="F356" s="218"/>
      <c r="G356" s="218"/>
      <c r="H356" s="219"/>
      <c r="I356" s="219"/>
      <c r="J356" s="219"/>
      <c r="O356" s="219"/>
    </row>
    <row r="357">
      <c r="A357" s="216"/>
      <c r="B357" s="217"/>
      <c r="F357" s="218"/>
      <c r="G357" s="218"/>
      <c r="H357" s="219"/>
      <c r="I357" s="219"/>
      <c r="J357" s="219"/>
      <c r="O357" s="219"/>
    </row>
    <row r="358">
      <c r="A358" s="216"/>
      <c r="B358" s="217"/>
      <c r="F358" s="218"/>
      <c r="G358" s="218"/>
      <c r="H358" s="219"/>
      <c r="I358" s="219"/>
      <c r="J358" s="219"/>
      <c r="O358" s="219"/>
    </row>
    <row r="359">
      <c r="A359" s="216"/>
      <c r="B359" s="217"/>
      <c r="F359" s="218"/>
      <c r="G359" s="218"/>
      <c r="H359" s="219"/>
      <c r="I359" s="219"/>
      <c r="J359" s="219"/>
      <c r="O359" s="219"/>
    </row>
    <row r="360">
      <c r="A360" s="216"/>
      <c r="B360" s="217"/>
      <c r="F360" s="218"/>
      <c r="G360" s="218"/>
      <c r="H360" s="219"/>
      <c r="I360" s="219"/>
      <c r="J360" s="219"/>
      <c r="O360" s="219"/>
    </row>
    <row r="361">
      <c r="A361" s="216"/>
      <c r="B361" s="217"/>
      <c r="F361" s="218"/>
      <c r="G361" s="218"/>
      <c r="H361" s="219"/>
      <c r="I361" s="219"/>
      <c r="J361" s="219"/>
      <c r="O361" s="219"/>
    </row>
    <row r="362">
      <c r="A362" s="216"/>
      <c r="B362" s="217"/>
      <c r="F362" s="218"/>
      <c r="G362" s="218"/>
      <c r="H362" s="219"/>
      <c r="I362" s="219"/>
      <c r="J362" s="219"/>
      <c r="O362" s="219"/>
    </row>
    <row r="363">
      <c r="A363" s="216"/>
      <c r="B363" s="217"/>
      <c r="F363" s="218"/>
      <c r="G363" s="218"/>
      <c r="H363" s="219"/>
      <c r="I363" s="219"/>
      <c r="J363" s="219"/>
      <c r="O363" s="219"/>
    </row>
    <row r="364">
      <c r="A364" s="216"/>
      <c r="B364" s="217"/>
      <c r="F364" s="218"/>
      <c r="G364" s="218"/>
      <c r="H364" s="219"/>
      <c r="I364" s="219"/>
      <c r="J364" s="219"/>
      <c r="O364" s="219"/>
    </row>
    <row r="365">
      <c r="A365" s="216"/>
      <c r="B365" s="217"/>
      <c r="F365" s="218"/>
      <c r="G365" s="218"/>
      <c r="H365" s="219"/>
      <c r="I365" s="219"/>
      <c r="J365" s="219"/>
      <c r="O365" s="219"/>
    </row>
    <row r="366">
      <c r="A366" s="216"/>
      <c r="B366" s="217"/>
      <c r="F366" s="218"/>
      <c r="G366" s="218"/>
      <c r="H366" s="219"/>
      <c r="I366" s="219"/>
      <c r="J366" s="219"/>
      <c r="O366" s="219"/>
    </row>
    <row r="367">
      <c r="A367" s="216"/>
      <c r="B367" s="217"/>
      <c r="F367" s="218"/>
      <c r="G367" s="218"/>
      <c r="H367" s="219"/>
      <c r="I367" s="219"/>
      <c r="J367" s="219"/>
      <c r="O367" s="219"/>
    </row>
    <row r="368">
      <c r="A368" s="216"/>
      <c r="B368" s="217"/>
      <c r="F368" s="218"/>
      <c r="G368" s="218"/>
      <c r="H368" s="219"/>
      <c r="I368" s="219"/>
      <c r="J368" s="219"/>
      <c r="O368" s="219"/>
    </row>
    <row r="369">
      <c r="A369" s="216"/>
      <c r="B369" s="217"/>
      <c r="F369" s="218"/>
      <c r="G369" s="218"/>
      <c r="H369" s="219"/>
      <c r="I369" s="219"/>
      <c r="J369" s="219"/>
      <c r="O369" s="219"/>
    </row>
    <row r="370">
      <c r="A370" s="216"/>
      <c r="B370" s="217"/>
      <c r="F370" s="218"/>
      <c r="G370" s="218"/>
      <c r="H370" s="219"/>
      <c r="I370" s="219"/>
      <c r="J370" s="219"/>
      <c r="O370" s="219"/>
    </row>
    <row r="371">
      <c r="A371" s="216"/>
      <c r="B371" s="217"/>
      <c r="F371" s="218"/>
      <c r="G371" s="218"/>
      <c r="H371" s="219"/>
      <c r="I371" s="219"/>
      <c r="J371" s="219"/>
      <c r="O371" s="219"/>
    </row>
    <row r="372">
      <c r="A372" s="216"/>
      <c r="B372" s="217"/>
      <c r="F372" s="218"/>
      <c r="G372" s="218"/>
      <c r="H372" s="219"/>
      <c r="I372" s="219"/>
      <c r="J372" s="219"/>
      <c r="O372" s="219"/>
    </row>
    <row r="373">
      <c r="A373" s="216"/>
      <c r="B373" s="217"/>
      <c r="F373" s="218"/>
      <c r="G373" s="218"/>
      <c r="H373" s="219"/>
      <c r="I373" s="219"/>
      <c r="J373" s="219"/>
      <c r="O373" s="219"/>
    </row>
    <row r="374">
      <c r="A374" s="216"/>
      <c r="B374" s="217"/>
      <c r="F374" s="218"/>
      <c r="G374" s="218"/>
      <c r="H374" s="219"/>
      <c r="I374" s="219"/>
      <c r="J374" s="219"/>
      <c r="O374" s="219"/>
    </row>
    <row r="375">
      <c r="A375" s="216"/>
      <c r="B375" s="217"/>
      <c r="F375" s="218"/>
      <c r="G375" s="218"/>
      <c r="H375" s="219"/>
      <c r="I375" s="219"/>
      <c r="J375" s="219"/>
      <c r="O375" s="219"/>
    </row>
    <row r="376">
      <c r="A376" s="216"/>
      <c r="B376" s="217"/>
      <c r="F376" s="218"/>
      <c r="G376" s="218"/>
      <c r="H376" s="219"/>
      <c r="I376" s="219"/>
      <c r="J376" s="219"/>
      <c r="O376" s="219"/>
    </row>
    <row r="377">
      <c r="A377" s="216"/>
      <c r="B377" s="217"/>
      <c r="F377" s="218"/>
      <c r="G377" s="218"/>
      <c r="H377" s="219"/>
      <c r="I377" s="219"/>
      <c r="J377" s="219"/>
      <c r="O377" s="219"/>
    </row>
    <row r="378">
      <c r="A378" s="216"/>
      <c r="B378" s="217"/>
      <c r="F378" s="218"/>
      <c r="G378" s="218"/>
      <c r="H378" s="219"/>
      <c r="I378" s="219"/>
      <c r="J378" s="219"/>
      <c r="O378" s="219"/>
    </row>
    <row r="379">
      <c r="A379" s="216"/>
      <c r="B379" s="217"/>
      <c r="F379" s="218"/>
      <c r="G379" s="218"/>
      <c r="H379" s="219"/>
      <c r="I379" s="219"/>
      <c r="J379" s="219"/>
      <c r="O379" s="219"/>
    </row>
    <row r="380">
      <c r="A380" s="216"/>
      <c r="B380" s="217"/>
      <c r="F380" s="218"/>
      <c r="G380" s="218"/>
      <c r="H380" s="219"/>
      <c r="I380" s="219"/>
      <c r="J380" s="219"/>
      <c r="O380" s="219"/>
    </row>
    <row r="381">
      <c r="A381" s="216"/>
      <c r="B381" s="217"/>
      <c r="F381" s="218"/>
      <c r="G381" s="218"/>
      <c r="H381" s="219"/>
      <c r="I381" s="219"/>
      <c r="J381" s="219"/>
      <c r="O381" s="219"/>
    </row>
    <row r="382">
      <c r="A382" s="216"/>
      <c r="B382" s="217"/>
      <c r="F382" s="218"/>
      <c r="G382" s="218"/>
      <c r="H382" s="219"/>
      <c r="I382" s="219"/>
      <c r="J382" s="219"/>
      <c r="O382" s="219"/>
    </row>
    <row r="383">
      <c r="A383" s="216"/>
      <c r="B383" s="217"/>
      <c r="F383" s="218"/>
      <c r="G383" s="218"/>
      <c r="H383" s="219"/>
      <c r="I383" s="219"/>
      <c r="J383" s="219"/>
      <c r="O383" s="219"/>
    </row>
    <row r="384">
      <c r="A384" s="216"/>
      <c r="B384" s="217"/>
      <c r="F384" s="218"/>
      <c r="G384" s="218"/>
      <c r="H384" s="219"/>
      <c r="I384" s="219"/>
      <c r="J384" s="219"/>
      <c r="O384" s="219"/>
    </row>
    <row r="385">
      <c r="A385" s="216"/>
      <c r="B385" s="217"/>
      <c r="F385" s="218"/>
      <c r="G385" s="218"/>
      <c r="H385" s="219"/>
      <c r="I385" s="219"/>
      <c r="J385" s="219"/>
      <c r="O385" s="219"/>
    </row>
    <row r="386">
      <c r="A386" s="216"/>
      <c r="B386" s="217"/>
      <c r="F386" s="218"/>
      <c r="G386" s="218"/>
      <c r="H386" s="219"/>
      <c r="I386" s="219"/>
      <c r="J386" s="219"/>
      <c r="O386" s="219"/>
    </row>
    <row r="387">
      <c r="A387" s="216"/>
      <c r="B387" s="217"/>
      <c r="F387" s="218"/>
      <c r="G387" s="218"/>
      <c r="H387" s="219"/>
      <c r="I387" s="219"/>
      <c r="J387" s="219"/>
      <c r="O387" s="219"/>
    </row>
    <row r="388">
      <c r="A388" s="216"/>
      <c r="B388" s="217"/>
      <c r="F388" s="218"/>
      <c r="G388" s="218"/>
      <c r="H388" s="219"/>
      <c r="I388" s="219"/>
      <c r="J388" s="219"/>
      <c r="O388" s="219"/>
    </row>
    <row r="389">
      <c r="A389" s="216"/>
      <c r="B389" s="217"/>
      <c r="F389" s="218"/>
      <c r="G389" s="218"/>
      <c r="H389" s="219"/>
      <c r="I389" s="219"/>
      <c r="J389" s="219"/>
      <c r="O389" s="219"/>
    </row>
    <row r="390">
      <c r="A390" s="216"/>
      <c r="B390" s="217"/>
      <c r="F390" s="218"/>
      <c r="G390" s="218"/>
      <c r="H390" s="219"/>
      <c r="I390" s="219"/>
      <c r="J390" s="219"/>
      <c r="O390" s="219"/>
    </row>
    <row r="391">
      <c r="A391" s="216"/>
      <c r="B391" s="217"/>
      <c r="F391" s="218"/>
      <c r="G391" s="218"/>
      <c r="H391" s="219"/>
      <c r="I391" s="219"/>
      <c r="J391" s="219"/>
      <c r="O391" s="219"/>
    </row>
    <row r="392">
      <c r="A392" s="216"/>
      <c r="B392" s="217"/>
      <c r="F392" s="218"/>
      <c r="G392" s="218"/>
      <c r="H392" s="219"/>
      <c r="I392" s="219"/>
      <c r="J392" s="219"/>
      <c r="O392" s="219"/>
    </row>
    <row r="393">
      <c r="A393" s="216"/>
      <c r="B393" s="217"/>
      <c r="F393" s="218"/>
      <c r="G393" s="218"/>
      <c r="H393" s="219"/>
      <c r="I393" s="219"/>
      <c r="J393" s="219"/>
      <c r="O393" s="219"/>
    </row>
    <row r="394">
      <c r="A394" s="216"/>
      <c r="B394" s="217"/>
      <c r="F394" s="218"/>
      <c r="G394" s="218"/>
      <c r="H394" s="219"/>
      <c r="I394" s="219"/>
      <c r="J394" s="219"/>
      <c r="O394" s="219"/>
    </row>
    <row r="395">
      <c r="A395" s="216"/>
      <c r="B395" s="217"/>
      <c r="F395" s="218"/>
      <c r="G395" s="218"/>
      <c r="H395" s="219"/>
      <c r="I395" s="219"/>
      <c r="J395" s="219"/>
      <c r="O395" s="219"/>
    </row>
    <row r="396">
      <c r="A396" s="216"/>
      <c r="B396" s="217"/>
      <c r="F396" s="218"/>
      <c r="G396" s="218"/>
      <c r="H396" s="219"/>
      <c r="I396" s="219"/>
      <c r="J396" s="219"/>
      <c r="O396" s="219"/>
    </row>
    <row r="397">
      <c r="A397" s="216"/>
      <c r="B397" s="217"/>
      <c r="F397" s="218"/>
      <c r="G397" s="218"/>
      <c r="H397" s="219"/>
      <c r="I397" s="219"/>
      <c r="J397" s="219"/>
      <c r="O397" s="219"/>
    </row>
    <row r="398">
      <c r="A398" s="216"/>
      <c r="B398" s="217"/>
      <c r="F398" s="218"/>
      <c r="G398" s="218"/>
      <c r="H398" s="219"/>
      <c r="I398" s="219"/>
      <c r="J398" s="219"/>
      <c r="O398" s="219"/>
    </row>
    <row r="399">
      <c r="A399" s="216"/>
      <c r="B399" s="217"/>
      <c r="F399" s="218"/>
      <c r="G399" s="218"/>
      <c r="H399" s="219"/>
      <c r="I399" s="219"/>
      <c r="J399" s="219"/>
      <c r="O399" s="219"/>
    </row>
    <row r="400">
      <c r="A400" s="216"/>
      <c r="B400" s="217"/>
      <c r="F400" s="218"/>
      <c r="G400" s="218"/>
      <c r="H400" s="219"/>
      <c r="I400" s="219"/>
      <c r="J400" s="219"/>
      <c r="O400" s="219"/>
    </row>
    <row r="401">
      <c r="A401" s="216"/>
      <c r="B401" s="217"/>
      <c r="F401" s="218"/>
      <c r="G401" s="218"/>
      <c r="H401" s="219"/>
      <c r="I401" s="219"/>
      <c r="J401" s="219"/>
      <c r="O401" s="219"/>
    </row>
    <row r="402">
      <c r="A402" s="216"/>
      <c r="B402" s="217"/>
      <c r="F402" s="218"/>
      <c r="G402" s="218"/>
      <c r="H402" s="219"/>
      <c r="I402" s="219"/>
      <c r="J402" s="219"/>
      <c r="O402" s="219"/>
    </row>
    <row r="403">
      <c r="A403" s="216"/>
      <c r="B403" s="217"/>
      <c r="F403" s="218"/>
      <c r="G403" s="218"/>
      <c r="H403" s="219"/>
      <c r="I403" s="219"/>
      <c r="J403" s="219"/>
      <c r="O403" s="219"/>
    </row>
    <row r="404">
      <c r="A404" s="216"/>
      <c r="B404" s="217"/>
      <c r="F404" s="218"/>
      <c r="G404" s="218"/>
      <c r="H404" s="219"/>
      <c r="I404" s="219"/>
      <c r="J404" s="219"/>
      <c r="O404" s="219"/>
    </row>
    <row r="405">
      <c r="A405" s="216"/>
      <c r="B405" s="217"/>
      <c r="F405" s="218"/>
      <c r="G405" s="218"/>
      <c r="H405" s="219"/>
      <c r="I405" s="219"/>
      <c r="J405" s="219"/>
      <c r="O405" s="219"/>
    </row>
    <row r="406">
      <c r="A406" s="216"/>
      <c r="B406" s="217"/>
      <c r="F406" s="218"/>
      <c r="G406" s="218"/>
      <c r="H406" s="219"/>
      <c r="I406" s="219"/>
      <c r="J406" s="219"/>
      <c r="O406" s="219"/>
    </row>
    <row r="407">
      <c r="A407" s="216"/>
      <c r="B407" s="217"/>
      <c r="F407" s="218"/>
      <c r="G407" s="218"/>
      <c r="H407" s="219"/>
      <c r="I407" s="219"/>
      <c r="J407" s="219"/>
      <c r="O407" s="219"/>
    </row>
    <row r="408">
      <c r="A408" s="216"/>
      <c r="B408" s="217"/>
      <c r="F408" s="218"/>
      <c r="G408" s="218"/>
      <c r="H408" s="219"/>
      <c r="I408" s="219"/>
      <c r="J408" s="219"/>
      <c r="O408" s="219"/>
    </row>
    <row r="409">
      <c r="A409" s="216"/>
      <c r="B409" s="217"/>
      <c r="F409" s="218"/>
      <c r="G409" s="218"/>
      <c r="H409" s="219"/>
      <c r="I409" s="219"/>
      <c r="J409" s="219"/>
      <c r="O409" s="219"/>
    </row>
    <row r="410">
      <c r="A410" s="216"/>
      <c r="B410" s="217"/>
      <c r="F410" s="218"/>
      <c r="G410" s="218"/>
      <c r="H410" s="219"/>
      <c r="I410" s="219"/>
      <c r="J410" s="219"/>
      <c r="O410" s="219"/>
    </row>
    <row r="411">
      <c r="A411" s="216"/>
      <c r="B411" s="217"/>
      <c r="F411" s="218"/>
      <c r="G411" s="218"/>
      <c r="H411" s="219"/>
      <c r="I411" s="219"/>
      <c r="J411" s="219"/>
      <c r="O411" s="219"/>
    </row>
    <row r="412">
      <c r="A412" s="216"/>
      <c r="B412" s="217"/>
      <c r="F412" s="218"/>
      <c r="G412" s="218"/>
      <c r="H412" s="219"/>
      <c r="I412" s="219"/>
      <c r="J412" s="219"/>
      <c r="O412" s="219"/>
    </row>
    <row r="413">
      <c r="A413" s="216"/>
      <c r="B413" s="217"/>
      <c r="F413" s="218"/>
      <c r="G413" s="218"/>
      <c r="H413" s="219"/>
      <c r="I413" s="219"/>
      <c r="J413" s="219"/>
      <c r="O413" s="219"/>
    </row>
    <row r="414">
      <c r="A414" s="216"/>
      <c r="B414" s="217"/>
      <c r="F414" s="218"/>
      <c r="G414" s="218"/>
      <c r="H414" s="219"/>
      <c r="I414" s="219"/>
      <c r="J414" s="219"/>
      <c r="O414" s="219"/>
    </row>
    <row r="415">
      <c r="A415" s="216"/>
      <c r="B415" s="217"/>
      <c r="F415" s="218"/>
      <c r="G415" s="218"/>
      <c r="H415" s="219"/>
      <c r="I415" s="219"/>
      <c r="J415" s="219"/>
      <c r="O415" s="219"/>
    </row>
    <row r="416">
      <c r="A416" s="216"/>
      <c r="B416" s="217"/>
      <c r="F416" s="218"/>
      <c r="G416" s="218"/>
      <c r="H416" s="219"/>
      <c r="I416" s="219"/>
      <c r="J416" s="219"/>
      <c r="O416" s="219"/>
    </row>
    <row r="417">
      <c r="A417" s="216"/>
      <c r="B417" s="217"/>
      <c r="F417" s="218"/>
      <c r="G417" s="218"/>
      <c r="H417" s="219"/>
      <c r="I417" s="219"/>
      <c r="J417" s="219"/>
      <c r="O417" s="219"/>
    </row>
    <row r="418">
      <c r="A418" s="216"/>
      <c r="B418" s="217"/>
      <c r="F418" s="218"/>
      <c r="G418" s="218"/>
      <c r="H418" s="219"/>
      <c r="I418" s="219"/>
      <c r="J418" s="219"/>
      <c r="O418" s="219"/>
    </row>
    <row r="419">
      <c r="A419" s="216"/>
      <c r="B419" s="217"/>
      <c r="F419" s="218"/>
      <c r="G419" s="218"/>
      <c r="H419" s="219"/>
      <c r="I419" s="219"/>
      <c r="J419" s="219"/>
      <c r="O419" s="219"/>
    </row>
    <row r="420">
      <c r="A420" s="216"/>
      <c r="B420" s="217"/>
      <c r="F420" s="218"/>
      <c r="G420" s="218"/>
      <c r="H420" s="219"/>
      <c r="I420" s="219"/>
      <c r="J420" s="219"/>
      <c r="O420" s="219"/>
    </row>
    <row r="421">
      <c r="A421" s="216"/>
      <c r="B421" s="217"/>
      <c r="F421" s="218"/>
      <c r="G421" s="218"/>
      <c r="H421" s="219"/>
      <c r="I421" s="219"/>
      <c r="J421" s="219"/>
      <c r="O421" s="219"/>
    </row>
    <row r="422">
      <c r="A422" s="216"/>
      <c r="B422" s="217"/>
      <c r="F422" s="218"/>
      <c r="G422" s="218"/>
      <c r="H422" s="219"/>
      <c r="I422" s="219"/>
      <c r="J422" s="219"/>
      <c r="O422" s="219"/>
    </row>
    <row r="423">
      <c r="A423" s="216"/>
      <c r="B423" s="217"/>
      <c r="F423" s="218"/>
      <c r="G423" s="218"/>
      <c r="H423" s="219"/>
      <c r="I423" s="219"/>
      <c r="J423" s="219"/>
      <c r="O423" s="219"/>
    </row>
    <row r="424">
      <c r="A424" s="216"/>
      <c r="B424" s="217"/>
      <c r="F424" s="218"/>
      <c r="G424" s="218"/>
      <c r="H424" s="219"/>
      <c r="I424" s="219"/>
      <c r="J424" s="219"/>
      <c r="O424" s="219"/>
    </row>
    <row r="425">
      <c r="A425" s="216"/>
      <c r="B425" s="217"/>
      <c r="F425" s="218"/>
      <c r="G425" s="218"/>
      <c r="H425" s="219"/>
      <c r="I425" s="219"/>
      <c r="J425" s="219"/>
      <c r="O425" s="219"/>
    </row>
    <row r="426">
      <c r="A426" s="216"/>
      <c r="B426" s="217"/>
      <c r="F426" s="218"/>
      <c r="G426" s="218"/>
      <c r="H426" s="219"/>
      <c r="I426" s="219"/>
      <c r="J426" s="219"/>
      <c r="O426" s="219"/>
    </row>
    <row r="427">
      <c r="A427" s="216"/>
      <c r="B427" s="217"/>
      <c r="F427" s="218"/>
      <c r="G427" s="218"/>
      <c r="H427" s="219"/>
      <c r="I427" s="219"/>
      <c r="J427" s="219"/>
      <c r="O427" s="219"/>
    </row>
    <row r="428">
      <c r="A428" s="216"/>
      <c r="B428" s="217"/>
      <c r="F428" s="218"/>
      <c r="G428" s="218"/>
      <c r="H428" s="219"/>
      <c r="I428" s="219"/>
      <c r="J428" s="219"/>
      <c r="O428" s="219"/>
    </row>
    <row r="429">
      <c r="A429" s="216"/>
      <c r="B429" s="217"/>
      <c r="F429" s="218"/>
      <c r="G429" s="218"/>
      <c r="H429" s="219"/>
      <c r="I429" s="219"/>
      <c r="J429" s="219"/>
      <c r="O429" s="219"/>
    </row>
    <row r="430">
      <c r="A430" s="216"/>
      <c r="B430" s="217"/>
      <c r="F430" s="218"/>
      <c r="G430" s="218"/>
      <c r="H430" s="219"/>
      <c r="I430" s="219"/>
      <c r="J430" s="219"/>
      <c r="O430" s="219"/>
    </row>
    <row r="431">
      <c r="A431" s="216"/>
      <c r="B431" s="217"/>
      <c r="F431" s="218"/>
      <c r="G431" s="218"/>
      <c r="H431" s="219"/>
      <c r="I431" s="219"/>
      <c r="J431" s="219"/>
      <c r="O431" s="219"/>
    </row>
    <row r="432">
      <c r="A432" s="216"/>
      <c r="B432" s="217"/>
      <c r="F432" s="218"/>
      <c r="G432" s="218"/>
      <c r="H432" s="219"/>
      <c r="I432" s="219"/>
      <c r="J432" s="219"/>
      <c r="O432" s="219"/>
    </row>
    <row r="433">
      <c r="A433" s="216"/>
      <c r="B433" s="217"/>
      <c r="F433" s="218"/>
      <c r="G433" s="218"/>
      <c r="H433" s="219"/>
      <c r="I433" s="219"/>
      <c r="J433" s="219"/>
      <c r="O433" s="219"/>
    </row>
    <row r="434">
      <c r="A434" s="216"/>
      <c r="B434" s="217"/>
      <c r="F434" s="218"/>
      <c r="G434" s="218"/>
      <c r="H434" s="219"/>
      <c r="I434" s="219"/>
      <c r="J434" s="219"/>
      <c r="O434" s="219"/>
    </row>
    <row r="435">
      <c r="A435" s="216"/>
      <c r="B435" s="217"/>
      <c r="F435" s="218"/>
      <c r="G435" s="218"/>
      <c r="H435" s="219"/>
      <c r="I435" s="219"/>
      <c r="J435" s="219"/>
      <c r="O435" s="219"/>
    </row>
    <row r="436">
      <c r="A436" s="216"/>
      <c r="B436" s="217"/>
      <c r="F436" s="218"/>
      <c r="G436" s="218"/>
      <c r="H436" s="219"/>
      <c r="I436" s="219"/>
      <c r="J436" s="219"/>
      <c r="O436" s="219"/>
    </row>
    <row r="437">
      <c r="A437" s="216"/>
      <c r="B437" s="217"/>
      <c r="F437" s="218"/>
      <c r="G437" s="218"/>
      <c r="H437" s="219"/>
      <c r="I437" s="219"/>
      <c r="J437" s="219"/>
      <c r="O437" s="219"/>
    </row>
    <row r="438">
      <c r="A438" s="216"/>
      <c r="B438" s="217"/>
      <c r="F438" s="218"/>
      <c r="G438" s="218"/>
      <c r="H438" s="219"/>
      <c r="I438" s="219"/>
      <c r="J438" s="219"/>
      <c r="O438" s="219"/>
    </row>
    <row r="439">
      <c r="A439" s="216"/>
      <c r="B439" s="217"/>
      <c r="F439" s="218"/>
      <c r="G439" s="218"/>
      <c r="H439" s="219"/>
      <c r="I439" s="219"/>
      <c r="J439" s="219"/>
      <c r="O439" s="219"/>
    </row>
    <row r="440">
      <c r="A440" s="216"/>
      <c r="B440" s="217"/>
      <c r="F440" s="218"/>
      <c r="G440" s="218"/>
      <c r="H440" s="219"/>
      <c r="I440" s="219"/>
      <c r="J440" s="219"/>
      <c r="O440" s="219"/>
    </row>
    <row r="441">
      <c r="A441" s="216"/>
      <c r="B441" s="217"/>
      <c r="F441" s="218"/>
      <c r="G441" s="218"/>
      <c r="H441" s="219"/>
      <c r="I441" s="219"/>
      <c r="J441" s="219"/>
      <c r="O441" s="219"/>
    </row>
    <row r="442">
      <c r="A442" s="216"/>
      <c r="B442" s="217"/>
      <c r="F442" s="218"/>
      <c r="G442" s="218"/>
      <c r="H442" s="219"/>
      <c r="I442" s="219"/>
      <c r="J442" s="219"/>
      <c r="O442" s="219"/>
    </row>
    <row r="443">
      <c r="A443" s="216"/>
      <c r="B443" s="217"/>
      <c r="F443" s="218"/>
      <c r="G443" s="218"/>
      <c r="H443" s="219"/>
      <c r="I443" s="219"/>
      <c r="J443" s="219"/>
      <c r="O443" s="219"/>
    </row>
    <row r="444">
      <c r="A444" s="216"/>
      <c r="B444" s="217"/>
      <c r="F444" s="218"/>
      <c r="G444" s="218"/>
      <c r="H444" s="219"/>
      <c r="I444" s="219"/>
      <c r="J444" s="219"/>
      <c r="O444" s="219"/>
    </row>
    <row r="445">
      <c r="A445" s="216"/>
      <c r="B445" s="217"/>
      <c r="F445" s="218"/>
      <c r="G445" s="218"/>
      <c r="H445" s="219"/>
      <c r="I445" s="219"/>
      <c r="J445" s="219"/>
      <c r="O445" s="219"/>
    </row>
    <row r="446">
      <c r="A446" s="216"/>
      <c r="B446" s="217"/>
      <c r="F446" s="218"/>
      <c r="G446" s="218"/>
      <c r="H446" s="219"/>
      <c r="I446" s="219"/>
      <c r="J446" s="219"/>
      <c r="O446" s="219"/>
    </row>
    <row r="447">
      <c r="A447" s="216"/>
      <c r="B447" s="217"/>
      <c r="F447" s="218"/>
      <c r="G447" s="218"/>
      <c r="H447" s="219"/>
      <c r="I447" s="219"/>
      <c r="J447" s="219"/>
      <c r="O447" s="219"/>
    </row>
    <row r="448">
      <c r="A448" s="216"/>
      <c r="B448" s="217"/>
      <c r="F448" s="218"/>
      <c r="G448" s="218"/>
      <c r="H448" s="219"/>
      <c r="I448" s="219"/>
      <c r="J448" s="219"/>
      <c r="O448" s="219"/>
    </row>
    <row r="449">
      <c r="A449" s="216"/>
      <c r="B449" s="217"/>
      <c r="F449" s="218"/>
      <c r="G449" s="218"/>
      <c r="H449" s="219"/>
      <c r="I449" s="219"/>
      <c r="J449" s="219"/>
      <c r="O449" s="219"/>
    </row>
    <row r="450">
      <c r="A450" s="216"/>
      <c r="B450" s="217"/>
      <c r="F450" s="218"/>
      <c r="G450" s="218"/>
      <c r="H450" s="219"/>
      <c r="I450" s="219"/>
      <c r="J450" s="219"/>
      <c r="O450" s="219"/>
    </row>
    <row r="451">
      <c r="A451" s="216"/>
      <c r="B451" s="217"/>
      <c r="F451" s="218"/>
      <c r="G451" s="218"/>
      <c r="H451" s="219"/>
      <c r="I451" s="219"/>
      <c r="J451" s="219"/>
      <c r="O451" s="219"/>
    </row>
    <row r="452">
      <c r="A452" s="216"/>
      <c r="B452" s="217"/>
      <c r="F452" s="218"/>
      <c r="G452" s="218"/>
      <c r="H452" s="219"/>
      <c r="I452" s="219"/>
      <c r="J452" s="219"/>
      <c r="O452" s="219"/>
    </row>
    <row r="453">
      <c r="A453" s="216"/>
      <c r="B453" s="217"/>
      <c r="F453" s="218"/>
      <c r="G453" s="218"/>
      <c r="H453" s="219"/>
      <c r="I453" s="219"/>
      <c r="J453" s="219"/>
      <c r="O453" s="219"/>
    </row>
    <row r="454">
      <c r="A454" s="216"/>
      <c r="B454" s="217"/>
      <c r="F454" s="218"/>
      <c r="G454" s="218"/>
      <c r="H454" s="219"/>
      <c r="I454" s="219"/>
      <c r="J454" s="219"/>
      <c r="O454" s="219"/>
    </row>
    <row r="455">
      <c r="A455" s="216"/>
      <c r="B455" s="217"/>
      <c r="F455" s="218"/>
      <c r="G455" s="218"/>
      <c r="H455" s="219"/>
      <c r="I455" s="219"/>
      <c r="J455" s="219"/>
      <c r="O455" s="219"/>
    </row>
    <row r="456">
      <c r="A456" s="216"/>
      <c r="B456" s="217"/>
      <c r="F456" s="218"/>
      <c r="G456" s="218"/>
      <c r="H456" s="219"/>
      <c r="I456" s="219"/>
      <c r="J456" s="219"/>
      <c r="O456" s="219"/>
    </row>
    <row r="457">
      <c r="A457" s="216"/>
      <c r="B457" s="217"/>
      <c r="F457" s="218"/>
      <c r="G457" s="218"/>
      <c r="H457" s="219"/>
      <c r="I457" s="219"/>
      <c r="J457" s="219"/>
      <c r="O457" s="219"/>
    </row>
    <row r="458">
      <c r="A458" s="216"/>
      <c r="B458" s="217"/>
      <c r="F458" s="218"/>
      <c r="G458" s="218"/>
      <c r="H458" s="219"/>
      <c r="I458" s="219"/>
      <c r="J458" s="219"/>
      <c r="O458" s="219"/>
    </row>
    <row r="459">
      <c r="A459" s="216"/>
      <c r="B459" s="217"/>
      <c r="F459" s="218"/>
      <c r="G459" s="218"/>
      <c r="H459" s="219"/>
      <c r="I459" s="219"/>
      <c r="J459" s="219"/>
      <c r="O459" s="219"/>
    </row>
    <row r="460">
      <c r="A460" s="216"/>
      <c r="B460" s="217"/>
      <c r="F460" s="218"/>
      <c r="G460" s="218"/>
      <c r="H460" s="219"/>
      <c r="I460" s="219"/>
      <c r="J460" s="219"/>
      <c r="O460" s="219"/>
    </row>
    <row r="461">
      <c r="A461" s="216"/>
      <c r="B461" s="217"/>
      <c r="F461" s="218"/>
      <c r="G461" s="218"/>
      <c r="H461" s="219"/>
      <c r="I461" s="219"/>
      <c r="J461" s="219"/>
      <c r="O461" s="219"/>
    </row>
    <row r="462">
      <c r="A462" s="216"/>
      <c r="B462" s="217"/>
      <c r="F462" s="218"/>
      <c r="G462" s="218"/>
      <c r="H462" s="219"/>
      <c r="I462" s="219"/>
      <c r="J462" s="219"/>
      <c r="O462" s="219"/>
    </row>
    <row r="463">
      <c r="A463" s="216"/>
      <c r="B463" s="217"/>
      <c r="F463" s="218"/>
      <c r="G463" s="218"/>
      <c r="H463" s="219"/>
      <c r="I463" s="219"/>
      <c r="J463" s="219"/>
      <c r="O463" s="219"/>
    </row>
    <row r="464">
      <c r="A464" s="216"/>
      <c r="B464" s="217"/>
      <c r="F464" s="218"/>
      <c r="G464" s="218"/>
      <c r="H464" s="219"/>
      <c r="I464" s="219"/>
      <c r="J464" s="219"/>
      <c r="O464" s="219"/>
    </row>
    <row r="465">
      <c r="A465" s="216"/>
      <c r="B465" s="217"/>
      <c r="F465" s="218"/>
      <c r="G465" s="218"/>
      <c r="H465" s="219"/>
      <c r="I465" s="219"/>
      <c r="J465" s="219"/>
      <c r="O465" s="219"/>
    </row>
    <row r="466">
      <c r="A466" s="216"/>
      <c r="B466" s="217"/>
      <c r="F466" s="218"/>
      <c r="G466" s="218"/>
      <c r="H466" s="219"/>
      <c r="I466" s="219"/>
      <c r="J466" s="219"/>
      <c r="O466" s="219"/>
    </row>
    <row r="467">
      <c r="A467" s="216"/>
      <c r="B467" s="217"/>
      <c r="F467" s="218"/>
      <c r="G467" s="218"/>
      <c r="H467" s="219"/>
      <c r="I467" s="219"/>
      <c r="J467" s="219"/>
      <c r="O467" s="219"/>
    </row>
    <row r="468">
      <c r="A468" s="216"/>
      <c r="B468" s="217"/>
      <c r="F468" s="218"/>
      <c r="G468" s="218"/>
      <c r="H468" s="219"/>
      <c r="I468" s="219"/>
      <c r="J468" s="219"/>
      <c r="O468" s="219"/>
    </row>
    <row r="469">
      <c r="A469" s="216"/>
      <c r="B469" s="217"/>
      <c r="F469" s="218"/>
      <c r="G469" s="218"/>
      <c r="H469" s="219"/>
      <c r="I469" s="219"/>
      <c r="J469" s="219"/>
      <c r="O469" s="219"/>
    </row>
    <row r="470">
      <c r="A470" s="216"/>
      <c r="B470" s="217"/>
      <c r="F470" s="218"/>
      <c r="G470" s="218"/>
      <c r="H470" s="219"/>
      <c r="I470" s="219"/>
      <c r="J470" s="219"/>
      <c r="O470" s="219"/>
    </row>
    <row r="471">
      <c r="A471" s="216"/>
      <c r="B471" s="217"/>
      <c r="F471" s="218"/>
      <c r="G471" s="218"/>
      <c r="H471" s="219"/>
      <c r="I471" s="219"/>
      <c r="J471" s="219"/>
      <c r="O471" s="219"/>
    </row>
    <row r="472">
      <c r="A472" s="216"/>
      <c r="B472" s="217"/>
      <c r="F472" s="218"/>
      <c r="G472" s="218"/>
      <c r="H472" s="219"/>
      <c r="I472" s="219"/>
      <c r="J472" s="219"/>
      <c r="O472" s="219"/>
    </row>
    <row r="473">
      <c r="A473" s="216"/>
      <c r="B473" s="217"/>
      <c r="F473" s="218"/>
      <c r="G473" s="218"/>
      <c r="H473" s="219"/>
      <c r="I473" s="219"/>
      <c r="J473" s="219"/>
      <c r="O473" s="219"/>
    </row>
    <row r="474">
      <c r="A474" s="216"/>
      <c r="B474" s="217"/>
      <c r="F474" s="218"/>
      <c r="G474" s="218"/>
      <c r="H474" s="219"/>
      <c r="I474" s="219"/>
      <c r="J474" s="219"/>
      <c r="O474" s="219"/>
    </row>
    <row r="475">
      <c r="A475" s="216"/>
      <c r="B475" s="217"/>
      <c r="F475" s="218"/>
      <c r="G475" s="218"/>
      <c r="H475" s="219"/>
      <c r="I475" s="219"/>
      <c r="J475" s="219"/>
      <c r="O475" s="219"/>
    </row>
    <row r="476">
      <c r="A476" s="216"/>
      <c r="B476" s="217"/>
      <c r="F476" s="218"/>
      <c r="G476" s="218"/>
      <c r="H476" s="219"/>
      <c r="I476" s="219"/>
      <c r="J476" s="219"/>
      <c r="O476" s="219"/>
    </row>
    <row r="477">
      <c r="A477" s="216"/>
      <c r="B477" s="217"/>
      <c r="F477" s="218"/>
      <c r="G477" s="218"/>
      <c r="H477" s="219"/>
      <c r="I477" s="219"/>
      <c r="J477" s="219"/>
      <c r="O477" s="219"/>
    </row>
    <row r="478">
      <c r="A478" s="216"/>
      <c r="B478" s="217"/>
      <c r="F478" s="218"/>
      <c r="G478" s="218"/>
      <c r="H478" s="219"/>
      <c r="I478" s="219"/>
      <c r="J478" s="219"/>
      <c r="O478" s="219"/>
    </row>
    <row r="479">
      <c r="A479" s="216"/>
      <c r="B479" s="217"/>
      <c r="F479" s="218"/>
      <c r="G479" s="218"/>
      <c r="H479" s="219"/>
      <c r="I479" s="219"/>
      <c r="J479" s="219"/>
      <c r="O479" s="219"/>
    </row>
    <row r="480">
      <c r="A480" s="216"/>
      <c r="B480" s="217"/>
      <c r="F480" s="218"/>
      <c r="G480" s="218"/>
      <c r="H480" s="219"/>
      <c r="I480" s="219"/>
      <c r="J480" s="219"/>
      <c r="O480" s="219"/>
    </row>
    <row r="481">
      <c r="A481" s="216"/>
      <c r="B481" s="217"/>
      <c r="F481" s="218"/>
      <c r="G481" s="218"/>
      <c r="H481" s="219"/>
      <c r="I481" s="219"/>
      <c r="J481" s="219"/>
      <c r="O481" s="219"/>
    </row>
    <row r="482">
      <c r="A482" s="216"/>
      <c r="B482" s="217"/>
      <c r="F482" s="218"/>
      <c r="G482" s="218"/>
      <c r="H482" s="219"/>
      <c r="I482" s="219"/>
      <c r="J482" s="219"/>
      <c r="O482" s="219"/>
    </row>
    <row r="483">
      <c r="A483" s="216"/>
      <c r="B483" s="217"/>
      <c r="F483" s="218"/>
      <c r="G483" s="218"/>
      <c r="H483" s="219"/>
      <c r="I483" s="219"/>
      <c r="J483" s="219"/>
      <c r="O483" s="219"/>
    </row>
    <row r="484">
      <c r="A484" s="216"/>
      <c r="B484" s="217"/>
      <c r="F484" s="218"/>
      <c r="G484" s="218"/>
      <c r="H484" s="219"/>
      <c r="I484" s="219"/>
      <c r="J484" s="219"/>
      <c r="O484" s="219"/>
    </row>
    <row r="485">
      <c r="A485" s="216"/>
      <c r="B485" s="217"/>
      <c r="F485" s="218"/>
      <c r="G485" s="218"/>
      <c r="H485" s="219"/>
      <c r="I485" s="219"/>
      <c r="J485" s="219"/>
      <c r="O485" s="219"/>
    </row>
    <row r="486">
      <c r="A486" s="216"/>
      <c r="B486" s="217"/>
      <c r="F486" s="218"/>
      <c r="G486" s="218"/>
      <c r="H486" s="219"/>
      <c r="I486" s="219"/>
      <c r="J486" s="219"/>
      <c r="O486" s="219"/>
    </row>
    <row r="487">
      <c r="A487" s="216"/>
      <c r="B487" s="217"/>
      <c r="F487" s="218"/>
      <c r="G487" s="218"/>
      <c r="H487" s="219"/>
      <c r="I487" s="219"/>
      <c r="J487" s="219"/>
      <c r="O487" s="219"/>
    </row>
    <row r="488">
      <c r="A488" s="216"/>
      <c r="B488" s="217"/>
      <c r="F488" s="218"/>
      <c r="G488" s="218"/>
      <c r="H488" s="219"/>
      <c r="I488" s="219"/>
      <c r="J488" s="219"/>
      <c r="O488" s="219"/>
    </row>
    <row r="489">
      <c r="A489" s="216"/>
      <c r="B489" s="217"/>
      <c r="F489" s="218"/>
      <c r="G489" s="218"/>
      <c r="H489" s="219"/>
      <c r="I489" s="219"/>
      <c r="J489" s="219"/>
      <c r="O489" s="219"/>
    </row>
    <row r="490">
      <c r="A490" s="216"/>
      <c r="B490" s="217"/>
      <c r="F490" s="218"/>
      <c r="G490" s="218"/>
      <c r="H490" s="219"/>
      <c r="I490" s="219"/>
      <c r="J490" s="219"/>
      <c r="O490" s="219"/>
    </row>
    <row r="491">
      <c r="A491" s="216"/>
      <c r="B491" s="217"/>
      <c r="F491" s="218"/>
      <c r="G491" s="218"/>
      <c r="H491" s="219"/>
      <c r="I491" s="219"/>
      <c r="J491" s="219"/>
      <c r="O491" s="219"/>
    </row>
    <row r="492">
      <c r="A492" s="216"/>
      <c r="B492" s="217"/>
      <c r="F492" s="218"/>
      <c r="G492" s="218"/>
      <c r="H492" s="219"/>
      <c r="I492" s="219"/>
      <c r="J492" s="219"/>
      <c r="O492" s="219"/>
    </row>
    <row r="493">
      <c r="A493" s="216"/>
      <c r="B493" s="217"/>
      <c r="F493" s="218"/>
      <c r="G493" s="218"/>
      <c r="H493" s="219"/>
      <c r="I493" s="219"/>
      <c r="J493" s="219"/>
      <c r="O493" s="219"/>
    </row>
    <row r="494">
      <c r="A494" s="216"/>
      <c r="B494" s="217"/>
      <c r="F494" s="218"/>
      <c r="G494" s="218"/>
      <c r="H494" s="219"/>
      <c r="I494" s="219"/>
      <c r="J494" s="219"/>
      <c r="O494" s="219"/>
    </row>
    <row r="495">
      <c r="A495" s="216"/>
      <c r="B495" s="217"/>
      <c r="F495" s="218"/>
      <c r="G495" s="218"/>
      <c r="H495" s="219"/>
      <c r="I495" s="219"/>
      <c r="J495" s="219"/>
      <c r="O495" s="219"/>
    </row>
    <row r="496">
      <c r="A496" s="216"/>
      <c r="B496" s="217"/>
      <c r="F496" s="218"/>
      <c r="G496" s="218"/>
      <c r="H496" s="219"/>
      <c r="I496" s="219"/>
      <c r="J496" s="219"/>
      <c r="O496" s="219"/>
    </row>
    <row r="497">
      <c r="A497" s="216"/>
      <c r="B497" s="217"/>
      <c r="F497" s="218"/>
      <c r="G497" s="218"/>
      <c r="H497" s="219"/>
      <c r="I497" s="219"/>
      <c r="J497" s="219"/>
      <c r="O497" s="219"/>
    </row>
    <row r="498">
      <c r="A498" s="216"/>
      <c r="B498" s="217"/>
      <c r="F498" s="218"/>
      <c r="G498" s="218"/>
      <c r="H498" s="219"/>
      <c r="I498" s="219"/>
      <c r="J498" s="219"/>
      <c r="O498" s="219"/>
    </row>
    <row r="499">
      <c r="A499" s="216"/>
      <c r="B499" s="217"/>
      <c r="F499" s="218"/>
      <c r="G499" s="218"/>
      <c r="H499" s="219"/>
      <c r="I499" s="219"/>
      <c r="J499" s="219"/>
      <c r="O499" s="219"/>
    </row>
    <row r="500">
      <c r="A500" s="216"/>
      <c r="B500" s="217"/>
      <c r="F500" s="218"/>
      <c r="G500" s="218"/>
      <c r="H500" s="219"/>
      <c r="I500" s="219"/>
      <c r="J500" s="219"/>
      <c r="O500" s="219"/>
    </row>
    <row r="501">
      <c r="A501" s="216"/>
      <c r="B501" s="217"/>
      <c r="F501" s="218"/>
      <c r="G501" s="218"/>
      <c r="H501" s="219"/>
      <c r="I501" s="219"/>
      <c r="J501" s="219"/>
      <c r="O501" s="219"/>
    </row>
    <row r="502">
      <c r="A502" s="216"/>
      <c r="B502" s="217"/>
      <c r="F502" s="218"/>
      <c r="G502" s="218"/>
      <c r="H502" s="219"/>
      <c r="I502" s="219"/>
      <c r="J502" s="219"/>
      <c r="O502" s="219"/>
    </row>
    <row r="503">
      <c r="A503" s="216"/>
      <c r="B503" s="217"/>
      <c r="F503" s="218"/>
      <c r="G503" s="218"/>
      <c r="H503" s="219"/>
      <c r="I503" s="219"/>
      <c r="J503" s="219"/>
      <c r="O503" s="219"/>
    </row>
    <row r="504">
      <c r="A504" s="216"/>
      <c r="B504" s="217"/>
      <c r="F504" s="218"/>
      <c r="G504" s="218"/>
      <c r="H504" s="219"/>
      <c r="I504" s="219"/>
      <c r="J504" s="219"/>
      <c r="O504" s="219"/>
    </row>
    <row r="505">
      <c r="A505" s="216"/>
      <c r="B505" s="217"/>
      <c r="F505" s="218"/>
      <c r="G505" s="218"/>
      <c r="H505" s="219"/>
      <c r="I505" s="219"/>
      <c r="J505" s="219"/>
      <c r="O505" s="219"/>
    </row>
    <row r="506">
      <c r="A506" s="216"/>
      <c r="B506" s="217"/>
      <c r="F506" s="218"/>
      <c r="G506" s="218"/>
      <c r="H506" s="219"/>
      <c r="I506" s="219"/>
      <c r="J506" s="219"/>
      <c r="O506" s="219"/>
    </row>
    <row r="507">
      <c r="A507" s="216"/>
      <c r="B507" s="217"/>
      <c r="F507" s="218"/>
      <c r="G507" s="218"/>
      <c r="H507" s="219"/>
      <c r="I507" s="219"/>
      <c r="J507" s="219"/>
      <c r="O507" s="219"/>
    </row>
    <row r="508">
      <c r="A508" s="216"/>
      <c r="B508" s="217"/>
      <c r="F508" s="218"/>
      <c r="G508" s="218"/>
      <c r="H508" s="219"/>
      <c r="I508" s="219"/>
      <c r="J508" s="219"/>
      <c r="O508" s="219"/>
    </row>
    <row r="509">
      <c r="A509" s="216"/>
      <c r="B509" s="217"/>
      <c r="F509" s="218"/>
      <c r="G509" s="218"/>
      <c r="H509" s="219"/>
      <c r="I509" s="219"/>
      <c r="J509" s="219"/>
      <c r="O509" s="219"/>
    </row>
    <row r="510">
      <c r="A510" s="216"/>
      <c r="B510" s="217"/>
      <c r="F510" s="218"/>
      <c r="G510" s="218"/>
      <c r="H510" s="219"/>
      <c r="I510" s="219"/>
      <c r="J510" s="219"/>
      <c r="O510" s="219"/>
    </row>
    <row r="511">
      <c r="A511" s="216"/>
      <c r="B511" s="217"/>
      <c r="F511" s="218"/>
      <c r="G511" s="218"/>
      <c r="H511" s="219"/>
      <c r="I511" s="219"/>
      <c r="J511" s="219"/>
      <c r="O511" s="219"/>
    </row>
    <row r="512">
      <c r="A512" s="216"/>
      <c r="B512" s="217"/>
      <c r="F512" s="218"/>
      <c r="G512" s="218"/>
      <c r="H512" s="219"/>
      <c r="I512" s="219"/>
      <c r="J512" s="219"/>
      <c r="O512" s="219"/>
    </row>
    <row r="513">
      <c r="A513" s="216"/>
      <c r="B513" s="217"/>
      <c r="F513" s="218"/>
      <c r="G513" s="218"/>
      <c r="H513" s="219"/>
      <c r="I513" s="219"/>
      <c r="J513" s="219"/>
      <c r="O513" s="219"/>
    </row>
    <row r="514">
      <c r="A514" s="216"/>
      <c r="B514" s="217"/>
      <c r="F514" s="218"/>
      <c r="G514" s="218"/>
      <c r="H514" s="219"/>
      <c r="I514" s="219"/>
      <c r="J514" s="219"/>
      <c r="O514" s="219"/>
    </row>
    <row r="515">
      <c r="A515" s="216"/>
      <c r="B515" s="217"/>
      <c r="F515" s="218"/>
      <c r="G515" s="218"/>
      <c r="H515" s="219"/>
      <c r="I515" s="219"/>
      <c r="J515" s="219"/>
      <c r="O515" s="219"/>
    </row>
    <row r="516">
      <c r="A516" s="216"/>
      <c r="B516" s="217"/>
      <c r="F516" s="218"/>
      <c r="G516" s="218"/>
      <c r="H516" s="219"/>
      <c r="I516" s="219"/>
      <c r="J516" s="219"/>
      <c r="O516" s="219"/>
    </row>
    <row r="517">
      <c r="A517" s="216"/>
      <c r="B517" s="217"/>
      <c r="F517" s="218"/>
      <c r="G517" s="218"/>
      <c r="H517" s="219"/>
      <c r="I517" s="219"/>
      <c r="J517" s="219"/>
      <c r="O517" s="219"/>
    </row>
    <row r="518">
      <c r="A518" s="216"/>
      <c r="B518" s="217"/>
      <c r="F518" s="218"/>
      <c r="G518" s="218"/>
      <c r="H518" s="219"/>
      <c r="I518" s="219"/>
      <c r="J518" s="219"/>
      <c r="O518" s="219"/>
    </row>
    <row r="519">
      <c r="A519" s="216"/>
      <c r="B519" s="217"/>
      <c r="F519" s="218"/>
      <c r="G519" s="218"/>
      <c r="H519" s="219"/>
      <c r="I519" s="219"/>
      <c r="J519" s="219"/>
      <c r="O519" s="219"/>
    </row>
    <row r="520">
      <c r="A520" s="216"/>
      <c r="B520" s="217"/>
      <c r="F520" s="218"/>
      <c r="G520" s="218"/>
      <c r="H520" s="219"/>
      <c r="I520" s="219"/>
      <c r="J520" s="219"/>
      <c r="O520" s="219"/>
    </row>
    <row r="521">
      <c r="A521" s="216"/>
      <c r="B521" s="217"/>
      <c r="F521" s="218"/>
      <c r="G521" s="218"/>
      <c r="H521" s="219"/>
      <c r="I521" s="219"/>
      <c r="J521" s="219"/>
      <c r="O521" s="219"/>
    </row>
    <row r="522">
      <c r="A522" s="216"/>
      <c r="B522" s="217"/>
      <c r="F522" s="218"/>
      <c r="G522" s="218"/>
      <c r="H522" s="219"/>
      <c r="I522" s="219"/>
      <c r="J522" s="219"/>
      <c r="O522" s="219"/>
    </row>
    <row r="523">
      <c r="A523" s="216"/>
      <c r="B523" s="217"/>
      <c r="F523" s="218"/>
      <c r="G523" s="218"/>
      <c r="H523" s="219"/>
      <c r="I523" s="219"/>
      <c r="J523" s="219"/>
      <c r="O523" s="219"/>
    </row>
    <row r="524">
      <c r="A524" s="216"/>
      <c r="B524" s="217"/>
      <c r="F524" s="218"/>
      <c r="G524" s="218"/>
      <c r="H524" s="219"/>
      <c r="I524" s="219"/>
      <c r="J524" s="219"/>
      <c r="O524" s="219"/>
    </row>
    <row r="525">
      <c r="A525" s="216"/>
      <c r="B525" s="217"/>
      <c r="F525" s="218"/>
      <c r="G525" s="218"/>
      <c r="H525" s="219"/>
      <c r="I525" s="219"/>
      <c r="J525" s="219"/>
      <c r="O525" s="219"/>
    </row>
    <row r="526">
      <c r="A526" s="216"/>
      <c r="B526" s="217"/>
      <c r="F526" s="218"/>
      <c r="G526" s="218"/>
      <c r="H526" s="219"/>
      <c r="I526" s="219"/>
      <c r="J526" s="219"/>
      <c r="O526" s="219"/>
    </row>
    <row r="527">
      <c r="A527" s="216"/>
      <c r="B527" s="217"/>
      <c r="F527" s="218"/>
      <c r="G527" s="218"/>
      <c r="H527" s="219"/>
      <c r="I527" s="219"/>
      <c r="J527" s="219"/>
      <c r="O527" s="219"/>
    </row>
    <row r="528">
      <c r="A528" s="216"/>
      <c r="B528" s="217"/>
      <c r="F528" s="218"/>
      <c r="G528" s="218"/>
      <c r="H528" s="219"/>
      <c r="I528" s="219"/>
      <c r="J528" s="219"/>
      <c r="O528" s="219"/>
    </row>
    <row r="529">
      <c r="A529" s="216"/>
      <c r="B529" s="217"/>
      <c r="F529" s="218"/>
      <c r="G529" s="218"/>
      <c r="H529" s="219"/>
      <c r="I529" s="219"/>
      <c r="J529" s="219"/>
      <c r="O529" s="219"/>
    </row>
    <row r="530">
      <c r="A530" s="216"/>
      <c r="B530" s="217"/>
      <c r="F530" s="218"/>
      <c r="G530" s="218"/>
      <c r="H530" s="219"/>
      <c r="I530" s="219"/>
      <c r="J530" s="219"/>
      <c r="O530" s="219"/>
    </row>
    <row r="531">
      <c r="A531" s="216"/>
      <c r="B531" s="217"/>
      <c r="F531" s="218"/>
      <c r="G531" s="218"/>
      <c r="H531" s="219"/>
      <c r="I531" s="219"/>
      <c r="J531" s="219"/>
      <c r="O531" s="219"/>
    </row>
    <row r="532">
      <c r="A532" s="216"/>
      <c r="B532" s="217"/>
      <c r="F532" s="218"/>
      <c r="G532" s="218"/>
      <c r="H532" s="219"/>
      <c r="I532" s="219"/>
      <c r="J532" s="219"/>
      <c r="O532" s="219"/>
    </row>
    <row r="533">
      <c r="A533" s="216"/>
      <c r="B533" s="217"/>
      <c r="F533" s="218"/>
      <c r="G533" s="218"/>
      <c r="H533" s="219"/>
      <c r="I533" s="219"/>
      <c r="J533" s="219"/>
      <c r="O533" s="219"/>
    </row>
    <row r="534">
      <c r="A534" s="216"/>
      <c r="B534" s="217"/>
      <c r="F534" s="218"/>
      <c r="G534" s="218"/>
      <c r="H534" s="219"/>
      <c r="I534" s="219"/>
      <c r="J534" s="219"/>
      <c r="O534" s="219"/>
    </row>
    <row r="535">
      <c r="A535" s="216"/>
      <c r="B535" s="217"/>
      <c r="F535" s="218"/>
      <c r="G535" s="218"/>
      <c r="H535" s="219"/>
      <c r="I535" s="219"/>
      <c r="J535" s="219"/>
      <c r="O535" s="219"/>
    </row>
    <row r="536">
      <c r="A536" s="216"/>
      <c r="B536" s="217"/>
      <c r="F536" s="218"/>
      <c r="G536" s="218"/>
      <c r="H536" s="219"/>
      <c r="I536" s="219"/>
      <c r="J536" s="219"/>
      <c r="O536" s="219"/>
    </row>
    <row r="537">
      <c r="A537" s="216"/>
      <c r="B537" s="217"/>
      <c r="F537" s="218"/>
      <c r="G537" s="218"/>
      <c r="H537" s="219"/>
      <c r="I537" s="219"/>
      <c r="J537" s="219"/>
      <c r="O537" s="219"/>
    </row>
    <row r="538">
      <c r="A538" s="216"/>
      <c r="B538" s="217"/>
      <c r="F538" s="218"/>
      <c r="G538" s="218"/>
      <c r="H538" s="219"/>
      <c r="I538" s="219"/>
      <c r="J538" s="219"/>
      <c r="O538" s="219"/>
    </row>
    <row r="539">
      <c r="A539" s="216"/>
      <c r="B539" s="217"/>
      <c r="F539" s="218"/>
      <c r="G539" s="218"/>
      <c r="H539" s="219"/>
      <c r="I539" s="219"/>
      <c r="J539" s="219"/>
      <c r="O539" s="219"/>
    </row>
    <row r="540">
      <c r="A540" s="216"/>
      <c r="B540" s="217"/>
      <c r="F540" s="218"/>
      <c r="G540" s="218"/>
      <c r="H540" s="219"/>
      <c r="I540" s="219"/>
      <c r="J540" s="219"/>
      <c r="O540" s="219"/>
    </row>
    <row r="541">
      <c r="A541" s="216"/>
      <c r="B541" s="217"/>
      <c r="F541" s="218"/>
      <c r="G541" s="218"/>
      <c r="H541" s="219"/>
      <c r="I541" s="219"/>
      <c r="J541" s="219"/>
      <c r="O541" s="219"/>
    </row>
    <row r="542">
      <c r="A542" s="216"/>
      <c r="B542" s="217"/>
      <c r="F542" s="218"/>
      <c r="G542" s="218"/>
      <c r="H542" s="219"/>
      <c r="I542" s="219"/>
      <c r="J542" s="219"/>
      <c r="O542" s="219"/>
    </row>
    <row r="543">
      <c r="A543" s="216"/>
      <c r="B543" s="217"/>
      <c r="F543" s="218"/>
      <c r="G543" s="218"/>
      <c r="H543" s="219"/>
      <c r="I543" s="219"/>
      <c r="J543" s="219"/>
      <c r="O543" s="219"/>
    </row>
    <row r="544">
      <c r="A544" s="216"/>
      <c r="B544" s="217"/>
      <c r="F544" s="218"/>
      <c r="G544" s="218"/>
      <c r="H544" s="219"/>
      <c r="I544" s="219"/>
      <c r="J544" s="219"/>
      <c r="O544" s="219"/>
    </row>
    <row r="545">
      <c r="A545" s="216"/>
      <c r="B545" s="217"/>
      <c r="F545" s="218"/>
      <c r="G545" s="218"/>
      <c r="H545" s="219"/>
      <c r="I545" s="219"/>
      <c r="J545" s="219"/>
      <c r="O545" s="219"/>
    </row>
    <row r="546">
      <c r="A546" s="216"/>
      <c r="B546" s="217"/>
      <c r="F546" s="218"/>
      <c r="G546" s="218"/>
      <c r="H546" s="219"/>
      <c r="I546" s="219"/>
      <c r="J546" s="219"/>
      <c r="O546" s="219"/>
    </row>
    <row r="547">
      <c r="A547" s="216"/>
      <c r="B547" s="217"/>
      <c r="F547" s="218"/>
      <c r="G547" s="218"/>
      <c r="H547" s="219"/>
      <c r="I547" s="219"/>
      <c r="J547" s="219"/>
      <c r="O547" s="219"/>
    </row>
    <row r="548">
      <c r="A548" s="216"/>
      <c r="B548" s="217"/>
      <c r="F548" s="218"/>
      <c r="G548" s="218"/>
      <c r="H548" s="219"/>
      <c r="I548" s="219"/>
      <c r="J548" s="219"/>
      <c r="O548" s="219"/>
    </row>
    <row r="549">
      <c r="A549" s="216"/>
      <c r="B549" s="217"/>
      <c r="F549" s="218"/>
      <c r="G549" s="218"/>
      <c r="H549" s="219"/>
      <c r="I549" s="219"/>
      <c r="J549" s="219"/>
      <c r="O549" s="219"/>
    </row>
    <row r="550">
      <c r="A550" s="216"/>
      <c r="B550" s="217"/>
      <c r="F550" s="218"/>
      <c r="G550" s="218"/>
      <c r="H550" s="219"/>
      <c r="I550" s="219"/>
      <c r="J550" s="219"/>
      <c r="O550" s="219"/>
    </row>
    <row r="551">
      <c r="A551" s="216"/>
      <c r="B551" s="217"/>
      <c r="F551" s="218"/>
      <c r="G551" s="218"/>
      <c r="H551" s="219"/>
      <c r="I551" s="219"/>
      <c r="J551" s="219"/>
      <c r="O551" s="219"/>
    </row>
    <row r="552">
      <c r="A552" s="216"/>
      <c r="B552" s="217"/>
      <c r="F552" s="218"/>
      <c r="G552" s="218"/>
      <c r="H552" s="219"/>
      <c r="I552" s="219"/>
      <c r="J552" s="219"/>
      <c r="O552" s="219"/>
    </row>
    <row r="553">
      <c r="A553" s="216"/>
      <c r="B553" s="217"/>
      <c r="F553" s="218"/>
      <c r="G553" s="218"/>
      <c r="H553" s="219"/>
      <c r="I553" s="219"/>
      <c r="J553" s="219"/>
      <c r="O553" s="219"/>
    </row>
    <row r="554">
      <c r="A554" s="216"/>
      <c r="B554" s="217"/>
      <c r="F554" s="218"/>
      <c r="G554" s="218"/>
      <c r="H554" s="219"/>
      <c r="I554" s="219"/>
      <c r="J554" s="219"/>
      <c r="O554" s="219"/>
    </row>
    <row r="555">
      <c r="A555" s="216"/>
      <c r="B555" s="217"/>
      <c r="F555" s="218"/>
      <c r="G555" s="218"/>
      <c r="H555" s="219"/>
      <c r="I555" s="219"/>
      <c r="J555" s="219"/>
      <c r="O555" s="219"/>
    </row>
    <row r="556">
      <c r="A556" s="216"/>
      <c r="B556" s="217"/>
      <c r="F556" s="218"/>
      <c r="G556" s="218"/>
      <c r="H556" s="219"/>
      <c r="I556" s="219"/>
      <c r="J556" s="219"/>
      <c r="O556" s="219"/>
    </row>
    <row r="557">
      <c r="A557" s="216"/>
      <c r="B557" s="217"/>
      <c r="F557" s="218"/>
      <c r="G557" s="218"/>
      <c r="H557" s="219"/>
      <c r="I557" s="219"/>
      <c r="J557" s="219"/>
      <c r="O557" s="219"/>
    </row>
    <row r="558">
      <c r="A558" s="216"/>
      <c r="B558" s="217"/>
      <c r="F558" s="218"/>
      <c r="G558" s="218"/>
      <c r="H558" s="219"/>
      <c r="I558" s="219"/>
      <c r="J558" s="219"/>
      <c r="O558" s="219"/>
    </row>
    <row r="559">
      <c r="A559" s="216"/>
      <c r="B559" s="217"/>
      <c r="F559" s="218"/>
      <c r="G559" s="218"/>
      <c r="H559" s="219"/>
      <c r="I559" s="219"/>
      <c r="J559" s="219"/>
      <c r="O559" s="219"/>
    </row>
    <row r="560">
      <c r="A560" s="216"/>
      <c r="B560" s="217"/>
      <c r="F560" s="218"/>
      <c r="G560" s="218"/>
      <c r="H560" s="219"/>
      <c r="I560" s="219"/>
      <c r="J560" s="219"/>
      <c r="O560" s="219"/>
    </row>
    <row r="561">
      <c r="A561" s="216"/>
      <c r="B561" s="217"/>
      <c r="F561" s="218"/>
      <c r="G561" s="218"/>
      <c r="H561" s="219"/>
      <c r="I561" s="219"/>
      <c r="J561" s="219"/>
      <c r="O561" s="219"/>
    </row>
    <row r="562">
      <c r="A562" s="216"/>
      <c r="B562" s="217"/>
      <c r="F562" s="218"/>
      <c r="G562" s="218"/>
      <c r="H562" s="219"/>
      <c r="I562" s="219"/>
      <c r="J562" s="219"/>
      <c r="O562" s="219"/>
    </row>
    <row r="563">
      <c r="A563" s="216"/>
      <c r="B563" s="217"/>
      <c r="F563" s="218"/>
      <c r="G563" s="218"/>
      <c r="H563" s="219"/>
      <c r="I563" s="219"/>
      <c r="J563" s="219"/>
      <c r="O563" s="219"/>
    </row>
    <row r="564">
      <c r="A564" s="216"/>
      <c r="B564" s="217"/>
      <c r="F564" s="218"/>
      <c r="G564" s="218"/>
      <c r="H564" s="219"/>
      <c r="I564" s="219"/>
      <c r="J564" s="219"/>
      <c r="O564" s="219"/>
    </row>
    <row r="565">
      <c r="A565" s="216"/>
      <c r="B565" s="217"/>
      <c r="F565" s="218"/>
      <c r="G565" s="218"/>
      <c r="H565" s="219"/>
      <c r="I565" s="219"/>
      <c r="J565" s="219"/>
      <c r="O565" s="219"/>
    </row>
    <row r="566">
      <c r="A566" s="216"/>
      <c r="B566" s="217"/>
      <c r="F566" s="218"/>
      <c r="G566" s="218"/>
      <c r="H566" s="219"/>
      <c r="I566" s="219"/>
      <c r="J566" s="219"/>
      <c r="O566" s="219"/>
    </row>
    <row r="567">
      <c r="A567" s="216"/>
      <c r="B567" s="217"/>
      <c r="F567" s="218"/>
      <c r="G567" s="218"/>
      <c r="H567" s="219"/>
      <c r="I567" s="219"/>
      <c r="J567" s="219"/>
      <c r="O567" s="219"/>
    </row>
    <row r="568">
      <c r="A568" s="216"/>
      <c r="B568" s="217"/>
      <c r="F568" s="218"/>
      <c r="G568" s="218"/>
      <c r="H568" s="219"/>
      <c r="I568" s="219"/>
      <c r="J568" s="219"/>
      <c r="O568" s="219"/>
    </row>
    <row r="569">
      <c r="A569" s="216"/>
      <c r="B569" s="217"/>
      <c r="F569" s="218"/>
      <c r="G569" s="218"/>
      <c r="H569" s="219"/>
      <c r="I569" s="219"/>
      <c r="J569" s="219"/>
      <c r="O569" s="219"/>
    </row>
    <row r="570">
      <c r="A570" s="216"/>
      <c r="B570" s="217"/>
      <c r="F570" s="218"/>
      <c r="G570" s="218"/>
      <c r="H570" s="219"/>
      <c r="I570" s="219"/>
      <c r="J570" s="219"/>
      <c r="O570" s="219"/>
    </row>
    <row r="571">
      <c r="A571" s="216"/>
      <c r="B571" s="217"/>
      <c r="F571" s="218"/>
      <c r="G571" s="218"/>
      <c r="H571" s="219"/>
      <c r="I571" s="219"/>
      <c r="J571" s="219"/>
      <c r="O571" s="219"/>
    </row>
    <row r="572">
      <c r="A572" s="216"/>
      <c r="B572" s="217"/>
      <c r="F572" s="218"/>
      <c r="G572" s="218"/>
      <c r="H572" s="219"/>
      <c r="I572" s="219"/>
      <c r="J572" s="219"/>
      <c r="O572" s="219"/>
    </row>
    <row r="573">
      <c r="A573" s="216"/>
      <c r="B573" s="217"/>
      <c r="F573" s="218"/>
      <c r="G573" s="218"/>
      <c r="H573" s="219"/>
      <c r="I573" s="219"/>
      <c r="J573" s="219"/>
      <c r="O573" s="219"/>
    </row>
    <row r="574">
      <c r="A574" s="216"/>
      <c r="B574" s="217"/>
      <c r="F574" s="218"/>
      <c r="G574" s="218"/>
      <c r="H574" s="219"/>
      <c r="I574" s="219"/>
      <c r="J574" s="219"/>
      <c r="O574" s="219"/>
    </row>
    <row r="575">
      <c r="A575" s="216"/>
      <c r="B575" s="217"/>
      <c r="F575" s="218"/>
      <c r="G575" s="218"/>
      <c r="H575" s="219"/>
      <c r="I575" s="219"/>
      <c r="J575" s="219"/>
      <c r="O575" s="219"/>
    </row>
    <row r="576">
      <c r="A576" s="216"/>
      <c r="B576" s="217"/>
      <c r="F576" s="218"/>
      <c r="G576" s="218"/>
      <c r="H576" s="219"/>
      <c r="I576" s="219"/>
      <c r="J576" s="219"/>
      <c r="O576" s="219"/>
    </row>
    <row r="577">
      <c r="A577" s="216"/>
      <c r="B577" s="217"/>
      <c r="F577" s="218"/>
      <c r="G577" s="218"/>
      <c r="H577" s="219"/>
      <c r="I577" s="219"/>
      <c r="J577" s="219"/>
      <c r="O577" s="219"/>
    </row>
    <row r="578">
      <c r="A578" s="216"/>
      <c r="B578" s="217"/>
      <c r="F578" s="218"/>
      <c r="G578" s="218"/>
      <c r="H578" s="219"/>
      <c r="I578" s="219"/>
      <c r="J578" s="219"/>
      <c r="O578" s="219"/>
    </row>
    <row r="579">
      <c r="A579" s="216"/>
      <c r="B579" s="217"/>
      <c r="F579" s="218"/>
      <c r="G579" s="218"/>
      <c r="H579" s="219"/>
      <c r="I579" s="219"/>
      <c r="J579" s="219"/>
      <c r="O579" s="219"/>
    </row>
    <row r="580">
      <c r="A580" s="216"/>
      <c r="B580" s="217"/>
      <c r="F580" s="218"/>
      <c r="G580" s="218"/>
      <c r="H580" s="219"/>
      <c r="I580" s="219"/>
      <c r="J580" s="219"/>
      <c r="O580" s="219"/>
    </row>
    <row r="581">
      <c r="A581" s="216"/>
      <c r="B581" s="217"/>
      <c r="F581" s="218"/>
      <c r="G581" s="218"/>
      <c r="H581" s="219"/>
      <c r="I581" s="219"/>
      <c r="J581" s="219"/>
      <c r="O581" s="219"/>
    </row>
    <row r="582">
      <c r="A582" s="216"/>
      <c r="B582" s="217"/>
      <c r="F582" s="218"/>
      <c r="G582" s="218"/>
      <c r="H582" s="219"/>
      <c r="I582" s="219"/>
      <c r="J582" s="219"/>
      <c r="O582" s="219"/>
    </row>
    <row r="583">
      <c r="A583" s="216"/>
      <c r="B583" s="217"/>
      <c r="F583" s="218"/>
      <c r="G583" s="218"/>
      <c r="H583" s="219"/>
      <c r="I583" s="219"/>
      <c r="J583" s="219"/>
      <c r="O583" s="219"/>
    </row>
    <row r="584">
      <c r="A584" s="216"/>
      <c r="B584" s="217"/>
      <c r="F584" s="218"/>
      <c r="G584" s="218"/>
      <c r="H584" s="219"/>
      <c r="I584" s="219"/>
      <c r="J584" s="219"/>
      <c r="O584" s="219"/>
    </row>
    <row r="585">
      <c r="A585" s="216"/>
      <c r="B585" s="217"/>
      <c r="F585" s="218"/>
      <c r="G585" s="218"/>
      <c r="H585" s="219"/>
      <c r="I585" s="219"/>
      <c r="J585" s="219"/>
      <c r="O585" s="219"/>
    </row>
    <row r="586">
      <c r="A586" s="216"/>
      <c r="B586" s="217"/>
      <c r="F586" s="218"/>
      <c r="G586" s="218"/>
      <c r="H586" s="219"/>
      <c r="I586" s="219"/>
      <c r="J586" s="219"/>
      <c r="O586" s="219"/>
    </row>
    <row r="587">
      <c r="A587" s="216"/>
      <c r="B587" s="217"/>
      <c r="F587" s="218"/>
      <c r="G587" s="218"/>
      <c r="H587" s="219"/>
      <c r="I587" s="219"/>
      <c r="J587" s="219"/>
      <c r="O587" s="219"/>
    </row>
    <row r="588">
      <c r="A588" s="216"/>
      <c r="B588" s="217"/>
      <c r="F588" s="218"/>
      <c r="G588" s="218"/>
      <c r="H588" s="219"/>
      <c r="I588" s="219"/>
      <c r="J588" s="219"/>
      <c r="O588" s="219"/>
    </row>
    <row r="589">
      <c r="A589" s="216"/>
      <c r="B589" s="217"/>
      <c r="F589" s="218"/>
      <c r="G589" s="218"/>
      <c r="H589" s="219"/>
      <c r="I589" s="219"/>
      <c r="J589" s="219"/>
      <c r="O589" s="219"/>
    </row>
    <row r="590">
      <c r="A590" s="216"/>
      <c r="B590" s="217"/>
      <c r="F590" s="218"/>
      <c r="G590" s="218"/>
      <c r="H590" s="219"/>
      <c r="I590" s="219"/>
      <c r="J590" s="219"/>
      <c r="O590" s="219"/>
    </row>
    <row r="591">
      <c r="A591" s="216"/>
      <c r="B591" s="217"/>
      <c r="F591" s="218"/>
      <c r="G591" s="218"/>
      <c r="H591" s="219"/>
      <c r="I591" s="219"/>
      <c r="J591" s="219"/>
      <c r="O591" s="219"/>
    </row>
    <row r="592">
      <c r="A592" s="216"/>
      <c r="B592" s="217"/>
      <c r="F592" s="218"/>
      <c r="G592" s="218"/>
      <c r="H592" s="219"/>
      <c r="I592" s="219"/>
      <c r="J592" s="219"/>
      <c r="O592" s="219"/>
    </row>
    <row r="593">
      <c r="A593" s="216"/>
      <c r="B593" s="217"/>
      <c r="F593" s="218"/>
      <c r="G593" s="218"/>
      <c r="H593" s="219"/>
      <c r="I593" s="219"/>
      <c r="J593" s="219"/>
      <c r="O593" s="219"/>
    </row>
    <row r="594">
      <c r="A594" s="216"/>
      <c r="B594" s="217"/>
      <c r="F594" s="218"/>
      <c r="G594" s="218"/>
      <c r="H594" s="219"/>
      <c r="I594" s="219"/>
      <c r="J594" s="219"/>
      <c r="O594" s="219"/>
    </row>
    <row r="595">
      <c r="A595" s="216"/>
      <c r="B595" s="217"/>
      <c r="F595" s="218"/>
      <c r="G595" s="218"/>
      <c r="H595" s="219"/>
      <c r="I595" s="219"/>
      <c r="J595" s="219"/>
      <c r="O595" s="219"/>
    </row>
    <row r="596">
      <c r="A596" s="216"/>
      <c r="B596" s="217"/>
      <c r="F596" s="218"/>
      <c r="G596" s="218"/>
      <c r="H596" s="219"/>
      <c r="I596" s="219"/>
      <c r="J596" s="219"/>
      <c r="O596" s="219"/>
    </row>
    <row r="597">
      <c r="A597" s="216"/>
      <c r="B597" s="217"/>
      <c r="F597" s="218"/>
      <c r="G597" s="218"/>
      <c r="H597" s="219"/>
      <c r="I597" s="219"/>
      <c r="J597" s="219"/>
      <c r="O597" s="219"/>
    </row>
    <row r="598">
      <c r="A598" s="216"/>
      <c r="B598" s="217"/>
      <c r="F598" s="218"/>
      <c r="G598" s="218"/>
      <c r="H598" s="219"/>
      <c r="I598" s="219"/>
      <c r="J598" s="219"/>
      <c r="O598" s="219"/>
    </row>
    <row r="599">
      <c r="A599" s="216"/>
      <c r="B599" s="217"/>
      <c r="F599" s="218"/>
      <c r="G599" s="218"/>
      <c r="H599" s="219"/>
      <c r="I599" s="219"/>
      <c r="J599" s="219"/>
      <c r="O599" s="219"/>
    </row>
    <row r="600">
      <c r="A600" s="216"/>
      <c r="B600" s="217"/>
      <c r="F600" s="218"/>
      <c r="G600" s="218"/>
      <c r="H600" s="219"/>
      <c r="I600" s="219"/>
      <c r="J600" s="219"/>
      <c r="O600" s="219"/>
    </row>
    <row r="601">
      <c r="A601" s="216"/>
      <c r="B601" s="217"/>
      <c r="F601" s="218"/>
      <c r="G601" s="218"/>
      <c r="H601" s="219"/>
      <c r="I601" s="219"/>
      <c r="J601" s="219"/>
      <c r="O601" s="219"/>
    </row>
    <row r="602">
      <c r="A602" s="216"/>
      <c r="B602" s="217"/>
      <c r="F602" s="218"/>
      <c r="G602" s="218"/>
      <c r="H602" s="219"/>
      <c r="I602" s="219"/>
      <c r="J602" s="219"/>
      <c r="O602" s="219"/>
    </row>
    <row r="603">
      <c r="A603" s="216"/>
      <c r="B603" s="217"/>
      <c r="F603" s="218"/>
      <c r="G603" s="218"/>
      <c r="H603" s="219"/>
      <c r="I603" s="219"/>
      <c r="J603" s="219"/>
      <c r="O603" s="219"/>
    </row>
    <row r="604">
      <c r="A604" s="216"/>
      <c r="B604" s="217"/>
      <c r="F604" s="218"/>
      <c r="G604" s="218"/>
      <c r="H604" s="219"/>
      <c r="I604" s="219"/>
      <c r="J604" s="219"/>
      <c r="O604" s="219"/>
    </row>
    <row r="605">
      <c r="A605" s="216"/>
      <c r="B605" s="217"/>
      <c r="F605" s="218"/>
      <c r="G605" s="218"/>
      <c r="H605" s="219"/>
      <c r="I605" s="219"/>
      <c r="J605" s="219"/>
      <c r="O605" s="219"/>
    </row>
    <row r="606">
      <c r="A606" s="216"/>
      <c r="B606" s="217"/>
      <c r="F606" s="218"/>
      <c r="G606" s="218"/>
      <c r="H606" s="219"/>
      <c r="I606" s="219"/>
      <c r="J606" s="219"/>
      <c r="O606" s="219"/>
    </row>
    <row r="607">
      <c r="A607" s="216"/>
      <c r="B607" s="217"/>
      <c r="F607" s="218"/>
      <c r="G607" s="218"/>
      <c r="H607" s="219"/>
      <c r="I607" s="219"/>
      <c r="J607" s="219"/>
      <c r="O607" s="219"/>
    </row>
    <row r="608">
      <c r="A608" s="216"/>
      <c r="B608" s="217"/>
      <c r="F608" s="218"/>
      <c r="G608" s="218"/>
      <c r="H608" s="219"/>
      <c r="I608" s="219"/>
      <c r="J608" s="219"/>
      <c r="O608" s="219"/>
    </row>
    <row r="609">
      <c r="A609" s="216"/>
      <c r="B609" s="217"/>
      <c r="F609" s="218"/>
      <c r="G609" s="218"/>
      <c r="H609" s="219"/>
      <c r="I609" s="219"/>
      <c r="J609" s="219"/>
      <c r="O609" s="219"/>
    </row>
    <row r="610">
      <c r="A610" s="216"/>
      <c r="B610" s="217"/>
      <c r="F610" s="218"/>
      <c r="G610" s="218"/>
      <c r="H610" s="219"/>
      <c r="I610" s="219"/>
      <c r="J610" s="219"/>
      <c r="O610" s="219"/>
    </row>
    <row r="611">
      <c r="A611" s="216"/>
      <c r="B611" s="217"/>
      <c r="F611" s="218"/>
      <c r="G611" s="218"/>
      <c r="H611" s="219"/>
      <c r="I611" s="219"/>
      <c r="J611" s="219"/>
      <c r="O611" s="219"/>
    </row>
    <row r="612">
      <c r="A612" s="216"/>
      <c r="B612" s="217"/>
      <c r="F612" s="218"/>
      <c r="G612" s="218"/>
      <c r="H612" s="219"/>
      <c r="I612" s="219"/>
      <c r="J612" s="219"/>
      <c r="O612" s="219"/>
    </row>
    <row r="613">
      <c r="A613" s="216"/>
      <c r="B613" s="217"/>
      <c r="F613" s="218"/>
      <c r="G613" s="218"/>
      <c r="H613" s="219"/>
      <c r="I613" s="219"/>
      <c r="J613" s="219"/>
      <c r="O613" s="219"/>
    </row>
    <row r="614">
      <c r="A614" s="216"/>
      <c r="B614" s="217"/>
      <c r="F614" s="218"/>
      <c r="G614" s="218"/>
      <c r="H614" s="219"/>
      <c r="I614" s="219"/>
      <c r="J614" s="219"/>
      <c r="O614" s="219"/>
    </row>
    <row r="615">
      <c r="A615" s="216"/>
      <c r="B615" s="217"/>
      <c r="F615" s="218"/>
      <c r="G615" s="218"/>
      <c r="H615" s="219"/>
      <c r="I615" s="219"/>
      <c r="J615" s="219"/>
      <c r="O615" s="219"/>
    </row>
    <row r="616">
      <c r="A616" s="216"/>
      <c r="B616" s="217"/>
      <c r="F616" s="218"/>
      <c r="G616" s="218"/>
      <c r="H616" s="219"/>
      <c r="I616" s="219"/>
      <c r="J616" s="219"/>
      <c r="O616" s="219"/>
    </row>
    <row r="617">
      <c r="A617" s="216"/>
      <c r="B617" s="217"/>
      <c r="F617" s="218"/>
      <c r="G617" s="218"/>
      <c r="H617" s="219"/>
      <c r="I617" s="219"/>
      <c r="J617" s="219"/>
      <c r="O617" s="219"/>
    </row>
    <row r="618">
      <c r="A618" s="216"/>
      <c r="B618" s="217"/>
      <c r="F618" s="218"/>
      <c r="G618" s="218"/>
      <c r="H618" s="219"/>
      <c r="I618" s="219"/>
      <c r="J618" s="219"/>
      <c r="O618" s="219"/>
    </row>
    <row r="619">
      <c r="A619" s="216"/>
      <c r="B619" s="217"/>
      <c r="F619" s="218"/>
      <c r="G619" s="218"/>
      <c r="H619" s="219"/>
      <c r="I619" s="219"/>
      <c r="J619" s="219"/>
      <c r="O619" s="219"/>
    </row>
    <row r="620">
      <c r="A620" s="216"/>
      <c r="B620" s="217"/>
      <c r="F620" s="218"/>
      <c r="G620" s="218"/>
      <c r="H620" s="219"/>
      <c r="I620" s="219"/>
      <c r="J620" s="219"/>
      <c r="O620" s="219"/>
    </row>
    <row r="621">
      <c r="A621" s="216"/>
      <c r="B621" s="217"/>
      <c r="F621" s="218"/>
      <c r="G621" s="218"/>
      <c r="H621" s="219"/>
      <c r="I621" s="219"/>
      <c r="J621" s="219"/>
      <c r="O621" s="219"/>
    </row>
    <row r="622">
      <c r="A622" s="216"/>
      <c r="B622" s="217"/>
      <c r="F622" s="218"/>
      <c r="G622" s="218"/>
      <c r="H622" s="219"/>
      <c r="I622" s="219"/>
      <c r="J622" s="219"/>
      <c r="O622" s="219"/>
    </row>
    <row r="623">
      <c r="A623" s="216"/>
      <c r="B623" s="217"/>
      <c r="F623" s="218"/>
      <c r="G623" s="218"/>
      <c r="H623" s="219"/>
      <c r="I623" s="219"/>
      <c r="J623" s="219"/>
      <c r="O623" s="219"/>
    </row>
    <row r="624">
      <c r="A624" s="216"/>
      <c r="B624" s="217"/>
      <c r="F624" s="218"/>
      <c r="G624" s="218"/>
      <c r="H624" s="219"/>
      <c r="I624" s="219"/>
      <c r="J624" s="219"/>
      <c r="O624" s="219"/>
    </row>
    <row r="625">
      <c r="A625" s="216"/>
      <c r="B625" s="217"/>
      <c r="F625" s="218"/>
      <c r="G625" s="218"/>
      <c r="H625" s="219"/>
      <c r="I625" s="219"/>
      <c r="J625" s="219"/>
      <c r="O625" s="219"/>
    </row>
    <row r="626">
      <c r="A626" s="216"/>
      <c r="B626" s="217"/>
      <c r="F626" s="218"/>
      <c r="G626" s="218"/>
      <c r="H626" s="219"/>
      <c r="I626" s="219"/>
      <c r="J626" s="219"/>
      <c r="O626" s="219"/>
    </row>
    <row r="627">
      <c r="A627" s="216"/>
      <c r="B627" s="217"/>
      <c r="F627" s="218"/>
      <c r="G627" s="218"/>
      <c r="H627" s="219"/>
      <c r="I627" s="219"/>
      <c r="J627" s="219"/>
      <c r="O627" s="219"/>
    </row>
    <row r="628">
      <c r="A628" s="216"/>
      <c r="B628" s="217"/>
      <c r="F628" s="218"/>
      <c r="G628" s="218"/>
      <c r="H628" s="219"/>
      <c r="I628" s="219"/>
      <c r="J628" s="219"/>
      <c r="O628" s="219"/>
    </row>
    <row r="629">
      <c r="A629" s="216"/>
      <c r="B629" s="217"/>
      <c r="F629" s="218"/>
      <c r="G629" s="218"/>
      <c r="H629" s="219"/>
      <c r="I629" s="219"/>
      <c r="J629" s="219"/>
      <c r="O629" s="219"/>
    </row>
    <row r="630">
      <c r="A630" s="216"/>
      <c r="B630" s="217"/>
      <c r="F630" s="218"/>
      <c r="G630" s="218"/>
      <c r="H630" s="219"/>
      <c r="I630" s="219"/>
      <c r="J630" s="219"/>
      <c r="O630" s="219"/>
    </row>
    <row r="631">
      <c r="A631" s="216"/>
      <c r="B631" s="217"/>
      <c r="F631" s="218"/>
      <c r="G631" s="218"/>
      <c r="H631" s="219"/>
      <c r="I631" s="219"/>
      <c r="J631" s="219"/>
      <c r="O631" s="219"/>
    </row>
    <row r="632">
      <c r="A632" s="216"/>
      <c r="B632" s="217"/>
      <c r="F632" s="218"/>
      <c r="G632" s="218"/>
      <c r="H632" s="219"/>
      <c r="I632" s="219"/>
      <c r="J632" s="219"/>
      <c r="O632" s="219"/>
    </row>
    <row r="633">
      <c r="A633" s="216"/>
      <c r="B633" s="217"/>
      <c r="F633" s="218"/>
      <c r="G633" s="218"/>
      <c r="H633" s="219"/>
      <c r="I633" s="219"/>
      <c r="J633" s="219"/>
      <c r="O633" s="219"/>
    </row>
    <row r="634">
      <c r="A634" s="216"/>
      <c r="B634" s="217"/>
      <c r="F634" s="218"/>
      <c r="G634" s="218"/>
      <c r="H634" s="219"/>
      <c r="I634" s="219"/>
      <c r="J634" s="219"/>
      <c r="O634" s="219"/>
    </row>
    <row r="635">
      <c r="A635" s="216"/>
      <c r="B635" s="217"/>
      <c r="F635" s="218"/>
      <c r="G635" s="218"/>
      <c r="H635" s="219"/>
      <c r="I635" s="219"/>
      <c r="J635" s="219"/>
      <c r="O635" s="219"/>
    </row>
    <row r="636">
      <c r="A636" s="216"/>
      <c r="B636" s="217"/>
      <c r="F636" s="218"/>
      <c r="G636" s="218"/>
      <c r="H636" s="219"/>
      <c r="I636" s="219"/>
      <c r="J636" s="219"/>
      <c r="O636" s="219"/>
    </row>
    <row r="637">
      <c r="A637" s="216"/>
      <c r="B637" s="217"/>
      <c r="F637" s="218"/>
      <c r="G637" s="218"/>
      <c r="H637" s="219"/>
      <c r="I637" s="219"/>
      <c r="J637" s="219"/>
      <c r="O637" s="219"/>
    </row>
    <row r="638">
      <c r="A638" s="216"/>
      <c r="B638" s="217"/>
      <c r="F638" s="218"/>
      <c r="G638" s="218"/>
      <c r="H638" s="219"/>
      <c r="I638" s="219"/>
      <c r="J638" s="219"/>
      <c r="O638" s="219"/>
    </row>
    <row r="639">
      <c r="A639" s="216"/>
      <c r="B639" s="217"/>
      <c r="F639" s="218"/>
      <c r="G639" s="218"/>
      <c r="H639" s="219"/>
      <c r="I639" s="219"/>
      <c r="J639" s="219"/>
      <c r="O639" s="219"/>
    </row>
    <row r="640">
      <c r="A640" s="216"/>
      <c r="B640" s="217"/>
      <c r="F640" s="218"/>
      <c r="G640" s="218"/>
      <c r="H640" s="219"/>
      <c r="I640" s="219"/>
      <c r="J640" s="219"/>
      <c r="O640" s="219"/>
    </row>
    <row r="641">
      <c r="A641" s="216"/>
      <c r="B641" s="217"/>
      <c r="F641" s="218"/>
      <c r="G641" s="218"/>
      <c r="H641" s="219"/>
      <c r="I641" s="219"/>
      <c r="J641" s="219"/>
      <c r="O641" s="219"/>
    </row>
    <row r="642">
      <c r="A642" s="216"/>
      <c r="B642" s="217"/>
      <c r="F642" s="218"/>
      <c r="G642" s="218"/>
      <c r="H642" s="219"/>
      <c r="I642" s="219"/>
      <c r="J642" s="219"/>
      <c r="O642" s="219"/>
    </row>
    <row r="643">
      <c r="A643" s="216"/>
      <c r="B643" s="217"/>
      <c r="F643" s="218"/>
      <c r="G643" s="218"/>
      <c r="H643" s="219"/>
      <c r="I643" s="219"/>
      <c r="J643" s="219"/>
      <c r="O643" s="219"/>
    </row>
    <row r="644">
      <c r="A644" s="216"/>
      <c r="B644" s="217"/>
      <c r="F644" s="218"/>
      <c r="G644" s="218"/>
      <c r="H644" s="219"/>
      <c r="I644" s="219"/>
      <c r="J644" s="219"/>
      <c r="O644" s="219"/>
    </row>
    <row r="645">
      <c r="A645" s="216"/>
      <c r="B645" s="217"/>
      <c r="F645" s="218"/>
      <c r="G645" s="218"/>
      <c r="H645" s="219"/>
      <c r="I645" s="219"/>
      <c r="J645" s="219"/>
      <c r="O645" s="219"/>
    </row>
    <row r="646">
      <c r="A646" s="216"/>
      <c r="B646" s="217"/>
      <c r="F646" s="218"/>
      <c r="G646" s="218"/>
      <c r="H646" s="219"/>
      <c r="I646" s="219"/>
      <c r="J646" s="219"/>
      <c r="O646" s="219"/>
    </row>
    <row r="647">
      <c r="A647" s="216"/>
      <c r="B647" s="217"/>
      <c r="F647" s="218"/>
      <c r="G647" s="218"/>
      <c r="H647" s="219"/>
      <c r="I647" s="219"/>
      <c r="J647" s="219"/>
      <c r="O647" s="219"/>
    </row>
    <row r="648">
      <c r="A648" s="216"/>
      <c r="B648" s="217"/>
      <c r="F648" s="218"/>
      <c r="G648" s="218"/>
      <c r="H648" s="219"/>
      <c r="I648" s="219"/>
      <c r="J648" s="219"/>
      <c r="O648" s="219"/>
    </row>
    <row r="649">
      <c r="A649" s="216"/>
      <c r="B649" s="217"/>
      <c r="F649" s="218"/>
      <c r="G649" s="218"/>
      <c r="H649" s="219"/>
      <c r="I649" s="219"/>
      <c r="J649" s="219"/>
      <c r="O649" s="219"/>
    </row>
    <row r="650">
      <c r="A650" s="216"/>
      <c r="B650" s="217"/>
      <c r="F650" s="218"/>
      <c r="G650" s="218"/>
      <c r="H650" s="219"/>
      <c r="I650" s="219"/>
      <c r="J650" s="219"/>
      <c r="O650" s="219"/>
    </row>
    <row r="651">
      <c r="A651" s="216"/>
      <c r="B651" s="217"/>
      <c r="F651" s="218"/>
      <c r="G651" s="218"/>
      <c r="H651" s="219"/>
      <c r="I651" s="219"/>
      <c r="J651" s="219"/>
      <c r="O651" s="219"/>
    </row>
    <row r="652">
      <c r="A652" s="216"/>
      <c r="B652" s="217"/>
      <c r="F652" s="218"/>
      <c r="G652" s="218"/>
      <c r="H652" s="219"/>
      <c r="I652" s="219"/>
      <c r="J652" s="219"/>
      <c r="O652" s="219"/>
    </row>
    <row r="653">
      <c r="A653" s="216"/>
      <c r="B653" s="217"/>
      <c r="F653" s="218"/>
      <c r="G653" s="218"/>
      <c r="H653" s="219"/>
      <c r="I653" s="219"/>
      <c r="J653" s="219"/>
      <c r="O653" s="219"/>
    </row>
    <row r="654">
      <c r="A654" s="216"/>
      <c r="B654" s="217"/>
      <c r="F654" s="218"/>
      <c r="G654" s="218"/>
      <c r="H654" s="219"/>
      <c r="I654" s="219"/>
      <c r="J654" s="219"/>
      <c r="O654" s="219"/>
    </row>
    <row r="655">
      <c r="A655" s="216"/>
      <c r="B655" s="217"/>
      <c r="F655" s="218"/>
      <c r="G655" s="218"/>
      <c r="H655" s="219"/>
      <c r="I655" s="219"/>
      <c r="J655" s="219"/>
      <c r="O655" s="219"/>
    </row>
    <row r="656">
      <c r="A656" s="216"/>
      <c r="B656" s="217"/>
      <c r="F656" s="218"/>
      <c r="G656" s="218"/>
      <c r="H656" s="219"/>
      <c r="I656" s="219"/>
      <c r="J656" s="219"/>
      <c r="O656" s="219"/>
    </row>
    <row r="657">
      <c r="A657" s="216"/>
      <c r="B657" s="217"/>
      <c r="F657" s="218"/>
      <c r="G657" s="218"/>
      <c r="H657" s="219"/>
      <c r="I657" s="219"/>
      <c r="J657" s="219"/>
      <c r="O657" s="219"/>
    </row>
    <row r="658">
      <c r="A658" s="216"/>
      <c r="B658" s="217"/>
      <c r="F658" s="218"/>
      <c r="G658" s="218"/>
      <c r="H658" s="219"/>
      <c r="I658" s="219"/>
      <c r="J658" s="219"/>
      <c r="O658" s="219"/>
    </row>
    <row r="659">
      <c r="A659" s="216"/>
      <c r="B659" s="217"/>
      <c r="F659" s="218"/>
      <c r="G659" s="218"/>
      <c r="H659" s="219"/>
      <c r="I659" s="219"/>
      <c r="J659" s="219"/>
      <c r="O659" s="219"/>
    </row>
    <row r="660">
      <c r="A660" s="216"/>
      <c r="B660" s="217"/>
      <c r="F660" s="218"/>
      <c r="G660" s="218"/>
      <c r="H660" s="219"/>
      <c r="I660" s="219"/>
      <c r="J660" s="219"/>
      <c r="O660" s="219"/>
    </row>
    <row r="661">
      <c r="A661" s="216"/>
      <c r="B661" s="217"/>
      <c r="F661" s="218"/>
      <c r="G661" s="218"/>
      <c r="H661" s="219"/>
      <c r="I661" s="219"/>
      <c r="J661" s="219"/>
      <c r="O661" s="219"/>
    </row>
    <row r="662">
      <c r="A662" s="216"/>
      <c r="B662" s="217"/>
      <c r="F662" s="218"/>
      <c r="G662" s="218"/>
      <c r="H662" s="219"/>
      <c r="I662" s="219"/>
      <c r="J662" s="219"/>
      <c r="O662" s="219"/>
    </row>
    <row r="663">
      <c r="A663" s="216"/>
      <c r="B663" s="217"/>
      <c r="F663" s="218"/>
      <c r="G663" s="218"/>
      <c r="H663" s="219"/>
      <c r="I663" s="219"/>
      <c r="J663" s="219"/>
      <c r="O663" s="219"/>
    </row>
    <row r="664">
      <c r="A664" s="216"/>
      <c r="B664" s="217"/>
      <c r="F664" s="218"/>
      <c r="G664" s="218"/>
      <c r="H664" s="219"/>
      <c r="I664" s="219"/>
      <c r="J664" s="219"/>
      <c r="O664" s="219"/>
    </row>
    <row r="665">
      <c r="A665" s="216"/>
      <c r="B665" s="217"/>
      <c r="F665" s="218"/>
      <c r="G665" s="218"/>
      <c r="H665" s="219"/>
      <c r="I665" s="219"/>
      <c r="J665" s="219"/>
      <c r="O665" s="219"/>
    </row>
    <row r="666">
      <c r="A666" s="216"/>
      <c r="B666" s="217"/>
      <c r="F666" s="218"/>
      <c r="G666" s="218"/>
      <c r="H666" s="219"/>
      <c r="I666" s="219"/>
      <c r="J666" s="219"/>
      <c r="O666" s="219"/>
    </row>
    <row r="667">
      <c r="A667" s="216"/>
      <c r="B667" s="217"/>
      <c r="F667" s="218"/>
      <c r="G667" s="218"/>
      <c r="H667" s="219"/>
      <c r="I667" s="219"/>
      <c r="J667" s="219"/>
      <c r="O667" s="219"/>
    </row>
    <row r="668">
      <c r="A668" s="216"/>
      <c r="B668" s="217"/>
      <c r="F668" s="218"/>
      <c r="G668" s="218"/>
      <c r="H668" s="219"/>
      <c r="I668" s="219"/>
      <c r="J668" s="219"/>
      <c r="O668" s="219"/>
    </row>
    <row r="669">
      <c r="A669" s="216"/>
      <c r="B669" s="217"/>
      <c r="F669" s="218"/>
      <c r="G669" s="218"/>
      <c r="H669" s="219"/>
      <c r="I669" s="219"/>
      <c r="J669" s="219"/>
      <c r="O669" s="219"/>
    </row>
    <row r="670">
      <c r="A670" s="216"/>
      <c r="B670" s="217"/>
      <c r="F670" s="218"/>
      <c r="G670" s="218"/>
      <c r="H670" s="219"/>
      <c r="I670" s="219"/>
      <c r="J670" s="219"/>
      <c r="O670" s="219"/>
    </row>
    <row r="671">
      <c r="A671" s="216"/>
      <c r="B671" s="217"/>
      <c r="F671" s="218"/>
      <c r="G671" s="218"/>
      <c r="H671" s="219"/>
      <c r="I671" s="219"/>
      <c r="J671" s="219"/>
      <c r="O671" s="219"/>
    </row>
    <row r="672">
      <c r="A672" s="216"/>
      <c r="B672" s="217"/>
      <c r="F672" s="218"/>
      <c r="G672" s="218"/>
      <c r="H672" s="219"/>
      <c r="I672" s="219"/>
      <c r="J672" s="219"/>
      <c r="O672" s="219"/>
    </row>
    <row r="673">
      <c r="A673" s="216"/>
      <c r="B673" s="217"/>
      <c r="F673" s="218"/>
      <c r="G673" s="218"/>
      <c r="H673" s="219"/>
      <c r="I673" s="219"/>
      <c r="J673" s="219"/>
      <c r="O673" s="219"/>
    </row>
    <row r="674">
      <c r="A674" s="216"/>
      <c r="B674" s="217"/>
      <c r="F674" s="218"/>
      <c r="G674" s="218"/>
      <c r="H674" s="219"/>
      <c r="I674" s="219"/>
      <c r="J674" s="219"/>
      <c r="O674" s="219"/>
    </row>
    <row r="675">
      <c r="A675" s="216"/>
      <c r="B675" s="217"/>
      <c r="F675" s="218"/>
      <c r="G675" s="218"/>
      <c r="H675" s="219"/>
      <c r="I675" s="219"/>
      <c r="J675" s="219"/>
      <c r="O675" s="219"/>
    </row>
    <row r="676">
      <c r="A676" s="216"/>
      <c r="B676" s="217"/>
      <c r="F676" s="218"/>
      <c r="G676" s="218"/>
      <c r="H676" s="219"/>
      <c r="I676" s="219"/>
      <c r="J676" s="219"/>
      <c r="O676" s="219"/>
    </row>
    <row r="677">
      <c r="A677" s="216"/>
      <c r="B677" s="217"/>
      <c r="F677" s="218"/>
      <c r="G677" s="218"/>
      <c r="H677" s="219"/>
      <c r="I677" s="219"/>
      <c r="J677" s="219"/>
      <c r="O677" s="219"/>
    </row>
    <row r="678">
      <c r="A678" s="216"/>
      <c r="B678" s="217"/>
      <c r="F678" s="218"/>
      <c r="G678" s="218"/>
      <c r="H678" s="219"/>
      <c r="I678" s="219"/>
      <c r="J678" s="219"/>
      <c r="O678" s="219"/>
    </row>
    <row r="679">
      <c r="A679" s="216"/>
      <c r="B679" s="217"/>
      <c r="F679" s="218"/>
      <c r="G679" s="218"/>
      <c r="H679" s="219"/>
      <c r="I679" s="219"/>
      <c r="J679" s="219"/>
      <c r="O679" s="219"/>
    </row>
    <row r="680">
      <c r="A680" s="216"/>
      <c r="B680" s="217"/>
      <c r="F680" s="218"/>
      <c r="G680" s="218"/>
      <c r="H680" s="219"/>
      <c r="I680" s="219"/>
      <c r="J680" s="219"/>
      <c r="O680" s="219"/>
    </row>
    <row r="681">
      <c r="A681" s="216"/>
      <c r="B681" s="217"/>
      <c r="F681" s="218"/>
      <c r="G681" s="218"/>
      <c r="H681" s="219"/>
      <c r="I681" s="219"/>
      <c r="J681" s="219"/>
      <c r="O681" s="219"/>
    </row>
    <row r="682">
      <c r="A682" s="216"/>
      <c r="B682" s="217"/>
      <c r="F682" s="218"/>
      <c r="G682" s="218"/>
      <c r="H682" s="219"/>
      <c r="I682" s="219"/>
      <c r="J682" s="219"/>
      <c r="O682" s="219"/>
    </row>
    <row r="683">
      <c r="A683" s="216"/>
      <c r="B683" s="217"/>
      <c r="F683" s="218"/>
      <c r="G683" s="218"/>
      <c r="H683" s="219"/>
      <c r="I683" s="219"/>
      <c r="J683" s="219"/>
      <c r="O683" s="219"/>
    </row>
    <row r="684">
      <c r="A684" s="216"/>
      <c r="B684" s="217"/>
      <c r="F684" s="218"/>
      <c r="G684" s="218"/>
      <c r="H684" s="219"/>
      <c r="I684" s="219"/>
      <c r="J684" s="219"/>
      <c r="O684" s="219"/>
    </row>
    <row r="685">
      <c r="A685" s="216"/>
      <c r="B685" s="217"/>
      <c r="F685" s="218"/>
      <c r="G685" s="218"/>
      <c r="H685" s="219"/>
      <c r="I685" s="219"/>
      <c r="J685" s="219"/>
      <c r="O685" s="219"/>
    </row>
    <row r="686">
      <c r="A686" s="216"/>
      <c r="B686" s="217"/>
      <c r="F686" s="218"/>
      <c r="G686" s="218"/>
      <c r="H686" s="219"/>
      <c r="I686" s="219"/>
      <c r="J686" s="219"/>
      <c r="O686" s="219"/>
    </row>
    <row r="687">
      <c r="A687" s="216"/>
      <c r="B687" s="217"/>
      <c r="F687" s="218"/>
      <c r="G687" s="218"/>
      <c r="H687" s="219"/>
      <c r="I687" s="219"/>
      <c r="J687" s="219"/>
      <c r="O687" s="219"/>
    </row>
    <row r="688">
      <c r="A688" s="216"/>
      <c r="B688" s="217"/>
      <c r="F688" s="218"/>
      <c r="G688" s="218"/>
      <c r="H688" s="219"/>
      <c r="I688" s="219"/>
      <c r="J688" s="219"/>
      <c r="O688" s="219"/>
    </row>
    <row r="689">
      <c r="A689" s="216"/>
      <c r="B689" s="217"/>
      <c r="F689" s="218"/>
      <c r="G689" s="218"/>
      <c r="H689" s="219"/>
      <c r="I689" s="219"/>
      <c r="J689" s="219"/>
      <c r="O689" s="219"/>
    </row>
    <row r="690">
      <c r="A690" s="216"/>
      <c r="B690" s="217"/>
      <c r="F690" s="218"/>
      <c r="G690" s="218"/>
      <c r="H690" s="219"/>
      <c r="I690" s="219"/>
      <c r="J690" s="219"/>
      <c r="O690" s="219"/>
    </row>
    <row r="691">
      <c r="A691" s="216"/>
      <c r="B691" s="217"/>
      <c r="F691" s="218"/>
      <c r="G691" s="218"/>
      <c r="H691" s="219"/>
      <c r="I691" s="219"/>
      <c r="J691" s="219"/>
      <c r="O691" s="219"/>
    </row>
    <row r="692">
      <c r="A692" s="216"/>
      <c r="B692" s="217"/>
      <c r="F692" s="218"/>
      <c r="G692" s="218"/>
      <c r="H692" s="219"/>
      <c r="I692" s="219"/>
      <c r="J692" s="219"/>
      <c r="O692" s="219"/>
    </row>
    <row r="693">
      <c r="A693" s="216"/>
      <c r="B693" s="217"/>
      <c r="F693" s="218"/>
      <c r="G693" s="218"/>
      <c r="H693" s="219"/>
      <c r="I693" s="219"/>
      <c r="J693" s="219"/>
      <c r="O693" s="219"/>
    </row>
    <row r="694">
      <c r="A694" s="216"/>
      <c r="B694" s="217"/>
      <c r="F694" s="218"/>
      <c r="G694" s="218"/>
      <c r="H694" s="219"/>
      <c r="I694" s="219"/>
      <c r="J694" s="219"/>
      <c r="O694" s="219"/>
    </row>
    <row r="695">
      <c r="A695" s="216"/>
      <c r="B695" s="217"/>
      <c r="F695" s="218"/>
      <c r="G695" s="218"/>
      <c r="H695" s="219"/>
      <c r="I695" s="219"/>
      <c r="J695" s="219"/>
      <c r="O695" s="219"/>
    </row>
    <row r="696">
      <c r="A696" s="216"/>
      <c r="B696" s="217"/>
      <c r="F696" s="218"/>
      <c r="G696" s="218"/>
      <c r="H696" s="219"/>
      <c r="I696" s="219"/>
      <c r="J696" s="219"/>
      <c r="O696" s="219"/>
    </row>
    <row r="697">
      <c r="A697" s="216"/>
      <c r="B697" s="217"/>
      <c r="F697" s="218"/>
      <c r="G697" s="218"/>
      <c r="H697" s="219"/>
      <c r="I697" s="219"/>
      <c r="J697" s="219"/>
      <c r="O697" s="219"/>
    </row>
    <row r="698">
      <c r="A698" s="216"/>
      <c r="B698" s="217"/>
      <c r="F698" s="218"/>
      <c r="G698" s="218"/>
      <c r="H698" s="219"/>
      <c r="I698" s="219"/>
      <c r="J698" s="219"/>
      <c r="O698" s="219"/>
    </row>
    <row r="699">
      <c r="A699" s="216"/>
      <c r="B699" s="217"/>
      <c r="F699" s="218"/>
      <c r="G699" s="218"/>
      <c r="H699" s="219"/>
      <c r="I699" s="219"/>
      <c r="J699" s="219"/>
      <c r="O699" s="219"/>
    </row>
    <row r="700">
      <c r="A700" s="216"/>
      <c r="B700" s="217"/>
      <c r="F700" s="218"/>
      <c r="G700" s="218"/>
      <c r="H700" s="219"/>
      <c r="I700" s="219"/>
      <c r="J700" s="219"/>
      <c r="O700" s="219"/>
    </row>
    <row r="701">
      <c r="A701" s="216"/>
      <c r="B701" s="217"/>
      <c r="F701" s="218"/>
      <c r="G701" s="218"/>
      <c r="H701" s="219"/>
      <c r="I701" s="219"/>
      <c r="J701" s="219"/>
      <c r="O701" s="219"/>
    </row>
    <row r="702">
      <c r="A702" s="216"/>
      <c r="B702" s="217"/>
      <c r="F702" s="218"/>
      <c r="G702" s="218"/>
      <c r="H702" s="219"/>
      <c r="I702" s="219"/>
      <c r="J702" s="219"/>
      <c r="O702" s="219"/>
    </row>
    <row r="703">
      <c r="A703" s="216"/>
      <c r="B703" s="217"/>
      <c r="F703" s="218"/>
      <c r="G703" s="218"/>
      <c r="H703" s="219"/>
      <c r="I703" s="219"/>
      <c r="J703" s="219"/>
      <c r="O703" s="219"/>
    </row>
    <row r="704">
      <c r="A704" s="216"/>
      <c r="B704" s="217"/>
      <c r="F704" s="218"/>
      <c r="G704" s="218"/>
      <c r="H704" s="219"/>
      <c r="I704" s="219"/>
      <c r="J704" s="219"/>
      <c r="O704" s="219"/>
    </row>
    <row r="705">
      <c r="A705" s="216"/>
      <c r="B705" s="217"/>
      <c r="F705" s="218"/>
      <c r="G705" s="218"/>
      <c r="H705" s="219"/>
      <c r="I705" s="219"/>
      <c r="J705" s="219"/>
      <c r="O705" s="219"/>
    </row>
    <row r="706">
      <c r="A706" s="216"/>
      <c r="B706" s="217"/>
      <c r="F706" s="218"/>
      <c r="G706" s="218"/>
      <c r="H706" s="219"/>
      <c r="I706" s="219"/>
      <c r="J706" s="219"/>
      <c r="O706" s="219"/>
    </row>
    <row r="707">
      <c r="A707" s="216"/>
      <c r="B707" s="217"/>
      <c r="F707" s="218"/>
      <c r="G707" s="218"/>
      <c r="H707" s="219"/>
      <c r="I707" s="219"/>
      <c r="J707" s="219"/>
      <c r="O707" s="219"/>
    </row>
    <row r="708">
      <c r="A708" s="216"/>
      <c r="B708" s="217"/>
      <c r="F708" s="218"/>
      <c r="G708" s="218"/>
      <c r="H708" s="219"/>
      <c r="I708" s="219"/>
      <c r="J708" s="219"/>
      <c r="O708" s="219"/>
    </row>
    <row r="709">
      <c r="A709" s="216"/>
      <c r="B709" s="217"/>
      <c r="F709" s="218"/>
      <c r="G709" s="218"/>
      <c r="H709" s="219"/>
      <c r="I709" s="219"/>
      <c r="J709" s="219"/>
      <c r="O709" s="219"/>
    </row>
    <row r="710">
      <c r="A710" s="216"/>
      <c r="B710" s="217"/>
      <c r="F710" s="218"/>
      <c r="G710" s="218"/>
      <c r="H710" s="219"/>
      <c r="I710" s="219"/>
      <c r="J710" s="219"/>
      <c r="O710" s="219"/>
    </row>
    <row r="711">
      <c r="A711" s="216"/>
      <c r="B711" s="217"/>
      <c r="F711" s="218"/>
      <c r="G711" s="218"/>
      <c r="H711" s="219"/>
      <c r="I711" s="219"/>
      <c r="J711" s="219"/>
      <c r="O711" s="219"/>
    </row>
    <row r="712">
      <c r="A712" s="216"/>
      <c r="B712" s="217"/>
      <c r="F712" s="218"/>
      <c r="G712" s="218"/>
      <c r="H712" s="219"/>
      <c r="I712" s="219"/>
      <c r="J712" s="219"/>
      <c r="O712" s="219"/>
    </row>
    <row r="713">
      <c r="A713" s="216"/>
      <c r="B713" s="217"/>
      <c r="F713" s="218"/>
      <c r="G713" s="218"/>
      <c r="H713" s="219"/>
      <c r="I713" s="219"/>
      <c r="J713" s="219"/>
      <c r="O713" s="219"/>
    </row>
    <row r="714">
      <c r="A714" s="216"/>
      <c r="B714" s="217"/>
      <c r="F714" s="218"/>
      <c r="G714" s="218"/>
      <c r="H714" s="219"/>
      <c r="I714" s="219"/>
      <c r="J714" s="219"/>
      <c r="O714" s="219"/>
    </row>
    <row r="715">
      <c r="A715" s="216"/>
      <c r="B715" s="217"/>
      <c r="F715" s="218"/>
      <c r="G715" s="218"/>
      <c r="H715" s="219"/>
      <c r="I715" s="219"/>
      <c r="J715" s="219"/>
      <c r="O715" s="219"/>
    </row>
    <row r="716">
      <c r="A716" s="216"/>
      <c r="B716" s="217"/>
      <c r="F716" s="218"/>
      <c r="G716" s="218"/>
      <c r="H716" s="219"/>
      <c r="I716" s="219"/>
      <c r="J716" s="219"/>
      <c r="O716" s="219"/>
    </row>
    <row r="717">
      <c r="A717" s="216"/>
      <c r="B717" s="217"/>
      <c r="F717" s="218"/>
      <c r="G717" s="218"/>
      <c r="H717" s="219"/>
      <c r="I717" s="219"/>
      <c r="J717" s="219"/>
      <c r="O717" s="219"/>
    </row>
    <row r="718">
      <c r="A718" s="216"/>
      <c r="B718" s="217"/>
      <c r="F718" s="218"/>
      <c r="G718" s="218"/>
      <c r="H718" s="219"/>
      <c r="I718" s="219"/>
      <c r="J718" s="219"/>
      <c r="O718" s="219"/>
    </row>
    <row r="719">
      <c r="A719" s="216"/>
      <c r="B719" s="217"/>
      <c r="F719" s="218"/>
      <c r="G719" s="218"/>
      <c r="H719" s="219"/>
      <c r="I719" s="219"/>
      <c r="J719" s="219"/>
      <c r="O719" s="219"/>
    </row>
    <row r="720">
      <c r="A720" s="216"/>
      <c r="B720" s="217"/>
      <c r="F720" s="218"/>
      <c r="G720" s="218"/>
      <c r="H720" s="219"/>
      <c r="I720" s="219"/>
      <c r="J720" s="219"/>
      <c r="O720" s="219"/>
    </row>
    <row r="721">
      <c r="A721" s="216"/>
      <c r="B721" s="217"/>
      <c r="F721" s="218"/>
      <c r="G721" s="218"/>
      <c r="H721" s="219"/>
      <c r="I721" s="219"/>
      <c r="J721" s="219"/>
      <c r="O721" s="219"/>
    </row>
    <row r="722">
      <c r="A722" s="216"/>
      <c r="B722" s="217"/>
      <c r="F722" s="218"/>
      <c r="G722" s="218"/>
      <c r="H722" s="219"/>
      <c r="I722" s="219"/>
      <c r="J722" s="219"/>
      <c r="O722" s="219"/>
    </row>
    <row r="723">
      <c r="A723" s="216"/>
      <c r="B723" s="217"/>
      <c r="F723" s="218"/>
      <c r="G723" s="218"/>
      <c r="H723" s="219"/>
      <c r="I723" s="219"/>
      <c r="J723" s="219"/>
      <c r="O723" s="219"/>
    </row>
    <row r="724">
      <c r="A724" s="216"/>
      <c r="B724" s="217"/>
      <c r="F724" s="218"/>
      <c r="G724" s="218"/>
      <c r="H724" s="219"/>
      <c r="I724" s="219"/>
      <c r="J724" s="219"/>
      <c r="O724" s="219"/>
    </row>
    <row r="725">
      <c r="A725" s="216"/>
      <c r="B725" s="217"/>
      <c r="F725" s="218"/>
      <c r="G725" s="218"/>
      <c r="H725" s="219"/>
      <c r="I725" s="219"/>
      <c r="J725" s="219"/>
      <c r="O725" s="219"/>
    </row>
    <row r="726">
      <c r="A726" s="216"/>
      <c r="B726" s="217"/>
      <c r="F726" s="218"/>
      <c r="G726" s="218"/>
      <c r="H726" s="219"/>
      <c r="I726" s="219"/>
      <c r="J726" s="219"/>
      <c r="O726" s="219"/>
    </row>
    <row r="727">
      <c r="A727" s="216"/>
      <c r="B727" s="217"/>
      <c r="F727" s="218"/>
      <c r="G727" s="218"/>
      <c r="H727" s="219"/>
      <c r="I727" s="219"/>
      <c r="J727" s="219"/>
      <c r="O727" s="219"/>
    </row>
    <row r="728">
      <c r="A728" s="216"/>
      <c r="B728" s="217"/>
      <c r="F728" s="218"/>
      <c r="G728" s="218"/>
      <c r="H728" s="219"/>
      <c r="I728" s="219"/>
      <c r="J728" s="219"/>
      <c r="O728" s="219"/>
    </row>
    <row r="729">
      <c r="A729" s="216"/>
      <c r="B729" s="217"/>
      <c r="F729" s="218"/>
      <c r="G729" s="218"/>
      <c r="H729" s="219"/>
      <c r="I729" s="219"/>
      <c r="J729" s="219"/>
      <c r="O729" s="219"/>
    </row>
    <row r="730">
      <c r="A730" s="216"/>
      <c r="B730" s="217"/>
      <c r="F730" s="218"/>
      <c r="G730" s="218"/>
      <c r="H730" s="219"/>
      <c r="I730" s="219"/>
      <c r="J730" s="219"/>
      <c r="O730" s="219"/>
    </row>
    <row r="731">
      <c r="A731" s="216"/>
      <c r="B731" s="217"/>
      <c r="F731" s="218"/>
      <c r="G731" s="218"/>
      <c r="H731" s="219"/>
      <c r="I731" s="219"/>
      <c r="J731" s="219"/>
      <c r="O731" s="219"/>
    </row>
    <row r="732">
      <c r="A732" s="216"/>
      <c r="B732" s="217"/>
      <c r="F732" s="218"/>
      <c r="G732" s="218"/>
      <c r="H732" s="219"/>
      <c r="I732" s="219"/>
      <c r="J732" s="219"/>
      <c r="O732" s="219"/>
    </row>
    <row r="733">
      <c r="A733" s="216"/>
      <c r="B733" s="217"/>
      <c r="F733" s="218"/>
      <c r="G733" s="218"/>
      <c r="H733" s="219"/>
      <c r="I733" s="219"/>
      <c r="J733" s="219"/>
      <c r="O733" s="219"/>
    </row>
    <row r="734">
      <c r="A734" s="216"/>
      <c r="B734" s="217"/>
      <c r="F734" s="218"/>
      <c r="G734" s="218"/>
      <c r="H734" s="219"/>
      <c r="I734" s="219"/>
      <c r="J734" s="219"/>
      <c r="O734" s="219"/>
    </row>
    <row r="735">
      <c r="A735" s="216"/>
      <c r="B735" s="217"/>
      <c r="F735" s="218"/>
      <c r="G735" s="218"/>
      <c r="H735" s="219"/>
      <c r="I735" s="219"/>
      <c r="J735" s="219"/>
      <c r="O735" s="219"/>
    </row>
    <row r="736">
      <c r="A736" s="216"/>
      <c r="B736" s="217"/>
      <c r="F736" s="218"/>
      <c r="G736" s="218"/>
      <c r="H736" s="219"/>
      <c r="I736" s="219"/>
      <c r="J736" s="219"/>
      <c r="O736" s="219"/>
    </row>
    <row r="737">
      <c r="A737" s="216"/>
      <c r="B737" s="217"/>
      <c r="F737" s="218"/>
      <c r="G737" s="218"/>
      <c r="H737" s="219"/>
      <c r="I737" s="219"/>
      <c r="J737" s="219"/>
      <c r="O737" s="219"/>
    </row>
    <row r="738">
      <c r="A738" s="216"/>
      <c r="B738" s="217"/>
      <c r="F738" s="218"/>
      <c r="G738" s="218"/>
      <c r="H738" s="219"/>
      <c r="I738" s="219"/>
      <c r="J738" s="219"/>
      <c r="O738" s="219"/>
    </row>
    <row r="739">
      <c r="A739" s="216"/>
      <c r="B739" s="217"/>
      <c r="F739" s="218"/>
      <c r="G739" s="218"/>
      <c r="H739" s="219"/>
      <c r="I739" s="219"/>
      <c r="J739" s="219"/>
      <c r="O739" s="219"/>
    </row>
    <row r="740">
      <c r="A740" s="216"/>
      <c r="B740" s="217"/>
      <c r="F740" s="218"/>
      <c r="G740" s="218"/>
      <c r="H740" s="219"/>
      <c r="I740" s="219"/>
      <c r="J740" s="219"/>
      <c r="O740" s="219"/>
    </row>
    <row r="741">
      <c r="A741" s="216"/>
      <c r="B741" s="217"/>
      <c r="F741" s="218"/>
      <c r="G741" s="218"/>
      <c r="H741" s="219"/>
      <c r="I741" s="219"/>
      <c r="J741" s="219"/>
      <c r="O741" s="219"/>
    </row>
    <row r="742">
      <c r="A742" s="216"/>
      <c r="B742" s="217"/>
      <c r="F742" s="218"/>
      <c r="G742" s="218"/>
      <c r="H742" s="219"/>
      <c r="I742" s="219"/>
      <c r="J742" s="219"/>
      <c r="O742" s="219"/>
    </row>
    <row r="743">
      <c r="A743" s="216"/>
      <c r="B743" s="217"/>
      <c r="F743" s="218"/>
      <c r="G743" s="218"/>
      <c r="H743" s="219"/>
      <c r="I743" s="219"/>
      <c r="J743" s="219"/>
      <c r="O743" s="219"/>
    </row>
    <row r="744">
      <c r="A744" s="216"/>
      <c r="B744" s="217"/>
      <c r="F744" s="218"/>
      <c r="G744" s="218"/>
      <c r="H744" s="219"/>
      <c r="I744" s="219"/>
      <c r="J744" s="219"/>
      <c r="O744" s="219"/>
    </row>
    <row r="745">
      <c r="A745" s="216"/>
      <c r="B745" s="217"/>
      <c r="F745" s="218"/>
      <c r="G745" s="218"/>
      <c r="H745" s="219"/>
      <c r="I745" s="219"/>
      <c r="J745" s="219"/>
      <c r="O745" s="219"/>
    </row>
    <row r="746">
      <c r="A746" s="216"/>
      <c r="B746" s="217"/>
      <c r="F746" s="218"/>
      <c r="G746" s="218"/>
      <c r="H746" s="219"/>
      <c r="I746" s="219"/>
      <c r="J746" s="219"/>
      <c r="O746" s="219"/>
    </row>
    <row r="747">
      <c r="A747" s="216"/>
      <c r="B747" s="217"/>
      <c r="F747" s="218"/>
      <c r="G747" s="218"/>
      <c r="H747" s="219"/>
      <c r="I747" s="219"/>
      <c r="J747" s="219"/>
      <c r="O747" s="219"/>
    </row>
    <row r="748">
      <c r="A748" s="216"/>
      <c r="B748" s="217"/>
      <c r="F748" s="218"/>
      <c r="G748" s="218"/>
      <c r="H748" s="219"/>
      <c r="I748" s="219"/>
      <c r="J748" s="219"/>
      <c r="O748" s="219"/>
    </row>
    <row r="749">
      <c r="A749" s="216"/>
      <c r="B749" s="217"/>
      <c r="F749" s="218"/>
      <c r="G749" s="218"/>
      <c r="H749" s="219"/>
      <c r="I749" s="219"/>
      <c r="J749" s="219"/>
      <c r="O749" s="219"/>
    </row>
    <row r="750">
      <c r="A750" s="216"/>
      <c r="B750" s="217"/>
      <c r="F750" s="218"/>
      <c r="G750" s="218"/>
      <c r="H750" s="219"/>
      <c r="I750" s="219"/>
      <c r="J750" s="219"/>
      <c r="O750" s="219"/>
    </row>
    <row r="751">
      <c r="A751" s="216"/>
      <c r="B751" s="217"/>
      <c r="F751" s="218"/>
      <c r="G751" s="218"/>
      <c r="H751" s="219"/>
      <c r="I751" s="219"/>
      <c r="J751" s="219"/>
      <c r="O751" s="219"/>
    </row>
    <row r="752">
      <c r="A752" s="216"/>
      <c r="B752" s="217"/>
      <c r="F752" s="218"/>
      <c r="G752" s="218"/>
      <c r="H752" s="219"/>
      <c r="I752" s="219"/>
      <c r="J752" s="219"/>
      <c r="O752" s="219"/>
    </row>
    <row r="753">
      <c r="A753" s="216"/>
      <c r="B753" s="217"/>
      <c r="F753" s="218"/>
      <c r="G753" s="218"/>
      <c r="H753" s="219"/>
      <c r="I753" s="219"/>
      <c r="J753" s="219"/>
      <c r="O753" s="219"/>
    </row>
    <row r="754">
      <c r="A754" s="216"/>
      <c r="B754" s="217"/>
      <c r="F754" s="218"/>
      <c r="G754" s="218"/>
      <c r="H754" s="219"/>
      <c r="I754" s="219"/>
      <c r="J754" s="219"/>
      <c r="O754" s="219"/>
    </row>
    <row r="755">
      <c r="A755" s="216"/>
      <c r="B755" s="217"/>
      <c r="F755" s="218"/>
      <c r="G755" s="218"/>
      <c r="H755" s="219"/>
      <c r="I755" s="219"/>
      <c r="J755" s="219"/>
      <c r="O755" s="219"/>
    </row>
    <row r="756">
      <c r="A756" s="216"/>
      <c r="B756" s="217"/>
      <c r="F756" s="218"/>
      <c r="G756" s="218"/>
      <c r="H756" s="219"/>
      <c r="I756" s="219"/>
      <c r="J756" s="219"/>
      <c r="O756" s="219"/>
    </row>
    <row r="757">
      <c r="A757" s="216"/>
      <c r="B757" s="217"/>
      <c r="F757" s="218"/>
      <c r="G757" s="218"/>
      <c r="H757" s="219"/>
      <c r="I757" s="219"/>
      <c r="J757" s="219"/>
      <c r="O757" s="219"/>
    </row>
    <row r="758">
      <c r="A758" s="216"/>
      <c r="B758" s="217"/>
      <c r="F758" s="218"/>
      <c r="G758" s="218"/>
      <c r="H758" s="219"/>
      <c r="I758" s="219"/>
      <c r="J758" s="219"/>
      <c r="O758" s="219"/>
    </row>
    <row r="759">
      <c r="A759" s="216"/>
      <c r="B759" s="217"/>
      <c r="F759" s="218"/>
      <c r="G759" s="218"/>
      <c r="H759" s="219"/>
      <c r="I759" s="219"/>
      <c r="J759" s="219"/>
      <c r="O759" s="219"/>
    </row>
    <row r="760">
      <c r="A760" s="216"/>
      <c r="B760" s="217"/>
      <c r="F760" s="218"/>
      <c r="G760" s="218"/>
      <c r="H760" s="219"/>
      <c r="I760" s="219"/>
      <c r="J760" s="219"/>
      <c r="O760" s="219"/>
    </row>
    <row r="761">
      <c r="A761" s="216"/>
      <c r="B761" s="217"/>
      <c r="F761" s="218"/>
      <c r="G761" s="218"/>
      <c r="H761" s="219"/>
      <c r="I761" s="219"/>
      <c r="J761" s="219"/>
      <c r="O761" s="219"/>
    </row>
    <row r="762">
      <c r="A762" s="216"/>
      <c r="B762" s="217"/>
      <c r="F762" s="218"/>
      <c r="G762" s="218"/>
      <c r="H762" s="219"/>
      <c r="I762" s="219"/>
      <c r="J762" s="219"/>
      <c r="O762" s="219"/>
    </row>
    <row r="763">
      <c r="A763" s="216"/>
      <c r="B763" s="217"/>
      <c r="F763" s="218"/>
      <c r="G763" s="218"/>
      <c r="H763" s="219"/>
      <c r="I763" s="219"/>
      <c r="J763" s="219"/>
      <c r="O763" s="219"/>
    </row>
    <row r="764">
      <c r="A764" s="216"/>
      <c r="B764" s="217"/>
      <c r="F764" s="218"/>
      <c r="G764" s="218"/>
      <c r="H764" s="219"/>
      <c r="I764" s="219"/>
      <c r="J764" s="219"/>
      <c r="O764" s="219"/>
    </row>
    <row r="765">
      <c r="A765" s="216"/>
      <c r="B765" s="217"/>
      <c r="F765" s="218"/>
      <c r="G765" s="218"/>
      <c r="H765" s="219"/>
      <c r="I765" s="219"/>
      <c r="J765" s="219"/>
      <c r="O765" s="219"/>
    </row>
    <row r="766">
      <c r="A766" s="216"/>
      <c r="B766" s="217"/>
      <c r="F766" s="218"/>
      <c r="G766" s="218"/>
      <c r="H766" s="219"/>
      <c r="I766" s="219"/>
      <c r="J766" s="219"/>
      <c r="O766" s="219"/>
    </row>
    <row r="767">
      <c r="A767" s="216"/>
      <c r="B767" s="217"/>
      <c r="F767" s="218"/>
      <c r="G767" s="218"/>
      <c r="H767" s="219"/>
      <c r="I767" s="219"/>
      <c r="J767" s="219"/>
      <c r="O767" s="219"/>
    </row>
    <row r="768">
      <c r="A768" s="216"/>
      <c r="B768" s="217"/>
      <c r="F768" s="218"/>
      <c r="G768" s="218"/>
      <c r="H768" s="219"/>
      <c r="I768" s="219"/>
      <c r="J768" s="219"/>
      <c r="O768" s="219"/>
    </row>
    <row r="769">
      <c r="A769" s="216"/>
      <c r="B769" s="217"/>
      <c r="F769" s="218"/>
      <c r="G769" s="218"/>
      <c r="H769" s="219"/>
      <c r="I769" s="219"/>
      <c r="J769" s="219"/>
      <c r="O769" s="219"/>
    </row>
    <row r="770">
      <c r="A770" s="216"/>
      <c r="B770" s="217"/>
      <c r="F770" s="218"/>
      <c r="G770" s="218"/>
      <c r="H770" s="219"/>
      <c r="I770" s="219"/>
      <c r="J770" s="219"/>
      <c r="O770" s="219"/>
    </row>
    <row r="771">
      <c r="A771" s="216"/>
      <c r="B771" s="217"/>
      <c r="F771" s="218"/>
      <c r="G771" s="218"/>
      <c r="H771" s="219"/>
      <c r="I771" s="219"/>
      <c r="J771" s="219"/>
      <c r="O771" s="219"/>
    </row>
    <row r="772">
      <c r="A772" s="216"/>
      <c r="B772" s="217"/>
      <c r="F772" s="218"/>
      <c r="G772" s="218"/>
      <c r="H772" s="219"/>
      <c r="I772" s="219"/>
      <c r="J772" s="219"/>
      <c r="O772" s="219"/>
    </row>
    <row r="773">
      <c r="A773" s="216"/>
      <c r="B773" s="217"/>
      <c r="F773" s="218"/>
      <c r="G773" s="218"/>
      <c r="H773" s="219"/>
      <c r="I773" s="219"/>
      <c r="J773" s="219"/>
      <c r="O773" s="219"/>
    </row>
    <row r="774">
      <c r="A774" s="216"/>
      <c r="B774" s="217"/>
      <c r="F774" s="218"/>
      <c r="G774" s="218"/>
      <c r="H774" s="219"/>
      <c r="I774" s="219"/>
      <c r="J774" s="219"/>
      <c r="O774" s="219"/>
    </row>
    <row r="775">
      <c r="A775" s="216"/>
      <c r="B775" s="217"/>
      <c r="F775" s="218"/>
      <c r="G775" s="218"/>
      <c r="H775" s="219"/>
      <c r="I775" s="219"/>
      <c r="J775" s="219"/>
      <c r="O775" s="219"/>
    </row>
    <row r="776">
      <c r="A776" s="216"/>
      <c r="B776" s="217"/>
      <c r="F776" s="218"/>
      <c r="G776" s="218"/>
      <c r="H776" s="219"/>
      <c r="I776" s="219"/>
      <c r="J776" s="219"/>
      <c r="O776" s="219"/>
    </row>
    <row r="777">
      <c r="A777" s="216"/>
      <c r="B777" s="217"/>
      <c r="F777" s="218"/>
      <c r="G777" s="218"/>
      <c r="H777" s="219"/>
      <c r="I777" s="219"/>
      <c r="J777" s="219"/>
      <c r="O777" s="219"/>
    </row>
    <row r="778">
      <c r="A778" s="216"/>
      <c r="B778" s="217"/>
      <c r="F778" s="218"/>
      <c r="G778" s="218"/>
      <c r="H778" s="219"/>
      <c r="I778" s="219"/>
      <c r="J778" s="219"/>
      <c r="O778" s="219"/>
    </row>
    <row r="779">
      <c r="A779" s="216"/>
      <c r="B779" s="217"/>
      <c r="F779" s="218"/>
      <c r="G779" s="218"/>
      <c r="H779" s="219"/>
      <c r="I779" s="219"/>
      <c r="J779" s="219"/>
      <c r="O779" s="219"/>
    </row>
    <row r="780">
      <c r="A780" s="216"/>
      <c r="B780" s="217"/>
      <c r="F780" s="218"/>
      <c r="G780" s="218"/>
      <c r="H780" s="219"/>
      <c r="I780" s="219"/>
      <c r="J780" s="219"/>
      <c r="O780" s="219"/>
    </row>
    <row r="781">
      <c r="A781" s="216"/>
      <c r="B781" s="217"/>
      <c r="F781" s="218"/>
      <c r="G781" s="218"/>
      <c r="H781" s="219"/>
      <c r="I781" s="219"/>
      <c r="J781" s="219"/>
      <c r="O781" s="219"/>
    </row>
    <row r="782">
      <c r="A782" s="216"/>
      <c r="B782" s="217"/>
      <c r="F782" s="218"/>
      <c r="G782" s="218"/>
      <c r="H782" s="219"/>
      <c r="I782" s="219"/>
      <c r="J782" s="219"/>
      <c r="O782" s="219"/>
    </row>
    <row r="783">
      <c r="A783" s="216"/>
      <c r="B783" s="217"/>
      <c r="F783" s="218"/>
      <c r="G783" s="218"/>
      <c r="H783" s="219"/>
      <c r="I783" s="219"/>
      <c r="J783" s="219"/>
      <c r="O783" s="219"/>
    </row>
    <row r="784">
      <c r="A784" s="216"/>
      <c r="B784" s="217"/>
      <c r="F784" s="218"/>
      <c r="G784" s="218"/>
      <c r="H784" s="219"/>
      <c r="I784" s="219"/>
      <c r="J784" s="219"/>
      <c r="O784" s="219"/>
    </row>
    <row r="785">
      <c r="A785" s="216"/>
      <c r="B785" s="217"/>
      <c r="F785" s="218"/>
      <c r="G785" s="218"/>
      <c r="H785" s="219"/>
      <c r="I785" s="219"/>
      <c r="J785" s="219"/>
      <c r="O785" s="219"/>
    </row>
    <row r="786">
      <c r="A786" s="216"/>
      <c r="B786" s="217"/>
      <c r="F786" s="218"/>
      <c r="G786" s="218"/>
      <c r="H786" s="219"/>
      <c r="I786" s="219"/>
      <c r="J786" s="219"/>
      <c r="O786" s="219"/>
    </row>
    <row r="787">
      <c r="A787" s="216"/>
      <c r="B787" s="217"/>
      <c r="F787" s="218"/>
      <c r="G787" s="218"/>
      <c r="H787" s="219"/>
      <c r="I787" s="219"/>
      <c r="J787" s="219"/>
      <c r="O787" s="219"/>
    </row>
    <row r="788">
      <c r="A788" s="216"/>
      <c r="B788" s="217"/>
      <c r="F788" s="218"/>
      <c r="G788" s="218"/>
      <c r="H788" s="219"/>
      <c r="I788" s="219"/>
      <c r="J788" s="219"/>
      <c r="O788" s="219"/>
    </row>
    <row r="789">
      <c r="A789" s="216"/>
      <c r="B789" s="217"/>
      <c r="F789" s="218"/>
      <c r="G789" s="218"/>
      <c r="H789" s="219"/>
      <c r="I789" s="219"/>
      <c r="J789" s="219"/>
      <c r="O789" s="219"/>
    </row>
    <row r="790">
      <c r="A790" s="216"/>
      <c r="B790" s="217"/>
      <c r="F790" s="218"/>
      <c r="G790" s="218"/>
      <c r="H790" s="219"/>
      <c r="I790" s="219"/>
      <c r="J790" s="219"/>
      <c r="O790" s="219"/>
    </row>
    <row r="791">
      <c r="A791" s="216"/>
      <c r="B791" s="217"/>
      <c r="F791" s="218"/>
      <c r="G791" s="218"/>
      <c r="H791" s="219"/>
      <c r="I791" s="219"/>
      <c r="J791" s="219"/>
      <c r="O791" s="219"/>
    </row>
    <row r="792">
      <c r="A792" s="216"/>
      <c r="B792" s="217"/>
      <c r="F792" s="218"/>
      <c r="G792" s="218"/>
      <c r="H792" s="219"/>
      <c r="I792" s="219"/>
      <c r="J792" s="219"/>
      <c r="O792" s="219"/>
    </row>
    <row r="793">
      <c r="A793" s="216"/>
      <c r="B793" s="217"/>
      <c r="F793" s="218"/>
      <c r="G793" s="218"/>
      <c r="H793" s="219"/>
      <c r="I793" s="219"/>
      <c r="J793" s="219"/>
      <c r="O793" s="219"/>
    </row>
    <row r="794">
      <c r="A794" s="216"/>
      <c r="B794" s="217"/>
      <c r="F794" s="218"/>
      <c r="G794" s="218"/>
      <c r="H794" s="219"/>
      <c r="I794" s="219"/>
      <c r="J794" s="219"/>
      <c r="O794" s="219"/>
    </row>
    <row r="795">
      <c r="A795" s="216"/>
      <c r="B795" s="217"/>
      <c r="F795" s="218"/>
      <c r="G795" s="218"/>
      <c r="H795" s="219"/>
      <c r="I795" s="219"/>
      <c r="J795" s="219"/>
      <c r="O795" s="219"/>
    </row>
    <row r="796">
      <c r="A796" s="216"/>
      <c r="B796" s="217"/>
      <c r="F796" s="218"/>
      <c r="G796" s="218"/>
      <c r="H796" s="219"/>
      <c r="I796" s="219"/>
      <c r="J796" s="219"/>
      <c r="O796" s="219"/>
    </row>
    <row r="797">
      <c r="A797" s="216"/>
      <c r="B797" s="217"/>
      <c r="F797" s="218"/>
      <c r="G797" s="218"/>
      <c r="H797" s="219"/>
      <c r="I797" s="219"/>
      <c r="J797" s="219"/>
      <c r="O797" s="219"/>
    </row>
    <row r="798">
      <c r="A798" s="216"/>
      <c r="B798" s="217"/>
      <c r="F798" s="218"/>
      <c r="G798" s="218"/>
      <c r="H798" s="219"/>
      <c r="I798" s="219"/>
      <c r="J798" s="219"/>
      <c r="O798" s="219"/>
    </row>
    <row r="799">
      <c r="A799" s="216"/>
      <c r="B799" s="217"/>
      <c r="F799" s="218"/>
      <c r="G799" s="218"/>
      <c r="H799" s="219"/>
      <c r="I799" s="219"/>
      <c r="J799" s="219"/>
      <c r="O799" s="219"/>
    </row>
    <row r="800">
      <c r="A800" s="216"/>
      <c r="B800" s="217"/>
      <c r="F800" s="218"/>
      <c r="G800" s="218"/>
      <c r="H800" s="219"/>
      <c r="I800" s="219"/>
      <c r="J800" s="219"/>
      <c r="O800" s="219"/>
    </row>
    <row r="801">
      <c r="A801" s="216"/>
      <c r="B801" s="217"/>
      <c r="F801" s="218"/>
      <c r="G801" s="218"/>
      <c r="H801" s="219"/>
      <c r="I801" s="219"/>
      <c r="J801" s="219"/>
      <c r="O801" s="219"/>
    </row>
    <row r="802">
      <c r="A802" s="216"/>
      <c r="B802" s="217"/>
      <c r="F802" s="218"/>
      <c r="G802" s="218"/>
      <c r="H802" s="219"/>
      <c r="I802" s="219"/>
      <c r="J802" s="219"/>
      <c r="O802" s="219"/>
    </row>
    <row r="803">
      <c r="A803" s="216"/>
      <c r="B803" s="217"/>
      <c r="F803" s="218"/>
      <c r="G803" s="218"/>
      <c r="H803" s="219"/>
      <c r="I803" s="219"/>
      <c r="J803" s="219"/>
      <c r="O803" s="219"/>
    </row>
    <row r="804">
      <c r="A804" s="216"/>
      <c r="B804" s="217"/>
      <c r="F804" s="218"/>
      <c r="G804" s="218"/>
      <c r="H804" s="219"/>
      <c r="I804" s="219"/>
      <c r="J804" s="219"/>
      <c r="O804" s="219"/>
    </row>
    <row r="805">
      <c r="A805" s="216"/>
      <c r="B805" s="217"/>
      <c r="F805" s="218"/>
      <c r="G805" s="218"/>
      <c r="H805" s="219"/>
      <c r="I805" s="219"/>
      <c r="J805" s="219"/>
      <c r="O805" s="219"/>
    </row>
    <row r="806">
      <c r="A806" s="216"/>
      <c r="B806" s="217"/>
      <c r="F806" s="218"/>
      <c r="G806" s="218"/>
      <c r="H806" s="219"/>
      <c r="I806" s="219"/>
      <c r="J806" s="219"/>
      <c r="O806" s="219"/>
    </row>
    <row r="807">
      <c r="A807" s="216"/>
      <c r="B807" s="217"/>
      <c r="F807" s="218"/>
      <c r="G807" s="218"/>
      <c r="H807" s="219"/>
      <c r="I807" s="219"/>
      <c r="J807" s="219"/>
      <c r="O807" s="219"/>
    </row>
    <row r="808">
      <c r="A808" s="216"/>
      <c r="B808" s="217"/>
      <c r="F808" s="218"/>
      <c r="G808" s="218"/>
      <c r="H808" s="219"/>
      <c r="I808" s="219"/>
      <c r="J808" s="219"/>
      <c r="O808" s="219"/>
    </row>
    <row r="809">
      <c r="A809" s="216"/>
      <c r="B809" s="217"/>
      <c r="F809" s="218"/>
      <c r="G809" s="218"/>
      <c r="H809" s="219"/>
      <c r="I809" s="219"/>
      <c r="J809" s="219"/>
      <c r="O809" s="219"/>
    </row>
    <row r="810">
      <c r="A810" s="216"/>
      <c r="B810" s="217"/>
      <c r="F810" s="218"/>
      <c r="G810" s="218"/>
      <c r="H810" s="219"/>
      <c r="I810" s="219"/>
      <c r="J810" s="219"/>
      <c r="O810" s="219"/>
    </row>
    <row r="811">
      <c r="A811" s="216"/>
      <c r="B811" s="217"/>
      <c r="F811" s="218"/>
      <c r="G811" s="218"/>
      <c r="H811" s="219"/>
      <c r="I811" s="219"/>
      <c r="J811" s="219"/>
      <c r="O811" s="219"/>
    </row>
    <row r="812">
      <c r="A812" s="216"/>
      <c r="B812" s="217"/>
      <c r="F812" s="218"/>
      <c r="G812" s="218"/>
      <c r="H812" s="219"/>
      <c r="I812" s="219"/>
      <c r="J812" s="219"/>
      <c r="O812" s="219"/>
    </row>
    <row r="813">
      <c r="A813" s="216"/>
      <c r="B813" s="217"/>
      <c r="F813" s="218"/>
      <c r="G813" s="218"/>
      <c r="H813" s="219"/>
      <c r="I813" s="219"/>
      <c r="J813" s="219"/>
      <c r="O813" s="219"/>
    </row>
    <row r="814">
      <c r="A814" s="216"/>
      <c r="B814" s="217"/>
      <c r="F814" s="218"/>
      <c r="G814" s="218"/>
      <c r="H814" s="219"/>
      <c r="I814" s="219"/>
      <c r="J814" s="219"/>
      <c r="O814" s="219"/>
    </row>
    <row r="815">
      <c r="A815" s="216"/>
      <c r="B815" s="217"/>
      <c r="F815" s="218"/>
      <c r="G815" s="218"/>
      <c r="H815" s="219"/>
      <c r="I815" s="219"/>
      <c r="J815" s="219"/>
      <c r="O815" s="219"/>
    </row>
    <row r="816">
      <c r="A816" s="216"/>
      <c r="B816" s="217"/>
      <c r="F816" s="218"/>
      <c r="G816" s="218"/>
      <c r="H816" s="219"/>
      <c r="I816" s="219"/>
      <c r="J816" s="219"/>
      <c r="O816" s="219"/>
    </row>
    <row r="817">
      <c r="A817" s="216"/>
      <c r="B817" s="217"/>
      <c r="F817" s="218"/>
      <c r="G817" s="218"/>
      <c r="H817" s="219"/>
      <c r="I817" s="219"/>
      <c r="J817" s="219"/>
      <c r="O817" s="219"/>
    </row>
    <row r="818">
      <c r="A818" s="216"/>
      <c r="B818" s="217"/>
      <c r="F818" s="218"/>
      <c r="G818" s="218"/>
      <c r="H818" s="219"/>
      <c r="I818" s="219"/>
      <c r="J818" s="219"/>
      <c r="O818" s="219"/>
    </row>
    <row r="819">
      <c r="A819" s="216"/>
      <c r="B819" s="217"/>
      <c r="F819" s="218"/>
      <c r="G819" s="218"/>
      <c r="H819" s="219"/>
      <c r="I819" s="219"/>
      <c r="J819" s="219"/>
      <c r="O819" s="219"/>
    </row>
    <row r="820">
      <c r="A820" s="216"/>
      <c r="B820" s="217"/>
      <c r="F820" s="218"/>
      <c r="G820" s="218"/>
      <c r="H820" s="219"/>
      <c r="I820" s="219"/>
      <c r="J820" s="219"/>
      <c r="O820" s="219"/>
    </row>
    <row r="821">
      <c r="A821" s="216"/>
      <c r="B821" s="217"/>
      <c r="F821" s="218"/>
      <c r="G821" s="218"/>
      <c r="H821" s="219"/>
      <c r="I821" s="219"/>
      <c r="J821" s="219"/>
      <c r="O821" s="219"/>
    </row>
    <row r="822">
      <c r="A822" s="216"/>
      <c r="B822" s="217"/>
      <c r="F822" s="218"/>
      <c r="G822" s="218"/>
      <c r="H822" s="219"/>
      <c r="I822" s="219"/>
      <c r="J822" s="219"/>
      <c r="O822" s="219"/>
    </row>
    <row r="823">
      <c r="A823" s="216"/>
      <c r="B823" s="217"/>
      <c r="F823" s="218"/>
      <c r="G823" s="218"/>
      <c r="H823" s="219"/>
      <c r="I823" s="219"/>
      <c r="J823" s="219"/>
      <c r="O823" s="219"/>
    </row>
    <row r="824">
      <c r="A824" s="216"/>
      <c r="B824" s="217"/>
      <c r="F824" s="218"/>
      <c r="G824" s="218"/>
      <c r="H824" s="219"/>
      <c r="I824" s="219"/>
      <c r="J824" s="219"/>
      <c r="O824" s="219"/>
    </row>
    <row r="825">
      <c r="A825" s="216"/>
      <c r="B825" s="217"/>
      <c r="F825" s="218"/>
      <c r="G825" s="218"/>
      <c r="H825" s="219"/>
      <c r="I825" s="219"/>
      <c r="J825" s="219"/>
      <c r="O825" s="219"/>
    </row>
    <row r="826">
      <c r="A826" s="216"/>
      <c r="B826" s="217"/>
      <c r="F826" s="218"/>
      <c r="G826" s="218"/>
      <c r="H826" s="219"/>
      <c r="I826" s="219"/>
      <c r="J826" s="219"/>
      <c r="O826" s="219"/>
    </row>
    <row r="827">
      <c r="A827" s="216"/>
      <c r="B827" s="217"/>
      <c r="F827" s="218"/>
      <c r="G827" s="218"/>
      <c r="H827" s="219"/>
      <c r="I827" s="219"/>
      <c r="J827" s="219"/>
      <c r="O827" s="219"/>
    </row>
    <row r="828">
      <c r="A828" s="216"/>
      <c r="B828" s="217"/>
      <c r="F828" s="218"/>
      <c r="G828" s="218"/>
      <c r="H828" s="219"/>
      <c r="I828" s="219"/>
      <c r="J828" s="219"/>
      <c r="O828" s="219"/>
    </row>
    <row r="829">
      <c r="A829" s="216"/>
      <c r="B829" s="217"/>
      <c r="F829" s="218"/>
      <c r="G829" s="218"/>
      <c r="H829" s="219"/>
      <c r="I829" s="219"/>
      <c r="J829" s="219"/>
      <c r="O829" s="219"/>
    </row>
    <row r="830">
      <c r="A830" s="216"/>
      <c r="B830" s="217"/>
      <c r="F830" s="218"/>
      <c r="G830" s="218"/>
      <c r="H830" s="219"/>
      <c r="I830" s="219"/>
      <c r="J830" s="219"/>
      <c r="O830" s="219"/>
    </row>
    <row r="831">
      <c r="A831" s="216"/>
      <c r="B831" s="217"/>
      <c r="F831" s="218"/>
      <c r="G831" s="218"/>
      <c r="H831" s="219"/>
      <c r="I831" s="219"/>
      <c r="J831" s="219"/>
      <c r="O831" s="219"/>
    </row>
    <row r="832">
      <c r="A832" s="216"/>
      <c r="B832" s="217"/>
      <c r="F832" s="218"/>
      <c r="G832" s="218"/>
      <c r="H832" s="219"/>
      <c r="I832" s="219"/>
      <c r="J832" s="219"/>
      <c r="O832" s="219"/>
    </row>
    <row r="833">
      <c r="A833" s="216"/>
      <c r="B833" s="217"/>
      <c r="F833" s="218"/>
      <c r="G833" s="218"/>
      <c r="H833" s="219"/>
      <c r="I833" s="219"/>
      <c r="J833" s="219"/>
      <c r="O833" s="219"/>
    </row>
    <row r="834">
      <c r="A834" s="216"/>
      <c r="B834" s="217"/>
      <c r="F834" s="218"/>
      <c r="G834" s="218"/>
      <c r="H834" s="219"/>
      <c r="I834" s="219"/>
      <c r="J834" s="219"/>
      <c r="O834" s="219"/>
    </row>
    <row r="835">
      <c r="A835" s="216"/>
      <c r="B835" s="217"/>
      <c r="F835" s="218"/>
      <c r="G835" s="218"/>
      <c r="H835" s="219"/>
      <c r="I835" s="219"/>
      <c r="J835" s="219"/>
      <c r="O835" s="219"/>
    </row>
    <row r="836">
      <c r="A836" s="216"/>
      <c r="B836" s="217"/>
      <c r="F836" s="218"/>
      <c r="G836" s="218"/>
      <c r="H836" s="219"/>
      <c r="I836" s="219"/>
      <c r="J836" s="219"/>
      <c r="O836" s="219"/>
    </row>
    <row r="837">
      <c r="A837" s="216"/>
      <c r="B837" s="217"/>
      <c r="F837" s="218"/>
      <c r="G837" s="218"/>
      <c r="H837" s="219"/>
      <c r="I837" s="219"/>
      <c r="J837" s="219"/>
      <c r="O837" s="219"/>
    </row>
    <row r="838">
      <c r="A838" s="216"/>
      <c r="B838" s="217"/>
      <c r="F838" s="218"/>
      <c r="G838" s="218"/>
      <c r="H838" s="219"/>
      <c r="I838" s="219"/>
      <c r="J838" s="219"/>
      <c r="O838" s="219"/>
    </row>
    <row r="839">
      <c r="A839" s="216"/>
      <c r="B839" s="217"/>
      <c r="F839" s="218"/>
      <c r="G839" s="218"/>
      <c r="H839" s="219"/>
      <c r="I839" s="219"/>
      <c r="J839" s="219"/>
      <c r="O839" s="219"/>
    </row>
    <row r="840">
      <c r="A840" s="216"/>
      <c r="B840" s="217"/>
      <c r="F840" s="218"/>
      <c r="G840" s="218"/>
      <c r="H840" s="219"/>
      <c r="I840" s="219"/>
      <c r="J840" s="219"/>
      <c r="O840" s="219"/>
    </row>
    <row r="841">
      <c r="A841" s="216"/>
      <c r="B841" s="217"/>
      <c r="F841" s="218"/>
      <c r="G841" s="218"/>
      <c r="H841" s="219"/>
      <c r="I841" s="219"/>
      <c r="J841" s="219"/>
      <c r="O841" s="219"/>
    </row>
    <row r="842">
      <c r="A842" s="216"/>
      <c r="B842" s="217"/>
      <c r="F842" s="218"/>
      <c r="G842" s="218"/>
      <c r="H842" s="219"/>
      <c r="I842" s="219"/>
      <c r="J842" s="219"/>
      <c r="O842" s="219"/>
    </row>
    <row r="843">
      <c r="A843" s="216"/>
      <c r="B843" s="217"/>
      <c r="F843" s="218"/>
      <c r="G843" s="218"/>
      <c r="H843" s="219"/>
      <c r="I843" s="219"/>
      <c r="J843" s="219"/>
      <c r="O843" s="219"/>
    </row>
    <row r="844">
      <c r="A844" s="216"/>
      <c r="B844" s="217"/>
      <c r="F844" s="218"/>
      <c r="G844" s="218"/>
      <c r="H844" s="219"/>
      <c r="I844" s="219"/>
      <c r="J844" s="219"/>
      <c r="O844" s="219"/>
    </row>
    <row r="845">
      <c r="A845" s="216"/>
      <c r="B845" s="217"/>
      <c r="F845" s="218"/>
      <c r="G845" s="218"/>
      <c r="H845" s="219"/>
      <c r="I845" s="219"/>
      <c r="J845" s="219"/>
      <c r="O845" s="219"/>
    </row>
    <row r="846">
      <c r="A846" s="216"/>
      <c r="B846" s="217"/>
      <c r="F846" s="218"/>
      <c r="G846" s="218"/>
      <c r="H846" s="219"/>
      <c r="I846" s="219"/>
      <c r="J846" s="219"/>
      <c r="O846" s="219"/>
    </row>
    <row r="847">
      <c r="A847" s="216"/>
      <c r="B847" s="217"/>
      <c r="F847" s="218"/>
      <c r="G847" s="218"/>
      <c r="H847" s="219"/>
      <c r="I847" s="219"/>
      <c r="J847" s="219"/>
      <c r="O847" s="219"/>
    </row>
    <row r="848">
      <c r="A848" s="216"/>
      <c r="B848" s="217"/>
      <c r="F848" s="218"/>
      <c r="G848" s="218"/>
      <c r="H848" s="219"/>
      <c r="I848" s="219"/>
      <c r="J848" s="219"/>
      <c r="O848" s="219"/>
    </row>
    <row r="849">
      <c r="A849" s="216"/>
      <c r="B849" s="217"/>
      <c r="F849" s="218"/>
      <c r="G849" s="218"/>
      <c r="H849" s="219"/>
      <c r="I849" s="219"/>
      <c r="J849" s="219"/>
      <c r="O849" s="219"/>
    </row>
    <row r="850">
      <c r="A850" s="216"/>
      <c r="B850" s="217"/>
      <c r="F850" s="218"/>
      <c r="G850" s="218"/>
      <c r="H850" s="219"/>
      <c r="I850" s="219"/>
      <c r="J850" s="219"/>
      <c r="O850" s="219"/>
    </row>
    <row r="851">
      <c r="A851" s="216"/>
      <c r="B851" s="217"/>
      <c r="F851" s="218"/>
      <c r="G851" s="218"/>
      <c r="H851" s="219"/>
      <c r="I851" s="219"/>
      <c r="J851" s="219"/>
      <c r="O851" s="219"/>
    </row>
    <row r="852">
      <c r="A852" s="216"/>
      <c r="B852" s="217"/>
      <c r="F852" s="218"/>
      <c r="G852" s="218"/>
      <c r="H852" s="219"/>
      <c r="I852" s="219"/>
      <c r="J852" s="219"/>
      <c r="O852" s="219"/>
    </row>
    <row r="853">
      <c r="A853" s="216"/>
      <c r="B853" s="217"/>
      <c r="F853" s="218"/>
      <c r="G853" s="218"/>
      <c r="H853" s="219"/>
      <c r="I853" s="219"/>
      <c r="J853" s="219"/>
      <c r="O853" s="219"/>
    </row>
    <row r="854">
      <c r="A854" s="216"/>
      <c r="B854" s="217"/>
      <c r="F854" s="218"/>
      <c r="G854" s="218"/>
      <c r="H854" s="219"/>
      <c r="I854" s="219"/>
      <c r="J854" s="219"/>
      <c r="O854" s="219"/>
    </row>
    <row r="855">
      <c r="A855" s="216"/>
      <c r="B855" s="217"/>
      <c r="F855" s="218"/>
      <c r="G855" s="218"/>
      <c r="H855" s="219"/>
      <c r="I855" s="219"/>
      <c r="J855" s="219"/>
      <c r="O855" s="219"/>
    </row>
    <row r="856">
      <c r="A856" s="216"/>
      <c r="B856" s="217"/>
      <c r="F856" s="218"/>
      <c r="G856" s="218"/>
      <c r="H856" s="219"/>
      <c r="I856" s="219"/>
      <c r="J856" s="219"/>
      <c r="O856" s="219"/>
    </row>
    <row r="857">
      <c r="A857" s="216"/>
      <c r="B857" s="217"/>
      <c r="F857" s="218"/>
      <c r="G857" s="218"/>
      <c r="H857" s="219"/>
      <c r="I857" s="219"/>
      <c r="J857" s="219"/>
      <c r="O857" s="219"/>
    </row>
    <row r="858">
      <c r="A858" s="216"/>
      <c r="B858" s="217"/>
      <c r="F858" s="218"/>
      <c r="G858" s="218"/>
      <c r="H858" s="219"/>
      <c r="I858" s="219"/>
      <c r="J858" s="219"/>
      <c r="O858" s="219"/>
    </row>
    <row r="859">
      <c r="A859" s="216"/>
      <c r="B859" s="217"/>
      <c r="F859" s="218"/>
      <c r="G859" s="218"/>
      <c r="H859" s="219"/>
      <c r="I859" s="219"/>
      <c r="J859" s="219"/>
      <c r="O859" s="219"/>
    </row>
    <row r="860">
      <c r="A860" s="216"/>
      <c r="B860" s="217"/>
      <c r="F860" s="218"/>
      <c r="G860" s="218"/>
      <c r="H860" s="219"/>
      <c r="I860" s="219"/>
      <c r="J860" s="219"/>
      <c r="O860" s="219"/>
    </row>
    <row r="861">
      <c r="A861" s="216"/>
      <c r="B861" s="217"/>
      <c r="F861" s="218"/>
      <c r="G861" s="218"/>
      <c r="H861" s="219"/>
      <c r="I861" s="219"/>
      <c r="J861" s="219"/>
      <c r="O861" s="219"/>
    </row>
    <row r="862">
      <c r="A862" s="216"/>
      <c r="B862" s="217"/>
      <c r="F862" s="218"/>
      <c r="G862" s="218"/>
      <c r="H862" s="219"/>
      <c r="I862" s="219"/>
      <c r="J862" s="219"/>
      <c r="O862" s="219"/>
    </row>
    <row r="863">
      <c r="A863" s="216"/>
      <c r="B863" s="217"/>
      <c r="F863" s="218"/>
      <c r="G863" s="218"/>
      <c r="H863" s="219"/>
      <c r="I863" s="219"/>
      <c r="J863" s="219"/>
      <c r="O863" s="219"/>
    </row>
    <row r="864">
      <c r="A864" s="216"/>
      <c r="B864" s="217"/>
      <c r="F864" s="218"/>
      <c r="G864" s="218"/>
      <c r="H864" s="219"/>
      <c r="I864" s="219"/>
      <c r="J864" s="219"/>
      <c r="O864" s="219"/>
    </row>
    <row r="865">
      <c r="A865" s="216"/>
      <c r="B865" s="217"/>
      <c r="F865" s="218"/>
      <c r="G865" s="218"/>
      <c r="H865" s="219"/>
      <c r="I865" s="219"/>
      <c r="J865" s="219"/>
      <c r="O865" s="219"/>
    </row>
    <row r="866">
      <c r="A866" s="216"/>
      <c r="B866" s="217"/>
      <c r="F866" s="218"/>
      <c r="G866" s="218"/>
      <c r="H866" s="219"/>
      <c r="I866" s="219"/>
      <c r="J866" s="219"/>
      <c r="O866" s="219"/>
    </row>
    <row r="867">
      <c r="A867" s="216"/>
      <c r="B867" s="217"/>
      <c r="F867" s="218"/>
      <c r="G867" s="218"/>
      <c r="H867" s="219"/>
      <c r="I867" s="219"/>
      <c r="J867" s="219"/>
      <c r="O867" s="219"/>
    </row>
    <row r="868">
      <c r="A868" s="216"/>
      <c r="B868" s="217"/>
      <c r="F868" s="218"/>
      <c r="G868" s="218"/>
      <c r="H868" s="219"/>
      <c r="I868" s="219"/>
      <c r="J868" s="219"/>
      <c r="O868" s="219"/>
    </row>
    <row r="869">
      <c r="A869" s="216"/>
      <c r="B869" s="217"/>
      <c r="F869" s="218"/>
      <c r="G869" s="218"/>
      <c r="H869" s="219"/>
      <c r="I869" s="219"/>
      <c r="J869" s="219"/>
      <c r="O869" s="219"/>
    </row>
    <row r="870">
      <c r="A870" s="216"/>
      <c r="B870" s="217"/>
      <c r="F870" s="218"/>
      <c r="G870" s="218"/>
      <c r="H870" s="219"/>
      <c r="I870" s="219"/>
      <c r="J870" s="219"/>
      <c r="O870" s="219"/>
    </row>
    <row r="871">
      <c r="A871" s="216"/>
      <c r="B871" s="217"/>
      <c r="F871" s="218"/>
      <c r="G871" s="218"/>
      <c r="H871" s="219"/>
      <c r="I871" s="219"/>
      <c r="J871" s="219"/>
      <c r="O871" s="219"/>
    </row>
    <row r="872">
      <c r="A872" s="216"/>
      <c r="B872" s="217"/>
      <c r="F872" s="218"/>
      <c r="G872" s="218"/>
      <c r="H872" s="219"/>
      <c r="I872" s="219"/>
      <c r="J872" s="219"/>
      <c r="O872" s="219"/>
    </row>
    <row r="873">
      <c r="A873" s="216"/>
      <c r="B873" s="217"/>
      <c r="F873" s="218"/>
      <c r="G873" s="218"/>
      <c r="H873" s="219"/>
      <c r="I873" s="219"/>
      <c r="J873" s="219"/>
      <c r="O873" s="219"/>
    </row>
    <row r="874">
      <c r="A874" s="216"/>
      <c r="B874" s="217"/>
      <c r="F874" s="218"/>
      <c r="G874" s="218"/>
      <c r="H874" s="219"/>
      <c r="I874" s="219"/>
      <c r="J874" s="219"/>
      <c r="O874" s="219"/>
    </row>
    <row r="875">
      <c r="A875" s="216"/>
      <c r="B875" s="217"/>
      <c r="F875" s="218"/>
      <c r="G875" s="218"/>
      <c r="H875" s="219"/>
      <c r="I875" s="219"/>
      <c r="J875" s="219"/>
      <c r="O875" s="219"/>
    </row>
    <row r="876">
      <c r="A876" s="216"/>
      <c r="B876" s="217"/>
      <c r="F876" s="218"/>
      <c r="G876" s="218"/>
      <c r="H876" s="219"/>
      <c r="I876" s="219"/>
      <c r="J876" s="219"/>
      <c r="O876" s="219"/>
    </row>
    <row r="877">
      <c r="A877" s="216"/>
      <c r="B877" s="217"/>
      <c r="F877" s="218"/>
      <c r="G877" s="218"/>
      <c r="H877" s="219"/>
      <c r="I877" s="219"/>
      <c r="J877" s="219"/>
      <c r="O877" s="219"/>
    </row>
    <row r="878">
      <c r="A878" s="216"/>
      <c r="B878" s="217"/>
      <c r="F878" s="218"/>
      <c r="G878" s="218"/>
      <c r="H878" s="219"/>
      <c r="I878" s="219"/>
      <c r="J878" s="219"/>
      <c r="O878" s="219"/>
    </row>
    <row r="879">
      <c r="A879" s="216"/>
      <c r="B879" s="217"/>
      <c r="F879" s="218"/>
      <c r="G879" s="218"/>
      <c r="H879" s="219"/>
      <c r="I879" s="219"/>
      <c r="J879" s="219"/>
      <c r="O879" s="219"/>
    </row>
    <row r="880">
      <c r="A880" s="216"/>
      <c r="B880" s="217"/>
      <c r="F880" s="218"/>
      <c r="G880" s="218"/>
      <c r="H880" s="219"/>
      <c r="I880" s="219"/>
      <c r="J880" s="219"/>
      <c r="O880" s="219"/>
    </row>
    <row r="881">
      <c r="A881" s="216"/>
      <c r="B881" s="217"/>
      <c r="F881" s="218"/>
      <c r="G881" s="218"/>
      <c r="H881" s="219"/>
      <c r="I881" s="219"/>
      <c r="J881" s="219"/>
      <c r="O881" s="219"/>
    </row>
    <row r="882">
      <c r="A882" s="216"/>
      <c r="B882" s="217"/>
      <c r="F882" s="218"/>
      <c r="G882" s="218"/>
      <c r="H882" s="219"/>
      <c r="I882" s="219"/>
      <c r="J882" s="219"/>
      <c r="O882" s="219"/>
    </row>
    <row r="883">
      <c r="A883" s="216"/>
      <c r="B883" s="217"/>
      <c r="F883" s="218"/>
      <c r="G883" s="218"/>
      <c r="H883" s="219"/>
      <c r="I883" s="219"/>
      <c r="J883" s="219"/>
      <c r="O883" s="219"/>
    </row>
    <row r="884">
      <c r="A884" s="216"/>
      <c r="B884" s="217"/>
      <c r="F884" s="218"/>
      <c r="G884" s="218"/>
      <c r="H884" s="219"/>
      <c r="I884" s="219"/>
      <c r="J884" s="219"/>
      <c r="O884" s="219"/>
    </row>
    <row r="885">
      <c r="A885" s="216"/>
      <c r="B885" s="217"/>
      <c r="F885" s="218"/>
      <c r="G885" s="218"/>
      <c r="H885" s="219"/>
      <c r="I885" s="219"/>
      <c r="J885" s="219"/>
      <c r="O885" s="219"/>
    </row>
    <row r="886">
      <c r="A886" s="216"/>
      <c r="B886" s="217"/>
      <c r="F886" s="218"/>
      <c r="G886" s="218"/>
      <c r="H886" s="219"/>
      <c r="I886" s="219"/>
      <c r="J886" s="219"/>
      <c r="O886" s="219"/>
    </row>
    <row r="887">
      <c r="A887" s="216"/>
      <c r="B887" s="217"/>
      <c r="F887" s="218"/>
      <c r="G887" s="218"/>
      <c r="H887" s="219"/>
      <c r="I887" s="219"/>
      <c r="J887" s="219"/>
      <c r="O887" s="219"/>
    </row>
    <row r="888">
      <c r="A888" s="216"/>
      <c r="B888" s="217"/>
      <c r="F888" s="218"/>
      <c r="G888" s="218"/>
      <c r="H888" s="219"/>
      <c r="I888" s="219"/>
      <c r="J888" s="219"/>
      <c r="O888" s="219"/>
    </row>
    <row r="889">
      <c r="A889" s="216"/>
      <c r="B889" s="217"/>
      <c r="F889" s="218"/>
      <c r="G889" s="218"/>
      <c r="H889" s="219"/>
      <c r="I889" s="219"/>
      <c r="J889" s="219"/>
      <c r="O889" s="219"/>
    </row>
    <row r="890">
      <c r="A890" s="216"/>
      <c r="B890" s="217"/>
      <c r="F890" s="218"/>
      <c r="G890" s="218"/>
      <c r="H890" s="219"/>
      <c r="I890" s="219"/>
      <c r="J890" s="219"/>
      <c r="O890" s="219"/>
    </row>
    <row r="891">
      <c r="A891" s="216"/>
      <c r="B891" s="217"/>
      <c r="F891" s="218"/>
      <c r="G891" s="218"/>
      <c r="H891" s="219"/>
      <c r="I891" s="219"/>
      <c r="J891" s="219"/>
      <c r="O891" s="219"/>
    </row>
    <row r="892">
      <c r="A892" s="216"/>
      <c r="B892" s="217"/>
      <c r="F892" s="218"/>
      <c r="G892" s="218"/>
      <c r="H892" s="219"/>
      <c r="I892" s="219"/>
      <c r="J892" s="219"/>
      <c r="O892" s="219"/>
    </row>
    <row r="893">
      <c r="A893" s="216"/>
      <c r="B893" s="217"/>
      <c r="F893" s="218"/>
      <c r="G893" s="218"/>
      <c r="H893" s="219"/>
      <c r="I893" s="219"/>
      <c r="J893" s="219"/>
      <c r="O893" s="219"/>
    </row>
    <row r="894">
      <c r="A894" s="216"/>
      <c r="B894" s="217"/>
      <c r="F894" s="218"/>
      <c r="G894" s="218"/>
      <c r="H894" s="219"/>
      <c r="I894" s="219"/>
      <c r="J894" s="219"/>
      <c r="O894" s="219"/>
    </row>
    <row r="895">
      <c r="A895" s="216"/>
      <c r="B895" s="217"/>
      <c r="F895" s="218"/>
      <c r="G895" s="218"/>
      <c r="H895" s="219"/>
      <c r="I895" s="219"/>
      <c r="J895" s="219"/>
      <c r="O895" s="219"/>
    </row>
    <row r="896">
      <c r="A896" s="216"/>
      <c r="B896" s="217"/>
      <c r="F896" s="218"/>
      <c r="G896" s="218"/>
      <c r="H896" s="219"/>
      <c r="I896" s="219"/>
      <c r="J896" s="219"/>
      <c r="O896" s="219"/>
    </row>
    <row r="897">
      <c r="A897" s="216"/>
      <c r="B897" s="217"/>
      <c r="F897" s="218"/>
      <c r="G897" s="218"/>
      <c r="H897" s="219"/>
      <c r="I897" s="219"/>
      <c r="J897" s="219"/>
      <c r="O897" s="219"/>
    </row>
    <row r="898">
      <c r="A898" s="216"/>
      <c r="B898" s="217"/>
      <c r="F898" s="218"/>
      <c r="G898" s="218"/>
      <c r="H898" s="219"/>
      <c r="I898" s="219"/>
      <c r="J898" s="219"/>
      <c r="O898" s="219"/>
    </row>
    <row r="899">
      <c r="A899" s="216"/>
      <c r="B899" s="217"/>
      <c r="F899" s="218"/>
      <c r="G899" s="218"/>
      <c r="H899" s="219"/>
      <c r="I899" s="219"/>
      <c r="J899" s="219"/>
      <c r="O899" s="219"/>
    </row>
    <row r="900">
      <c r="A900" s="216"/>
      <c r="B900" s="217"/>
      <c r="F900" s="218"/>
      <c r="G900" s="218"/>
      <c r="H900" s="219"/>
      <c r="I900" s="219"/>
      <c r="J900" s="219"/>
      <c r="O900" s="219"/>
    </row>
    <row r="901">
      <c r="A901" s="216"/>
      <c r="B901" s="217"/>
      <c r="F901" s="218"/>
      <c r="G901" s="218"/>
      <c r="H901" s="219"/>
      <c r="I901" s="219"/>
      <c r="J901" s="219"/>
      <c r="O901" s="219"/>
    </row>
    <row r="902">
      <c r="A902" s="216"/>
      <c r="B902" s="217"/>
      <c r="F902" s="218"/>
      <c r="G902" s="218"/>
      <c r="H902" s="219"/>
      <c r="I902" s="219"/>
      <c r="J902" s="219"/>
      <c r="O902" s="219"/>
    </row>
    <row r="903">
      <c r="A903" s="216"/>
      <c r="B903" s="217"/>
      <c r="F903" s="218"/>
      <c r="G903" s="218"/>
      <c r="H903" s="219"/>
      <c r="I903" s="219"/>
      <c r="J903" s="219"/>
      <c r="O903" s="219"/>
    </row>
    <row r="904">
      <c r="A904" s="216"/>
      <c r="B904" s="217"/>
      <c r="F904" s="218"/>
      <c r="G904" s="218"/>
      <c r="H904" s="219"/>
      <c r="I904" s="219"/>
      <c r="J904" s="219"/>
      <c r="O904" s="219"/>
    </row>
    <row r="905">
      <c r="A905" s="216"/>
      <c r="B905" s="217"/>
      <c r="F905" s="218"/>
      <c r="G905" s="218"/>
      <c r="H905" s="219"/>
      <c r="I905" s="219"/>
      <c r="J905" s="219"/>
      <c r="O905" s="219"/>
    </row>
    <row r="906">
      <c r="A906" s="216"/>
      <c r="B906" s="217"/>
      <c r="F906" s="218"/>
      <c r="G906" s="218"/>
      <c r="H906" s="219"/>
      <c r="I906" s="219"/>
      <c r="J906" s="219"/>
      <c r="O906" s="219"/>
    </row>
    <row r="907">
      <c r="A907" s="216"/>
      <c r="B907" s="217"/>
      <c r="F907" s="218"/>
      <c r="G907" s="218"/>
      <c r="H907" s="219"/>
      <c r="I907" s="219"/>
      <c r="J907" s="219"/>
      <c r="O907" s="219"/>
    </row>
    <row r="908">
      <c r="A908" s="216"/>
      <c r="B908" s="217"/>
      <c r="F908" s="218"/>
      <c r="G908" s="218"/>
      <c r="H908" s="219"/>
      <c r="I908" s="219"/>
      <c r="J908" s="219"/>
      <c r="O908" s="219"/>
    </row>
    <row r="909">
      <c r="A909" s="216"/>
      <c r="B909" s="217"/>
      <c r="F909" s="218"/>
      <c r="G909" s="218"/>
      <c r="H909" s="219"/>
      <c r="I909" s="219"/>
      <c r="J909" s="219"/>
      <c r="O909" s="219"/>
    </row>
    <row r="910">
      <c r="A910" s="216"/>
      <c r="B910" s="217"/>
      <c r="F910" s="218"/>
      <c r="G910" s="218"/>
      <c r="H910" s="219"/>
      <c r="I910" s="219"/>
      <c r="J910" s="219"/>
      <c r="O910" s="219"/>
    </row>
    <row r="911">
      <c r="A911" s="216"/>
      <c r="B911" s="217"/>
      <c r="F911" s="218"/>
      <c r="G911" s="218"/>
      <c r="H911" s="219"/>
      <c r="I911" s="219"/>
      <c r="J911" s="219"/>
      <c r="O911" s="219"/>
    </row>
    <row r="912">
      <c r="A912" s="216"/>
      <c r="B912" s="217"/>
      <c r="F912" s="218"/>
      <c r="G912" s="218"/>
      <c r="H912" s="219"/>
      <c r="I912" s="219"/>
      <c r="J912" s="219"/>
      <c r="O912" s="219"/>
    </row>
    <row r="913">
      <c r="A913" s="216"/>
      <c r="B913" s="217"/>
      <c r="F913" s="218"/>
      <c r="G913" s="218"/>
      <c r="H913" s="219"/>
      <c r="I913" s="219"/>
      <c r="J913" s="219"/>
      <c r="O913" s="219"/>
    </row>
    <row r="914">
      <c r="A914" s="216"/>
      <c r="B914" s="217"/>
      <c r="F914" s="218"/>
      <c r="G914" s="218"/>
      <c r="H914" s="219"/>
      <c r="I914" s="219"/>
      <c r="J914" s="219"/>
      <c r="O914" s="219"/>
    </row>
    <row r="915">
      <c r="A915" s="216"/>
      <c r="B915" s="217"/>
      <c r="F915" s="218"/>
      <c r="G915" s="218"/>
      <c r="H915" s="219"/>
      <c r="I915" s="219"/>
      <c r="J915" s="219"/>
      <c r="O915" s="219"/>
    </row>
    <row r="916">
      <c r="A916" s="216"/>
      <c r="B916" s="217"/>
      <c r="F916" s="218"/>
      <c r="G916" s="218"/>
      <c r="H916" s="219"/>
      <c r="I916" s="219"/>
      <c r="J916" s="219"/>
      <c r="O916" s="219"/>
    </row>
    <row r="917">
      <c r="A917" s="216"/>
      <c r="B917" s="217"/>
      <c r="F917" s="218"/>
      <c r="G917" s="218"/>
      <c r="H917" s="219"/>
      <c r="I917" s="219"/>
      <c r="J917" s="219"/>
      <c r="O917" s="219"/>
    </row>
    <row r="918">
      <c r="A918" s="216"/>
      <c r="B918" s="217"/>
      <c r="F918" s="218"/>
      <c r="G918" s="218"/>
      <c r="H918" s="219"/>
      <c r="I918" s="219"/>
      <c r="J918" s="219"/>
      <c r="O918" s="219"/>
    </row>
    <row r="919">
      <c r="A919" s="216"/>
      <c r="B919" s="217"/>
      <c r="F919" s="218"/>
      <c r="G919" s="218"/>
      <c r="H919" s="219"/>
      <c r="I919" s="219"/>
      <c r="J919" s="219"/>
      <c r="O919" s="219"/>
    </row>
    <row r="920">
      <c r="A920" s="216"/>
      <c r="B920" s="217"/>
      <c r="F920" s="218"/>
      <c r="G920" s="218"/>
      <c r="H920" s="219"/>
      <c r="I920" s="219"/>
      <c r="J920" s="219"/>
      <c r="O920" s="219"/>
    </row>
    <row r="921">
      <c r="A921" s="216"/>
      <c r="B921" s="217"/>
      <c r="F921" s="218"/>
      <c r="G921" s="218"/>
      <c r="H921" s="219"/>
      <c r="I921" s="219"/>
      <c r="J921" s="219"/>
      <c r="O921" s="219"/>
    </row>
    <row r="922">
      <c r="A922" s="216"/>
      <c r="B922" s="217"/>
      <c r="F922" s="218"/>
      <c r="G922" s="218"/>
      <c r="H922" s="219"/>
      <c r="I922" s="219"/>
      <c r="J922" s="219"/>
      <c r="O922" s="219"/>
    </row>
    <row r="923">
      <c r="A923" s="216"/>
      <c r="B923" s="217"/>
      <c r="F923" s="218"/>
      <c r="G923" s="218"/>
      <c r="H923" s="219"/>
      <c r="I923" s="219"/>
      <c r="J923" s="219"/>
      <c r="O923" s="219"/>
    </row>
    <row r="924">
      <c r="A924" s="216"/>
      <c r="B924" s="217"/>
      <c r="F924" s="218"/>
      <c r="G924" s="218"/>
      <c r="H924" s="219"/>
      <c r="I924" s="219"/>
      <c r="J924" s="219"/>
      <c r="O924" s="219"/>
    </row>
    <row r="925">
      <c r="A925" s="216"/>
      <c r="B925" s="217"/>
      <c r="F925" s="218"/>
      <c r="G925" s="218"/>
      <c r="H925" s="219"/>
      <c r="I925" s="219"/>
      <c r="J925" s="219"/>
      <c r="O925" s="219"/>
    </row>
    <row r="926">
      <c r="A926" s="216"/>
      <c r="B926" s="217"/>
      <c r="F926" s="218"/>
      <c r="G926" s="218"/>
      <c r="H926" s="219"/>
      <c r="I926" s="219"/>
      <c r="J926" s="219"/>
      <c r="O926" s="219"/>
    </row>
    <row r="927">
      <c r="A927" s="216"/>
      <c r="B927" s="217"/>
      <c r="F927" s="218"/>
      <c r="G927" s="218"/>
      <c r="H927" s="219"/>
      <c r="I927" s="219"/>
      <c r="J927" s="219"/>
      <c r="O927" s="219"/>
    </row>
    <row r="928">
      <c r="A928" s="216"/>
      <c r="B928" s="217"/>
      <c r="F928" s="218"/>
      <c r="G928" s="218"/>
      <c r="H928" s="219"/>
      <c r="I928" s="219"/>
      <c r="J928" s="219"/>
      <c r="O928" s="219"/>
    </row>
    <row r="929">
      <c r="A929" s="216"/>
      <c r="B929" s="217"/>
      <c r="F929" s="218"/>
      <c r="G929" s="218"/>
      <c r="H929" s="219"/>
      <c r="I929" s="219"/>
      <c r="J929" s="219"/>
      <c r="O929" s="219"/>
    </row>
    <row r="930">
      <c r="A930" s="216"/>
      <c r="B930" s="217"/>
      <c r="F930" s="218"/>
      <c r="G930" s="218"/>
      <c r="H930" s="219"/>
      <c r="I930" s="219"/>
      <c r="J930" s="219"/>
      <c r="O930" s="219"/>
    </row>
    <row r="931">
      <c r="A931" s="216"/>
      <c r="B931" s="217"/>
      <c r="F931" s="218"/>
      <c r="G931" s="218"/>
      <c r="H931" s="219"/>
      <c r="I931" s="219"/>
      <c r="J931" s="219"/>
      <c r="O931" s="219"/>
    </row>
    <row r="932">
      <c r="A932" s="216"/>
      <c r="B932" s="217"/>
      <c r="F932" s="218"/>
      <c r="G932" s="218"/>
      <c r="H932" s="219"/>
      <c r="I932" s="219"/>
      <c r="J932" s="219"/>
      <c r="O932" s="219"/>
    </row>
    <row r="933">
      <c r="A933" s="216"/>
      <c r="B933" s="217"/>
      <c r="F933" s="218"/>
      <c r="G933" s="218"/>
      <c r="H933" s="219"/>
      <c r="I933" s="219"/>
      <c r="J933" s="219"/>
      <c r="O933" s="219"/>
    </row>
    <row r="934">
      <c r="A934" s="216"/>
      <c r="B934" s="217"/>
      <c r="F934" s="218"/>
      <c r="G934" s="218"/>
      <c r="H934" s="219"/>
      <c r="I934" s="219"/>
      <c r="J934" s="219"/>
      <c r="O934" s="219"/>
    </row>
    <row r="935">
      <c r="A935" s="216"/>
      <c r="B935" s="217"/>
      <c r="F935" s="218"/>
      <c r="G935" s="218"/>
      <c r="H935" s="219"/>
      <c r="I935" s="219"/>
      <c r="J935" s="219"/>
      <c r="O935" s="219"/>
    </row>
    <row r="936">
      <c r="A936" s="216"/>
      <c r="B936" s="217"/>
      <c r="F936" s="218"/>
      <c r="G936" s="218"/>
      <c r="H936" s="219"/>
      <c r="I936" s="219"/>
      <c r="J936" s="219"/>
      <c r="O936" s="219"/>
    </row>
    <row r="937">
      <c r="A937" s="216"/>
      <c r="B937" s="217"/>
      <c r="F937" s="218"/>
      <c r="G937" s="218"/>
      <c r="H937" s="219"/>
      <c r="I937" s="219"/>
      <c r="J937" s="219"/>
      <c r="O937" s="219"/>
    </row>
    <row r="938">
      <c r="A938" s="216"/>
      <c r="B938" s="217"/>
      <c r="F938" s="218"/>
      <c r="G938" s="218"/>
      <c r="H938" s="219"/>
      <c r="I938" s="219"/>
      <c r="J938" s="219"/>
      <c r="O938" s="219"/>
    </row>
    <row r="939">
      <c r="A939" s="216"/>
      <c r="B939" s="217"/>
      <c r="F939" s="218"/>
      <c r="G939" s="218"/>
      <c r="H939" s="219"/>
      <c r="I939" s="219"/>
      <c r="J939" s="219"/>
      <c r="O939" s="219"/>
    </row>
    <row r="940">
      <c r="A940" s="216"/>
      <c r="B940" s="217"/>
      <c r="F940" s="218"/>
      <c r="G940" s="218"/>
      <c r="H940" s="219"/>
      <c r="I940" s="219"/>
      <c r="J940" s="219"/>
      <c r="O940" s="219"/>
    </row>
    <row r="941">
      <c r="A941" s="216"/>
      <c r="B941" s="217"/>
      <c r="F941" s="218"/>
      <c r="G941" s="218"/>
      <c r="H941" s="219"/>
      <c r="I941" s="219"/>
      <c r="J941" s="219"/>
      <c r="O941" s="219"/>
    </row>
    <row r="942">
      <c r="A942" s="216"/>
      <c r="B942" s="217"/>
      <c r="F942" s="218"/>
      <c r="G942" s="218"/>
      <c r="H942" s="219"/>
      <c r="I942" s="219"/>
      <c r="J942" s="219"/>
      <c r="O942" s="219"/>
    </row>
    <row r="943">
      <c r="A943" s="216"/>
      <c r="B943" s="217"/>
      <c r="F943" s="218"/>
      <c r="G943" s="218"/>
      <c r="H943" s="219"/>
      <c r="I943" s="219"/>
      <c r="J943" s="219"/>
      <c r="O943" s="219"/>
    </row>
    <row r="944">
      <c r="A944" s="216"/>
      <c r="B944" s="217"/>
      <c r="F944" s="218"/>
      <c r="G944" s="218"/>
      <c r="H944" s="219"/>
      <c r="I944" s="219"/>
      <c r="J944" s="219"/>
      <c r="O944" s="219"/>
    </row>
    <row r="945">
      <c r="A945" s="216"/>
      <c r="B945" s="217"/>
      <c r="F945" s="218"/>
      <c r="G945" s="218"/>
      <c r="H945" s="219"/>
      <c r="I945" s="219"/>
      <c r="J945" s="219"/>
      <c r="O945" s="219"/>
    </row>
    <row r="946">
      <c r="A946" s="216"/>
      <c r="B946" s="217"/>
      <c r="F946" s="218"/>
      <c r="G946" s="218"/>
      <c r="H946" s="219"/>
      <c r="I946" s="219"/>
      <c r="J946" s="219"/>
      <c r="O946" s="219"/>
    </row>
    <row r="947">
      <c r="A947" s="216"/>
      <c r="B947" s="217"/>
      <c r="F947" s="218"/>
      <c r="G947" s="218"/>
      <c r="H947" s="219"/>
      <c r="I947" s="219"/>
      <c r="J947" s="219"/>
      <c r="O947" s="219"/>
    </row>
    <row r="948">
      <c r="A948" s="216"/>
      <c r="B948" s="217"/>
      <c r="F948" s="218"/>
      <c r="G948" s="218"/>
      <c r="H948" s="219"/>
      <c r="I948" s="219"/>
      <c r="J948" s="219"/>
      <c r="O948" s="219"/>
    </row>
    <row r="949">
      <c r="A949" s="216"/>
      <c r="B949" s="217"/>
      <c r="F949" s="218"/>
      <c r="G949" s="218"/>
      <c r="H949" s="219"/>
      <c r="I949" s="219"/>
      <c r="J949" s="219"/>
      <c r="O949" s="219"/>
    </row>
    <row r="950">
      <c r="A950" s="216"/>
      <c r="B950" s="217"/>
      <c r="F950" s="218"/>
      <c r="G950" s="218"/>
      <c r="H950" s="219"/>
      <c r="I950" s="219"/>
      <c r="J950" s="219"/>
      <c r="O950" s="219"/>
    </row>
    <row r="951">
      <c r="A951" s="216"/>
      <c r="B951" s="217"/>
      <c r="F951" s="218"/>
      <c r="G951" s="218"/>
      <c r="H951" s="219"/>
      <c r="I951" s="219"/>
      <c r="J951" s="219"/>
      <c r="O951" s="219"/>
    </row>
    <row r="952">
      <c r="A952" s="216"/>
      <c r="B952" s="217"/>
      <c r="F952" s="218"/>
      <c r="G952" s="218"/>
      <c r="H952" s="219"/>
      <c r="I952" s="219"/>
      <c r="J952" s="219"/>
      <c r="O952" s="219"/>
    </row>
    <row r="953">
      <c r="A953" s="216"/>
      <c r="B953" s="217"/>
      <c r="F953" s="218"/>
      <c r="G953" s="218"/>
      <c r="H953" s="219"/>
      <c r="I953" s="219"/>
      <c r="J953" s="219"/>
      <c r="O953" s="219"/>
    </row>
    <row r="954">
      <c r="A954" s="216"/>
      <c r="B954" s="217"/>
      <c r="F954" s="218"/>
      <c r="G954" s="218"/>
      <c r="H954" s="219"/>
      <c r="I954" s="219"/>
      <c r="J954" s="219"/>
      <c r="O954" s="219"/>
    </row>
    <row r="955">
      <c r="A955" s="216"/>
      <c r="B955" s="217"/>
      <c r="F955" s="218"/>
      <c r="G955" s="218"/>
      <c r="H955" s="219"/>
      <c r="I955" s="219"/>
      <c r="J955" s="219"/>
      <c r="O955" s="219"/>
    </row>
    <row r="956">
      <c r="A956" s="216"/>
      <c r="B956" s="217"/>
      <c r="F956" s="218"/>
      <c r="G956" s="218"/>
      <c r="H956" s="219"/>
      <c r="I956" s="219"/>
      <c r="J956" s="219"/>
      <c r="O956" s="219"/>
    </row>
    <row r="957">
      <c r="A957" s="216"/>
      <c r="B957" s="217"/>
      <c r="F957" s="218"/>
      <c r="G957" s="218"/>
      <c r="H957" s="219"/>
      <c r="I957" s="219"/>
      <c r="J957" s="219"/>
      <c r="O957" s="219"/>
    </row>
    <row r="958">
      <c r="A958" s="216"/>
      <c r="B958" s="217"/>
      <c r="F958" s="218"/>
      <c r="G958" s="218"/>
      <c r="H958" s="219"/>
      <c r="I958" s="219"/>
      <c r="J958" s="219"/>
      <c r="O958" s="219"/>
    </row>
    <row r="959">
      <c r="A959" s="216"/>
      <c r="B959" s="217"/>
      <c r="F959" s="218"/>
      <c r="G959" s="218"/>
      <c r="H959" s="219"/>
      <c r="I959" s="219"/>
      <c r="J959" s="219"/>
      <c r="O959" s="219"/>
    </row>
    <row r="960">
      <c r="A960" s="216"/>
      <c r="B960" s="217"/>
      <c r="F960" s="218"/>
      <c r="G960" s="218"/>
      <c r="H960" s="219"/>
      <c r="I960" s="219"/>
      <c r="J960" s="219"/>
      <c r="O960" s="219"/>
    </row>
    <row r="961">
      <c r="A961" s="216"/>
      <c r="B961" s="217"/>
      <c r="F961" s="218"/>
      <c r="G961" s="218"/>
      <c r="H961" s="219"/>
      <c r="I961" s="219"/>
      <c r="J961" s="219"/>
      <c r="O961" s="219"/>
    </row>
    <row r="962">
      <c r="A962" s="216"/>
      <c r="B962" s="217"/>
      <c r="F962" s="218"/>
      <c r="G962" s="218"/>
      <c r="H962" s="219"/>
      <c r="I962" s="219"/>
      <c r="J962" s="219"/>
      <c r="O962" s="219"/>
    </row>
    <row r="963">
      <c r="A963" s="216"/>
      <c r="B963" s="217"/>
      <c r="F963" s="218"/>
      <c r="G963" s="218"/>
      <c r="H963" s="219"/>
      <c r="I963" s="219"/>
      <c r="J963" s="219"/>
      <c r="O963" s="219"/>
    </row>
    <row r="964">
      <c r="A964" s="216"/>
      <c r="B964" s="217"/>
      <c r="F964" s="218"/>
      <c r="G964" s="218"/>
      <c r="H964" s="219"/>
      <c r="I964" s="219"/>
      <c r="J964" s="219"/>
      <c r="O964" s="219"/>
    </row>
    <row r="965">
      <c r="A965" s="216"/>
      <c r="B965" s="217"/>
      <c r="F965" s="218"/>
      <c r="G965" s="218"/>
      <c r="H965" s="219"/>
      <c r="I965" s="219"/>
      <c r="J965" s="219"/>
      <c r="O965" s="219"/>
    </row>
    <row r="966">
      <c r="A966" s="216"/>
      <c r="B966" s="217"/>
      <c r="F966" s="218"/>
      <c r="G966" s="218"/>
      <c r="H966" s="219"/>
      <c r="I966" s="219"/>
      <c r="J966" s="219"/>
      <c r="O966" s="219"/>
    </row>
    <row r="967">
      <c r="A967" s="216"/>
      <c r="B967" s="217"/>
      <c r="F967" s="218"/>
      <c r="G967" s="218"/>
      <c r="H967" s="219"/>
      <c r="I967" s="219"/>
      <c r="J967" s="219"/>
      <c r="O967" s="219"/>
    </row>
    <row r="968">
      <c r="A968" s="216"/>
      <c r="B968" s="217"/>
      <c r="F968" s="218"/>
      <c r="G968" s="218"/>
      <c r="H968" s="219"/>
      <c r="I968" s="219"/>
      <c r="J968" s="219"/>
      <c r="O968" s="219"/>
    </row>
    <row r="969">
      <c r="A969" s="216"/>
      <c r="B969" s="217"/>
      <c r="F969" s="218"/>
      <c r="G969" s="218"/>
      <c r="H969" s="219"/>
      <c r="I969" s="219"/>
      <c r="J969" s="219"/>
      <c r="O969" s="219"/>
    </row>
    <row r="970">
      <c r="A970" s="216"/>
      <c r="B970" s="217"/>
      <c r="F970" s="218"/>
      <c r="G970" s="218"/>
      <c r="H970" s="219"/>
      <c r="I970" s="219"/>
      <c r="J970" s="219"/>
      <c r="O970" s="219"/>
    </row>
    <row r="971">
      <c r="A971" s="216"/>
      <c r="B971" s="217"/>
      <c r="F971" s="218"/>
      <c r="G971" s="218"/>
      <c r="H971" s="219"/>
      <c r="I971" s="219"/>
      <c r="J971" s="219"/>
      <c r="O971" s="219"/>
    </row>
    <row r="972">
      <c r="A972" s="216"/>
      <c r="B972" s="217"/>
      <c r="F972" s="218"/>
      <c r="G972" s="218"/>
      <c r="H972" s="219"/>
      <c r="I972" s="219"/>
      <c r="J972" s="219"/>
      <c r="O972" s="219"/>
    </row>
    <row r="973">
      <c r="A973" s="216"/>
      <c r="B973" s="217"/>
      <c r="F973" s="218"/>
      <c r="G973" s="218"/>
      <c r="H973" s="219"/>
      <c r="I973" s="219"/>
      <c r="J973" s="219"/>
      <c r="O973" s="219"/>
    </row>
    <row r="974">
      <c r="A974" s="216"/>
      <c r="B974" s="217"/>
      <c r="F974" s="218"/>
      <c r="G974" s="218"/>
      <c r="H974" s="219"/>
      <c r="I974" s="219"/>
      <c r="J974" s="219"/>
      <c r="O974" s="219"/>
    </row>
    <row r="975">
      <c r="A975" s="216"/>
      <c r="B975" s="217"/>
      <c r="F975" s="218"/>
      <c r="G975" s="218"/>
      <c r="H975" s="219"/>
      <c r="I975" s="219"/>
      <c r="J975" s="219"/>
      <c r="O975" s="219"/>
    </row>
    <row r="976">
      <c r="A976" s="216"/>
      <c r="B976" s="217"/>
      <c r="F976" s="218"/>
      <c r="G976" s="218"/>
      <c r="H976" s="219"/>
      <c r="I976" s="219"/>
      <c r="J976" s="219"/>
      <c r="O976" s="219"/>
    </row>
    <row r="977">
      <c r="A977" s="216"/>
      <c r="B977" s="217"/>
      <c r="F977" s="218"/>
      <c r="G977" s="218"/>
      <c r="H977" s="219"/>
      <c r="I977" s="219"/>
      <c r="J977" s="219"/>
      <c r="O977" s="219"/>
    </row>
    <row r="978">
      <c r="A978" s="216"/>
      <c r="B978" s="217"/>
      <c r="F978" s="218"/>
      <c r="G978" s="218"/>
      <c r="H978" s="219"/>
      <c r="I978" s="219"/>
      <c r="J978" s="219"/>
      <c r="O978" s="219"/>
    </row>
    <row r="979">
      <c r="A979" s="216"/>
      <c r="B979" s="217"/>
      <c r="F979" s="218"/>
      <c r="G979" s="218"/>
      <c r="H979" s="219"/>
      <c r="I979" s="219"/>
      <c r="J979" s="219"/>
      <c r="O979" s="219"/>
    </row>
    <row r="980">
      <c r="A980" s="216"/>
      <c r="B980" s="217"/>
      <c r="F980" s="218"/>
      <c r="G980" s="218"/>
      <c r="H980" s="219"/>
      <c r="I980" s="219"/>
      <c r="J980" s="219"/>
      <c r="O980" s="219"/>
    </row>
    <row r="981">
      <c r="A981" s="216"/>
      <c r="B981" s="217"/>
      <c r="F981" s="218"/>
      <c r="G981" s="218"/>
      <c r="H981" s="219"/>
      <c r="I981" s="219"/>
      <c r="J981" s="219"/>
      <c r="O981" s="219"/>
    </row>
    <row r="982">
      <c r="A982" s="216"/>
      <c r="B982" s="217"/>
      <c r="F982" s="218"/>
      <c r="G982" s="218"/>
      <c r="H982" s="219"/>
      <c r="I982" s="219"/>
      <c r="J982" s="219"/>
      <c r="O982" s="219"/>
    </row>
    <row r="983">
      <c r="A983" s="216"/>
      <c r="B983" s="217"/>
      <c r="F983" s="218"/>
      <c r="G983" s="218"/>
      <c r="H983" s="219"/>
      <c r="I983" s="219"/>
      <c r="J983" s="219"/>
      <c r="O983" s="219"/>
    </row>
    <row r="984">
      <c r="A984" s="216"/>
      <c r="B984" s="217"/>
      <c r="F984" s="218"/>
      <c r="G984" s="218"/>
      <c r="H984" s="219"/>
      <c r="I984" s="219"/>
      <c r="J984" s="219"/>
      <c r="O984" s="219"/>
    </row>
    <row r="985">
      <c r="A985" s="216"/>
      <c r="B985" s="217"/>
      <c r="F985" s="218"/>
      <c r="G985" s="218"/>
      <c r="H985" s="219"/>
      <c r="I985" s="219"/>
      <c r="J985" s="219"/>
      <c r="O985" s="219"/>
    </row>
    <row r="986">
      <c r="A986" s="216"/>
      <c r="B986" s="217"/>
      <c r="F986" s="218"/>
      <c r="G986" s="218"/>
      <c r="H986" s="219"/>
      <c r="I986" s="219"/>
      <c r="J986" s="219"/>
      <c r="O986" s="219"/>
    </row>
    <row r="987">
      <c r="A987" s="216"/>
      <c r="B987" s="217"/>
      <c r="F987" s="218"/>
      <c r="G987" s="218"/>
      <c r="H987" s="219"/>
      <c r="I987" s="219"/>
      <c r="J987" s="219"/>
      <c r="O987" s="219"/>
    </row>
    <row r="988">
      <c r="A988" s="216"/>
      <c r="B988" s="217"/>
      <c r="F988" s="218"/>
      <c r="G988" s="218"/>
      <c r="H988" s="219"/>
      <c r="I988" s="219"/>
      <c r="J988" s="219"/>
      <c r="O988" s="219"/>
    </row>
    <row r="989">
      <c r="A989" s="216"/>
      <c r="B989" s="217"/>
      <c r="F989" s="218"/>
      <c r="G989" s="218"/>
      <c r="H989" s="219"/>
      <c r="I989" s="219"/>
      <c r="J989" s="219"/>
      <c r="O989" s="219"/>
    </row>
    <row r="990">
      <c r="A990" s="216"/>
      <c r="B990" s="217"/>
      <c r="F990" s="218"/>
      <c r="G990" s="218"/>
      <c r="H990" s="219"/>
      <c r="I990" s="219"/>
      <c r="J990" s="219"/>
      <c r="O990" s="219"/>
    </row>
    <row r="991">
      <c r="A991" s="216"/>
      <c r="B991" s="217"/>
      <c r="F991" s="218"/>
      <c r="G991" s="218"/>
      <c r="H991" s="219"/>
      <c r="I991" s="219"/>
      <c r="J991" s="219"/>
      <c r="O991" s="219"/>
    </row>
    <row r="992">
      <c r="A992" s="216"/>
      <c r="B992" s="217"/>
      <c r="F992" s="218"/>
      <c r="G992" s="218"/>
      <c r="H992" s="219"/>
      <c r="I992" s="219"/>
      <c r="J992" s="219"/>
      <c r="O992" s="219"/>
    </row>
    <row r="993">
      <c r="A993" s="216"/>
      <c r="B993" s="217"/>
      <c r="F993" s="218"/>
      <c r="G993" s="218"/>
      <c r="H993" s="219"/>
      <c r="I993" s="219"/>
      <c r="J993" s="219"/>
      <c r="O993" s="219"/>
    </row>
    <row r="994">
      <c r="A994" s="216"/>
      <c r="B994" s="217"/>
      <c r="F994" s="218"/>
      <c r="G994" s="218"/>
      <c r="H994" s="219"/>
      <c r="I994" s="219"/>
      <c r="J994" s="219"/>
      <c r="O994" s="219"/>
    </row>
    <row r="995">
      <c r="A995" s="216"/>
      <c r="B995" s="217"/>
      <c r="F995" s="218"/>
      <c r="G995" s="218"/>
      <c r="H995" s="219"/>
      <c r="I995" s="219"/>
      <c r="J995" s="219"/>
      <c r="O995" s="219"/>
    </row>
    <row r="996">
      <c r="A996" s="216"/>
      <c r="B996" s="217"/>
      <c r="F996" s="218"/>
      <c r="G996" s="218"/>
      <c r="H996" s="219"/>
      <c r="I996" s="219"/>
      <c r="J996" s="219"/>
      <c r="O996" s="219"/>
    </row>
    <row r="997">
      <c r="A997" s="216"/>
      <c r="B997" s="217"/>
      <c r="F997" s="218"/>
      <c r="G997" s="218"/>
      <c r="H997" s="219"/>
      <c r="I997" s="219"/>
      <c r="J997" s="219"/>
      <c r="O997" s="219"/>
    </row>
    <row r="998">
      <c r="A998" s="216"/>
      <c r="B998" s="217"/>
      <c r="F998" s="218"/>
      <c r="G998" s="218"/>
      <c r="H998" s="219"/>
      <c r="I998" s="219"/>
      <c r="J998" s="219"/>
      <c r="O998" s="219"/>
    </row>
    <row r="999">
      <c r="A999" s="216"/>
      <c r="B999" s="217"/>
      <c r="F999" s="218"/>
      <c r="G999" s="218"/>
      <c r="H999" s="219"/>
      <c r="I999" s="219"/>
      <c r="J999" s="219"/>
      <c r="O999" s="219"/>
    </row>
    <row r="1000">
      <c r="A1000" s="216"/>
      <c r="B1000" s="217"/>
      <c r="F1000" s="218"/>
      <c r="G1000" s="218"/>
      <c r="H1000" s="219"/>
      <c r="I1000" s="219"/>
      <c r="J1000" s="219"/>
      <c r="O1000" s="219"/>
    </row>
    <row r="1001">
      <c r="A1001" s="216"/>
      <c r="B1001" s="217"/>
      <c r="F1001" s="218"/>
      <c r="G1001" s="218"/>
      <c r="H1001" s="219"/>
      <c r="I1001" s="219"/>
      <c r="J1001" s="219"/>
      <c r="O1001" s="219"/>
    </row>
    <row r="1002">
      <c r="A1002" s="216"/>
      <c r="B1002" s="217"/>
      <c r="F1002" s="218"/>
      <c r="G1002" s="218"/>
      <c r="H1002" s="219"/>
      <c r="I1002" s="219"/>
      <c r="J1002" s="219"/>
      <c r="O1002" s="219"/>
    </row>
    <row r="1003">
      <c r="A1003" s="216"/>
      <c r="B1003" s="217"/>
      <c r="F1003" s="218"/>
      <c r="G1003" s="218"/>
      <c r="H1003" s="219"/>
      <c r="I1003" s="219"/>
      <c r="J1003" s="219"/>
      <c r="O1003" s="219"/>
    </row>
    <row r="1004">
      <c r="A1004" s="216"/>
      <c r="B1004" s="217"/>
      <c r="F1004" s="218"/>
      <c r="G1004" s="218"/>
      <c r="H1004" s="219"/>
      <c r="I1004" s="219"/>
      <c r="J1004" s="219"/>
      <c r="O1004" s="219"/>
    </row>
    <row r="1005">
      <c r="A1005" s="216"/>
      <c r="B1005" s="217"/>
      <c r="F1005" s="218"/>
      <c r="G1005" s="218"/>
      <c r="H1005" s="219"/>
      <c r="I1005" s="219"/>
      <c r="J1005" s="219"/>
      <c r="O1005" s="219"/>
    </row>
    <row r="1006">
      <c r="A1006" s="216"/>
      <c r="B1006" s="217"/>
      <c r="F1006" s="218"/>
      <c r="G1006" s="218"/>
      <c r="H1006" s="219"/>
      <c r="I1006" s="219"/>
      <c r="J1006" s="219"/>
      <c r="O1006" s="219"/>
    </row>
    <row r="1007">
      <c r="A1007" s="216"/>
      <c r="B1007" s="217"/>
      <c r="F1007" s="218"/>
      <c r="G1007" s="218"/>
      <c r="H1007" s="219"/>
      <c r="I1007" s="219"/>
      <c r="J1007" s="219"/>
      <c r="O1007" s="219"/>
    </row>
    <row r="1008">
      <c r="A1008" s="216"/>
      <c r="B1008" s="217"/>
      <c r="F1008" s="218"/>
      <c r="G1008" s="218"/>
      <c r="H1008" s="219"/>
      <c r="I1008" s="219"/>
      <c r="J1008" s="219"/>
      <c r="O1008" s="219"/>
    </row>
    <row r="1009">
      <c r="A1009" s="216"/>
      <c r="B1009" s="217"/>
      <c r="F1009" s="218"/>
      <c r="G1009" s="218"/>
      <c r="H1009" s="219"/>
      <c r="I1009" s="219"/>
      <c r="J1009" s="219"/>
      <c r="O1009" s="219"/>
    </row>
    <row r="1010">
      <c r="A1010" s="216"/>
      <c r="B1010" s="217"/>
      <c r="F1010" s="218"/>
      <c r="G1010" s="218"/>
      <c r="H1010" s="219"/>
      <c r="I1010" s="219"/>
      <c r="J1010" s="219"/>
      <c r="O1010" s="219"/>
    </row>
    <row r="1011">
      <c r="A1011" s="216"/>
      <c r="B1011" s="217"/>
      <c r="F1011" s="218"/>
      <c r="G1011" s="218"/>
      <c r="H1011" s="219"/>
      <c r="I1011" s="219"/>
      <c r="J1011" s="219"/>
      <c r="O1011" s="219"/>
    </row>
    <row r="1012">
      <c r="A1012" s="216"/>
      <c r="B1012" s="217"/>
      <c r="F1012" s="218"/>
      <c r="G1012" s="218"/>
      <c r="H1012" s="219"/>
      <c r="I1012" s="219"/>
      <c r="J1012" s="219"/>
      <c r="O1012" s="219"/>
    </row>
    <row r="1013">
      <c r="A1013" s="216"/>
      <c r="B1013" s="217"/>
      <c r="F1013" s="218"/>
      <c r="G1013" s="218"/>
      <c r="H1013" s="219"/>
      <c r="I1013" s="219"/>
      <c r="J1013" s="219"/>
      <c r="O1013" s="219"/>
    </row>
    <row r="1014">
      <c r="A1014" s="216"/>
      <c r="B1014" s="217"/>
      <c r="F1014" s="218"/>
      <c r="G1014" s="218"/>
      <c r="H1014" s="219"/>
      <c r="I1014" s="219"/>
      <c r="J1014" s="219"/>
      <c r="O1014" s="219"/>
    </row>
    <row r="1015">
      <c r="A1015" s="216"/>
      <c r="B1015" s="217"/>
      <c r="F1015" s="218"/>
      <c r="G1015" s="218"/>
      <c r="H1015" s="219"/>
      <c r="I1015" s="219"/>
      <c r="J1015" s="219"/>
      <c r="O1015" s="219"/>
    </row>
    <row r="1016">
      <c r="A1016" s="216"/>
      <c r="B1016" s="217"/>
      <c r="F1016" s="218"/>
      <c r="G1016" s="218"/>
      <c r="H1016" s="219"/>
      <c r="I1016" s="219"/>
      <c r="J1016" s="219"/>
      <c r="O1016" s="219"/>
    </row>
    <row r="1017">
      <c r="A1017" s="216"/>
      <c r="B1017" s="217"/>
      <c r="F1017" s="218"/>
      <c r="G1017" s="218"/>
      <c r="H1017" s="219"/>
      <c r="I1017" s="219"/>
      <c r="J1017" s="219"/>
      <c r="O1017" s="219"/>
    </row>
    <row r="1018">
      <c r="A1018" s="216"/>
      <c r="B1018" s="217"/>
      <c r="F1018" s="218"/>
      <c r="G1018" s="218"/>
      <c r="H1018" s="219"/>
      <c r="I1018" s="219"/>
      <c r="J1018" s="219"/>
      <c r="O1018" s="219"/>
    </row>
    <row r="1019">
      <c r="A1019" s="216"/>
      <c r="B1019" s="217"/>
      <c r="F1019" s="218"/>
      <c r="G1019" s="218"/>
      <c r="H1019" s="219"/>
      <c r="I1019" s="219"/>
      <c r="J1019" s="219"/>
      <c r="O1019" s="219"/>
    </row>
    <row r="1020">
      <c r="A1020" s="216"/>
      <c r="B1020" s="217"/>
      <c r="F1020" s="218"/>
      <c r="G1020" s="218"/>
      <c r="H1020" s="219"/>
      <c r="I1020" s="219"/>
      <c r="J1020" s="219"/>
      <c r="O1020" s="219"/>
    </row>
    <row r="1021">
      <c r="A1021" s="216"/>
      <c r="B1021" s="217"/>
      <c r="F1021" s="218"/>
      <c r="G1021" s="218"/>
      <c r="H1021" s="219"/>
      <c r="I1021" s="219"/>
      <c r="J1021" s="219"/>
      <c r="O1021" s="219"/>
    </row>
    <row r="1022">
      <c r="A1022" s="216"/>
      <c r="B1022" s="217"/>
      <c r="F1022" s="218"/>
      <c r="G1022" s="218"/>
      <c r="H1022" s="219"/>
      <c r="I1022" s="219"/>
      <c r="J1022" s="219"/>
      <c r="O1022" s="219"/>
    </row>
    <row r="1023">
      <c r="A1023" s="216"/>
      <c r="B1023" s="217"/>
      <c r="F1023" s="218"/>
      <c r="G1023" s="218"/>
      <c r="H1023" s="219"/>
      <c r="I1023" s="219"/>
      <c r="J1023" s="219"/>
      <c r="O1023" s="219"/>
    </row>
    <row r="1024">
      <c r="A1024" s="216"/>
      <c r="B1024" s="217"/>
      <c r="F1024" s="218"/>
      <c r="G1024" s="218"/>
      <c r="H1024" s="219"/>
      <c r="I1024" s="219"/>
      <c r="J1024" s="219"/>
      <c r="O1024" s="219"/>
    </row>
    <row r="1025">
      <c r="A1025" s="216"/>
      <c r="B1025" s="217"/>
      <c r="F1025" s="218"/>
      <c r="G1025" s="218"/>
      <c r="H1025" s="219"/>
      <c r="I1025" s="219"/>
      <c r="J1025" s="219"/>
      <c r="O1025" s="219"/>
    </row>
    <row r="1026">
      <c r="A1026" s="216"/>
      <c r="B1026" s="217"/>
      <c r="F1026" s="218"/>
      <c r="G1026" s="218"/>
      <c r="H1026" s="219"/>
      <c r="I1026" s="219"/>
      <c r="J1026" s="219"/>
      <c r="O1026" s="219"/>
    </row>
    <row r="1027">
      <c r="A1027" s="216"/>
      <c r="B1027" s="217"/>
      <c r="F1027" s="218"/>
      <c r="G1027" s="218"/>
      <c r="H1027" s="219"/>
      <c r="I1027" s="219"/>
      <c r="J1027" s="219"/>
      <c r="O1027" s="219"/>
    </row>
    <row r="1028">
      <c r="A1028" s="216"/>
      <c r="B1028" s="217"/>
      <c r="F1028" s="218"/>
      <c r="G1028" s="218"/>
      <c r="H1028" s="219"/>
      <c r="I1028" s="219"/>
      <c r="J1028" s="219"/>
      <c r="O1028" s="219"/>
    </row>
    <row r="1029">
      <c r="A1029" s="216"/>
      <c r="B1029" s="217"/>
      <c r="F1029" s="218"/>
      <c r="G1029" s="218"/>
      <c r="H1029" s="219"/>
      <c r="I1029" s="219"/>
      <c r="J1029" s="219"/>
      <c r="O1029" s="219"/>
    </row>
    <row r="1030">
      <c r="A1030" s="216"/>
      <c r="B1030" s="217"/>
      <c r="F1030" s="218"/>
      <c r="G1030" s="218"/>
      <c r="H1030" s="219"/>
      <c r="I1030" s="219"/>
      <c r="J1030" s="219"/>
      <c r="O1030" s="219"/>
    </row>
    <row r="1031">
      <c r="A1031" s="216"/>
      <c r="B1031" s="217"/>
      <c r="F1031" s="218"/>
      <c r="G1031" s="218"/>
      <c r="H1031" s="219"/>
      <c r="I1031" s="219"/>
      <c r="J1031" s="219"/>
      <c r="O1031" s="219"/>
    </row>
    <row r="1032">
      <c r="A1032" s="216"/>
      <c r="B1032" s="217"/>
      <c r="F1032" s="218"/>
      <c r="G1032" s="218"/>
      <c r="H1032" s="219"/>
      <c r="I1032" s="219"/>
      <c r="J1032" s="219"/>
      <c r="O1032" s="219"/>
    </row>
    <row r="1033">
      <c r="A1033" s="216"/>
      <c r="B1033" s="217"/>
      <c r="F1033" s="218"/>
      <c r="G1033" s="218"/>
      <c r="H1033" s="219"/>
      <c r="I1033" s="219"/>
      <c r="J1033" s="219"/>
      <c r="O1033" s="219"/>
    </row>
    <row r="1034">
      <c r="A1034" s="216"/>
      <c r="B1034" s="217"/>
      <c r="F1034" s="218"/>
      <c r="G1034" s="218"/>
      <c r="H1034" s="219"/>
      <c r="I1034" s="219"/>
      <c r="J1034" s="219"/>
      <c r="O1034" s="219"/>
    </row>
    <row r="1035">
      <c r="A1035" s="216"/>
      <c r="B1035" s="217"/>
      <c r="F1035" s="218"/>
      <c r="G1035" s="218"/>
      <c r="H1035" s="219"/>
      <c r="I1035" s="219"/>
      <c r="J1035" s="219"/>
      <c r="O1035" s="219"/>
    </row>
    <row r="1036">
      <c r="A1036" s="216"/>
      <c r="B1036" s="217"/>
      <c r="F1036" s="218"/>
      <c r="G1036" s="218"/>
      <c r="H1036" s="219"/>
      <c r="I1036" s="219"/>
      <c r="J1036" s="219"/>
      <c r="O1036" s="219"/>
    </row>
    <row r="1037">
      <c r="A1037" s="216"/>
      <c r="B1037" s="217"/>
      <c r="F1037" s="218"/>
      <c r="G1037" s="218"/>
      <c r="H1037" s="219"/>
      <c r="I1037" s="219"/>
      <c r="J1037" s="219"/>
      <c r="O1037" s="219"/>
    </row>
    <row r="1038">
      <c r="A1038" s="216"/>
      <c r="B1038" s="217"/>
      <c r="F1038" s="218"/>
      <c r="G1038" s="218"/>
      <c r="H1038" s="219"/>
      <c r="I1038" s="219"/>
      <c r="J1038" s="219"/>
      <c r="O1038" s="219"/>
    </row>
    <row r="1039">
      <c r="A1039" s="216"/>
      <c r="B1039" s="217"/>
      <c r="F1039" s="218"/>
      <c r="G1039" s="218"/>
      <c r="H1039" s="219"/>
      <c r="I1039" s="219"/>
      <c r="J1039" s="219"/>
      <c r="O1039" s="219"/>
    </row>
    <row r="1040">
      <c r="A1040" s="216"/>
      <c r="B1040" s="217"/>
      <c r="F1040" s="218"/>
      <c r="G1040" s="218"/>
      <c r="H1040" s="219"/>
      <c r="I1040" s="219"/>
      <c r="J1040" s="219"/>
      <c r="O1040" s="219"/>
    </row>
    <row r="1041">
      <c r="A1041" s="216"/>
      <c r="B1041" s="217"/>
      <c r="F1041" s="218"/>
      <c r="G1041" s="218"/>
      <c r="H1041" s="219"/>
      <c r="I1041" s="219"/>
      <c r="J1041" s="219"/>
      <c r="O1041" s="219"/>
    </row>
    <row r="1042">
      <c r="A1042" s="216"/>
      <c r="B1042" s="217"/>
      <c r="F1042" s="218"/>
      <c r="G1042" s="218"/>
      <c r="H1042" s="219"/>
      <c r="I1042" s="219"/>
      <c r="J1042" s="219"/>
      <c r="O1042" s="219"/>
    </row>
    <row r="1043">
      <c r="A1043" s="216"/>
      <c r="B1043" s="217"/>
      <c r="F1043" s="218"/>
      <c r="G1043" s="218"/>
      <c r="H1043" s="219"/>
      <c r="I1043" s="219"/>
      <c r="J1043" s="219"/>
      <c r="O1043" s="219"/>
    </row>
    <row r="1044">
      <c r="A1044" s="216"/>
      <c r="B1044" s="217"/>
      <c r="F1044" s="218"/>
      <c r="G1044" s="218"/>
      <c r="H1044" s="219"/>
      <c r="I1044" s="219"/>
      <c r="J1044" s="219"/>
      <c r="O1044" s="219"/>
    </row>
    <row r="1045">
      <c r="A1045" s="216"/>
      <c r="B1045" s="217"/>
      <c r="F1045" s="218"/>
      <c r="G1045" s="218"/>
      <c r="H1045" s="219"/>
      <c r="I1045" s="219"/>
      <c r="J1045" s="219"/>
      <c r="O1045" s="219"/>
    </row>
    <row r="1046">
      <c r="A1046" s="216"/>
      <c r="B1046" s="217"/>
      <c r="F1046" s="218"/>
      <c r="G1046" s="218"/>
      <c r="H1046" s="219"/>
      <c r="I1046" s="219"/>
      <c r="J1046" s="219"/>
      <c r="O1046" s="219"/>
    </row>
    <row r="1047">
      <c r="A1047" s="216"/>
      <c r="B1047" s="217"/>
      <c r="F1047" s="218"/>
      <c r="G1047" s="218"/>
      <c r="H1047" s="219"/>
      <c r="I1047" s="219"/>
      <c r="J1047" s="219"/>
      <c r="O1047" s="219"/>
    </row>
    <row r="1048">
      <c r="A1048" s="216"/>
      <c r="B1048" s="217"/>
      <c r="F1048" s="218"/>
      <c r="G1048" s="218"/>
      <c r="H1048" s="219"/>
      <c r="I1048" s="219"/>
      <c r="J1048" s="219"/>
      <c r="O1048" s="219"/>
    </row>
    <row r="1049">
      <c r="A1049" s="216"/>
      <c r="B1049" s="217"/>
      <c r="F1049" s="218"/>
      <c r="G1049" s="218"/>
      <c r="H1049" s="219"/>
      <c r="I1049" s="219"/>
      <c r="J1049" s="219"/>
      <c r="O1049" s="219"/>
    </row>
    <row r="1050">
      <c r="A1050" s="216"/>
      <c r="B1050" s="217"/>
      <c r="F1050" s="218"/>
      <c r="G1050" s="218"/>
      <c r="H1050" s="219"/>
      <c r="I1050" s="219"/>
      <c r="J1050" s="219"/>
      <c r="O1050" s="219"/>
    </row>
    <row r="1051">
      <c r="A1051" s="216"/>
      <c r="B1051" s="217"/>
      <c r="F1051" s="218"/>
      <c r="G1051" s="218"/>
      <c r="H1051" s="219"/>
      <c r="I1051" s="219"/>
      <c r="J1051" s="219"/>
      <c r="O1051" s="219"/>
    </row>
    <row r="1052">
      <c r="A1052" s="216"/>
      <c r="B1052" s="217"/>
      <c r="F1052" s="218"/>
      <c r="G1052" s="218"/>
      <c r="H1052" s="219"/>
      <c r="I1052" s="219"/>
      <c r="J1052" s="219"/>
      <c r="O1052" s="219"/>
    </row>
    <row r="1053">
      <c r="A1053" s="216"/>
      <c r="B1053" s="217"/>
      <c r="F1053" s="218"/>
      <c r="G1053" s="218"/>
      <c r="H1053" s="219"/>
      <c r="I1053" s="219"/>
      <c r="J1053" s="219"/>
      <c r="O1053" s="219"/>
    </row>
    <row r="1054">
      <c r="A1054" s="216"/>
      <c r="B1054" s="217"/>
      <c r="F1054" s="218"/>
      <c r="G1054" s="218"/>
      <c r="H1054" s="219"/>
      <c r="I1054" s="219"/>
      <c r="J1054" s="219"/>
      <c r="O1054" s="219"/>
    </row>
    <row r="1055">
      <c r="A1055" s="216"/>
      <c r="B1055" s="217"/>
      <c r="F1055" s="218"/>
      <c r="G1055" s="218"/>
      <c r="H1055" s="219"/>
      <c r="I1055" s="219"/>
      <c r="J1055" s="219"/>
      <c r="O1055" s="219"/>
    </row>
    <row r="1056">
      <c r="A1056" s="216"/>
      <c r="B1056" s="217"/>
      <c r="F1056" s="218"/>
      <c r="G1056" s="218"/>
      <c r="H1056" s="219"/>
      <c r="I1056" s="219"/>
      <c r="J1056" s="219"/>
      <c r="O1056" s="219"/>
    </row>
    <row r="1057">
      <c r="A1057" s="216"/>
      <c r="B1057" s="217"/>
      <c r="F1057" s="218"/>
      <c r="G1057" s="218"/>
      <c r="H1057" s="219"/>
      <c r="I1057" s="219"/>
      <c r="J1057" s="219"/>
      <c r="O1057" s="219"/>
    </row>
    <row r="1058">
      <c r="A1058" s="216"/>
      <c r="B1058" s="217"/>
      <c r="F1058" s="218"/>
      <c r="G1058" s="218"/>
      <c r="H1058" s="219"/>
      <c r="I1058" s="219"/>
      <c r="J1058" s="219"/>
      <c r="O1058" s="219"/>
    </row>
    <row r="1059">
      <c r="A1059" s="216"/>
      <c r="B1059" s="217"/>
      <c r="F1059" s="218"/>
      <c r="G1059" s="218"/>
      <c r="H1059" s="219"/>
      <c r="I1059" s="219"/>
      <c r="J1059" s="219"/>
      <c r="O1059" s="219"/>
    </row>
    <row r="1060">
      <c r="A1060" s="216"/>
      <c r="B1060" s="217"/>
      <c r="F1060" s="218"/>
      <c r="G1060" s="218"/>
      <c r="H1060" s="219"/>
      <c r="I1060" s="219"/>
      <c r="J1060" s="219"/>
      <c r="O1060" s="219"/>
    </row>
    <row r="1061">
      <c r="A1061" s="216"/>
      <c r="B1061" s="217"/>
      <c r="F1061" s="218"/>
      <c r="G1061" s="218"/>
      <c r="H1061" s="219"/>
      <c r="I1061" s="219"/>
      <c r="J1061" s="219"/>
      <c r="O1061" s="219"/>
    </row>
    <row r="1062">
      <c r="A1062" s="216"/>
      <c r="B1062" s="217"/>
      <c r="F1062" s="218"/>
      <c r="G1062" s="218"/>
      <c r="H1062" s="219"/>
      <c r="I1062" s="219"/>
      <c r="J1062" s="219"/>
      <c r="O1062" s="219"/>
    </row>
    <row r="1063">
      <c r="A1063" s="216"/>
      <c r="B1063" s="217"/>
      <c r="F1063" s="218"/>
      <c r="G1063" s="218"/>
      <c r="H1063" s="219"/>
      <c r="I1063" s="219"/>
      <c r="J1063" s="219"/>
      <c r="O1063" s="219"/>
    </row>
    <row r="1064">
      <c r="A1064" s="216"/>
      <c r="B1064" s="217"/>
      <c r="F1064" s="218"/>
      <c r="G1064" s="218"/>
      <c r="H1064" s="219"/>
      <c r="I1064" s="219"/>
      <c r="J1064" s="219"/>
      <c r="O1064" s="219"/>
    </row>
    <row r="1065">
      <c r="A1065" s="216"/>
      <c r="B1065" s="217"/>
      <c r="F1065" s="218"/>
      <c r="G1065" s="218"/>
      <c r="H1065" s="219"/>
      <c r="I1065" s="219"/>
      <c r="J1065" s="219"/>
      <c r="O1065" s="219"/>
    </row>
    <row r="1066">
      <c r="A1066" s="216"/>
      <c r="B1066" s="217"/>
      <c r="F1066" s="218"/>
      <c r="G1066" s="218"/>
      <c r="H1066" s="219"/>
      <c r="I1066" s="219"/>
      <c r="J1066" s="219"/>
      <c r="O1066" s="219"/>
    </row>
    <row r="1067">
      <c r="A1067" s="216"/>
      <c r="B1067" s="217"/>
      <c r="F1067" s="218"/>
      <c r="G1067" s="218"/>
      <c r="H1067" s="219"/>
      <c r="I1067" s="219"/>
      <c r="J1067" s="219"/>
      <c r="O1067" s="219"/>
    </row>
    <row r="1068">
      <c r="A1068" s="216"/>
      <c r="B1068" s="217"/>
      <c r="F1068" s="218"/>
      <c r="G1068" s="218"/>
      <c r="H1068" s="219"/>
      <c r="I1068" s="219"/>
      <c r="J1068" s="219"/>
      <c r="O1068" s="219"/>
    </row>
    <row r="1069">
      <c r="A1069" s="216"/>
      <c r="B1069" s="217"/>
      <c r="F1069" s="218"/>
      <c r="G1069" s="218"/>
      <c r="H1069" s="219"/>
      <c r="I1069" s="219"/>
      <c r="J1069" s="219"/>
      <c r="O1069" s="219"/>
    </row>
    <row r="1070">
      <c r="A1070" s="216"/>
      <c r="B1070" s="217"/>
      <c r="F1070" s="218"/>
      <c r="G1070" s="218"/>
      <c r="H1070" s="219"/>
      <c r="I1070" s="219"/>
      <c r="J1070" s="219"/>
      <c r="O1070" s="219"/>
    </row>
    <row r="1071">
      <c r="A1071" s="216"/>
      <c r="B1071" s="217"/>
      <c r="F1071" s="218"/>
      <c r="G1071" s="218"/>
      <c r="H1071" s="219"/>
      <c r="I1071" s="219"/>
      <c r="J1071" s="219"/>
      <c r="O1071" s="219"/>
    </row>
    <row r="1072">
      <c r="A1072" s="216"/>
      <c r="B1072" s="217"/>
      <c r="F1072" s="218"/>
      <c r="G1072" s="218"/>
      <c r="H1072" s="219"/>
      <c r="I1072" s="219"/>
      <c r="J1072" s="219"/>
      <c r="O1072" s="219"/>
    </row>
    <row r="1073">
      <c r="A1073" s="216"/>
      <c r="B1073" s="217"/>
      <c r="F1073" s="218"/>
      <c r="G1073" s="218"/>
      <c r="H1073" s="219"/>
      <c r="I1073" s="219"/>
      <c r="J1073" s="219"/>
      <c r="O1073" s="219"/>
    </row>
    <row r="1074">
      <c r="A1074" s="216"/>
      <c r="B1074" s="217"/>
      <c r="F1074" s="218"/>
      <c r="G1074" s="218"/>
      <c r="H1074" s="219"/>
      <c r="I1074" s="219"/>
      <c r="J1074" s="219"/>
      <c r="O1074" s="219"/>
    </row>
    <row r="1075">
      <c r="A1075" s="216"/>
      <c r="B1075" s="217"/>
      <c r="F1075" s="218"/>
      <c r="G1075" s="218"/>
      <c r="H1075" s="219"/>
      <c r="I1075" s="219"/>
      <c r="J1075" s="219"/>
      <c r="O1075" s="219"/>
    </row>
    <row r="1076">
      <c r="A1076" s="216"/>
      <c r="B1076" s="217"/>
      <c r="F1076" s="218"/>
      <c r="G1076" s="218"/>
      <c r="H1076" s="219"/>
      <c r="I1076" s="219"/>
      <c r="J1076" s="219"/>
      <c r="O1076" s="219"/>
    </row>
    <row r="1077">
      <c r="A1077" s="216"/>
      <c r="B1077" s="217"/>
      <c r="F1077" s="218"/>
      <c r="G1077" s="218"/>
      <c r="H1077" s="219"/>
      <c r="I1077" s="219"/>
      <c r="J1077" s="219"/>
      <c r="O1077" s="219"/>
    </row>
    <row r="1078">
      <c r="A1078" s="216"/>
      <c r="B1078" s="217"/>
      <c r="F1078" s="218"/>
      <c r="G1078" s="218"/>
      <c r="H1078" s="219"/>
      <c r="I1078" s="219"/>
      <c r="J1078" s="219"/>
      <c r="O1078" s="219"/>
    </row>
    <row r="1079">
      <c r="A1079" s="216"/>
      <c r="B1079" s="217"/>
      <c r="F1079" s="218"/>
      <c r="G1079" s="218"/>
      <c r="H1079" s="219"/>
      <c r="I1079" s="219"/>
      <c r="J1079" s="219"/>
      <c r="O1079" s="219"/>
    </row>
    <row r="1080">
      <c r="A1080" s="216"/>
      <c r="B1080" s="217"/>
      <c r="F1080" s="218"/>
      <c r="G1080" s="218"/>
      <c r="H1080" s="219"/>
      <c r="I1080" s="219"/>
      <c r="J1080" s="219"/>
      <c r="O1080" s="219"/>
    </row>
    <row r="1081">
      <c r="A1081" s="216"/>
      <c r="B1081" s="217"/>
      <c r="F1081" s="218"/>
      <c r="G1081" s="218"/>
      <c r="H1081" s="219"/>
      <c r="I1081" s="219"/>
      <c r="J1081" s="219"/>
      <c r="O1081" s="219"/>
    </row>
    <row r="1082">
      <c r="A1082" s="216"/>
      <c r="B1082" s="217"/>
      <c r="F1082" s="218"/>
      <c r="G1082" s="218"/>
      <c r="H1082" s="219"/>
      <c r="I1082" s="219"/>
      <c r="J1082" s="219"/>
      <c r="O1082" s="219"/>
    </row>
    <row r="1083">
      <c r="A1083" s="216"/>
      <c r="B1083" s="217"/>
      <c r="F1083" s="218"/>
      <c r="G1083" s="218"/>
      <c r="H1083" s="219"/>
      <c r="I1083" s="219"/>
      <c r="J1083" s="219"/>
      <c r="O1083" s="219"/>
    </row>
    <row r="1084">
      <c r="A1084" s="216"/>
      <c r="B1084" s="217"/>
      <c r="F1084" s="218"/>
      <c r="G1084" s="218"/>
      <c r="H1084" s="219"/>
      <c r="I1084" s="219"/>
      <c r="J1084" s="219"/>
      <c r="O1084" s="219"/>
    </row>
    <row r="1085">
      <c r="A1085" s="216"/>
      <c r="B1085" s="217"/>
      <c r="F1085" s="218"/>
      <c r="G1085" s="218"/>
      <c r="H1085" s="219"/>
      <c r="I1085" s="219"/>
      <c r="J1085" s="219"/>
      <c r="O1085" s="219"/>
    </row>
    <row r="1086">
      <c r="A1086" s="216"/>
      <c r="B1086" s="217"/>
      <c r="F1086" s="218"/>
      <c r="G1086" s="218"/>
      <c r="H1086" s="219"/>
      <c r="I1086" s="219"/>
      <c r="J1086" s="219"/>
      <c r="O1086" s="219"/>
    </row>
    <row r="1087">
      <c r="A1087" s="216"/>
      <c r="B1087" s="217"/>
      <c r="F1087" s="218"/>
      <c r="G1087" s="218"/>
      <c r="H1087" s="219"/>
      <c r="I1087" s="219"/>
      <c r="J1087" s="219"/>
      <c r="O1087" s="219"/>
    </row>
    <row r="1088">
      <c r="A1088" s="216"/>
      <c r="B1088" s="217"/>
      <c r="F1088" s="218"/>
      <c r="G1088" s="218"/>
      <c r="H1088" s="219"/>
      <c r="I1088" s="219"/>
      <c r="J1088" s="219"/>
      <c r="O1088" s="219"/>
    </row>
    <row r="1089">
      <c r="A1089" s="216"/>
      <c r="B1089" s="217"/>
      <c r="F1089" s="218"/>
      <c r="G1089" s="218"/>
      <c r="H1089" s="219"/>
      <c r="I1089" s="219"/>
      <c r="J1089" s="219"/>
      <c r="O1089" s="219"/>
    </row>
    <row r="1090">
      <c r="A1090" s="216"/>
      <c r="B1090" s="217"/>
      <c r="F1090" s="218"/>
      <c r="G1090" s="218"/>
      <c r="H1090" s="219"/>
      <c r="I1090" s="219"/>
      <c r="J1090" s="219"/>
      <c r="O1090" s="219"/>
    </row>
    <row r="1091">
      <c r="A1091" s="216"/>
      <c r="B1091" s="217"/>
      <c r="F1091" s="218"/>
      <c r="G1091" s="218"/>
      <c r="H1091" s="219"/>
      <c r="I1091" s="219"/>
      <c r="J1091" s="219"/>
      <c r="O1091" s="219"/>
    </row>
    <row r="1092">
      <c r="A1092" s="216"/>
      <c r="B1092" s="217"/>
      <c r="F1092" s="218"/>
      <c r="G1092" s="218"/>
      <c r="H1092" s="219"/>
      <c r="I1092" s="219"/>
      <c r="J1092" s="219"/>
      <c r="O1092" s="219"/>
    </row>
    <row r="1093">
      <c r="A1093" s="216"/>
      <c r="B1093" s="217"/>
      <c r="F1093" s="218"/>
      <c r="G1093" s="218"/>
      <c r="H1093" s="219"/>
      <c r="I1093" s="219"/>
      <c r="J1093" s="219"/>
      <c r="O1093" s="219"/>
    </row>
    <row r="1094">
      <c r="A1094" s="216"/>
      <c r="B1094" s="217"/>
      <c r="F1094" s="218"/>
      <c r="G1094" s="218"/>
      <c r="H1094" s="219"/>
      <c r="I1094" s="219"/>
      <c r="J1094" s="219"/>
      <c r="O1094" s="219"/>
    </row>
    <row r="1095">
      <c r="A1095" s="216"/>
      <c r="B1095" s="217"/>
      <c r="F1095" s="218"/>
      <c r="G1095" s="218"/>
      <c r="H1095" s="219"/>
      <c r="I1095" s="219"/>
      <c r="J1095" s="219"/>
      <c r="O1095" s="219"/>
    </row>
    <row r="1096">
      <c r="A1096" s="216"/>
      <c r="B1096" s="217"/>
      <c r="F1096" s="218"/>
      <c r="G1096" s="218"/>
      <c r="H1096" s="219"/>
      <c r="I1096" s="219"/>
      <c r="J1096" s="219"/>
      <c r="O1096" s="219"/>
    </row>
    <row r="1097">
      <c r="A1097" s="216"/>
      <c r="B1097" s="217"/>
      <c r="F1097" s="218"/>
      <c r="G1097" s="218"/>
      <c r="H1097" s="219"/>
      <c r="I1097" s="219"/>
      <c r="J1097" s="219"/>
      <c r="O1097" s="219"/>
    </row>
    <row r="1098">
      <c r="A1098" s="216"/>
      <c r="B1098" s="217"/>
      <c r="F1098" s="218"/>
      <c r="G1098" s="218"/>
      <c r="H1098" s="219"/>
      <c r="I1098" s="219"/>
      <c r="J1098" s="219"/>
      <c r="O1098" s="219"/>
    </row>
    <row r="1099">
      <c r="A1099" s="216"/>
      <c r="B1099" s="217"/>
      <c r="F1099" s="218"/>
      <c r="G1099" s="218"/>
      <c r="H1099" s="219"/>
      <c r="I1099" s="219"/>
      <c r="J1099" s="219"/>
      <c r="O1099" s="219"/>
    </row>
    <row r="1100">
      <c r="A1100" s="216"/>
      <c r="B1100" s="217"/>
      <c r="F1100" s="218"/>
      <c r="G1100" s="218"/>
      <c r="H1100" s="219"/>
      <c r="I1100" s="219"/>
      <c r="J1100" s="219"/>
      <c r="O1100" s="219"/>
    </row>
    <row r="1101">
      <c r="A1101" s="216"/>
      <c r="B1101" s="217"/>
      <c r="F1101" s="218"/>
      <c r="G1101" s="218"/>
      <c r="H1101" s="219"/>
      <c r="I1101" s="219"/>
      <c r="J1101" s="219"/>
      <c r="O1101" s="219"/>
    </row>
    <row r="1102">
      <c r="A1102" s="216"/>
      <c r="B1102" s="217"/>
      <c r="F1102" s="218"/>
      <c r="G1102" s="218"/>
      <c r="H1102" s="219"/>
      <c r="I1102" s="219"/>
      <c r="J1102" s="219"/>
      <c r="O1102" s="219"/>
    </row>
    <row r="1103">
      <c r="A1103" s="216"/>
      <c r="B1103" s="217"/>
      <c r="F1103" s="218"/>
      <c r="G1103" s="218"/>
      <c r="H1103" s="219"/>
      <c r="I1103" s="219"/>
      <c r="J1103" s="219"/>
      <c r="O1103" s="219"/>
    </row>
    <row r="1104">
      <c r="A1104" s="216"/>
      <c r="B1104" s="217"/>
      <c r="F1104" s="218"/>
      <c r="G1104" s="218"/>
      <c r="H1104" s="219"/>
      <c r="I1104" s="219"/>
      <c r="J1104" s="219"/>
      <c r="O1104" s="219"/>
    </row>
    <row r="1105">
      <c r="A1105" s="216"/>
      <c r="B1105" s="217"/>
      <c r="F1105" s="218"/>
      <c r="G1105" s="218"/>
      <c r="H1105" s="219"/>
      <c r="I1105" s="219"/>
      <c r="J1105" s="219"/>
      <c r="O1105" s="219"/>
    </row>
    <row r="1106">
      <c r="A1106" s="216"/>
      <c r="B1106" s="217"/>
      <c r="F1106" s="218"/>
      <c r="G1106" s="218"/>
      <c r="H1106" s="219"/>
      <c r="I1106" s="219"/>
      <c r="J1106" s="219"/>
      <c r="O1106" s="219"/>
    </row>
    <row r="1107">
      <c r="A1107" s="216"/>
      <c r="B1107" s="217"/>
      <c r="F1107" s="218"/>
      <c r="G1107" s="218"/>
      <c r="H1107" s="219"/>
      <c r="I1107" s="219"/>
      <c r="J1107" s="219"/>
      <c r="O1107" s="219"/>
    </row>
    <row r="1108">
      <c r="A1108" s="216"/>
      <c r="B1108" s="217"/>
      <c r="F1108" s="218"/>
      <c r="G1108" s="218"/>
      <c r="H1108" s="219"/>
      <c r="I1108" s="219"/>
      <c r="J1108" s="219"/>
      <c r="O1108" s="219"/>
    </row>
    <row r="1109">
      <c r="A1109" s="216"/>
      <c r="B1109" s="217"/>
      <c r="F1109" s="218"/>
      <c r="G1109" s="218"/>
      <c r="H1109" s="219"/>
      <c r="I1109" s="219"/>
      <c r="J1109" s="219"/>
      <c r="O1109" s="219"/>
    </row>
    <row r="1110">
      <c r="A1110" s="216"/>
      <c r="B1110" s="217"/>
      <c r="F1110" s="218"/>
      <c r="G1110" s="218"/>
      <c r="H1110" s="219"/>
      <c r="I1110" s="219"/>
      <c r="J1110" s="219"/>
      <c r="O1110" s="219"/>
    </row>
    <row r="1111">
      <c r="A1111" s="216"/>
      <c r="B1111" s="217"/>
      <c r="F1111" s="218"/>
      <c r="G1111" s="218"/>
      <c r="H1111" s="219"/>
      <c r="I1111" s="219"/>
      <c r="J1111" s="219"/>
      <c r="O1111" s="219"/>
    </row>
    <row r="1112">
      <c r="A1112" s="216"/>
      <c r="B1112" s="217"/>
      <c r="F1112" s="218"/>
      <c r="G1112" s="218"/>
      <c r="H1112" s="219"/>
      <c r="I1112" s="219"/>
      <c r="J1112" s="219"/>
      <c r="O1112" s="219"/>
    </row>
    <row r="1113">
      <c r="A1113" s="216"/>
      <c r="B1113" s="217"/>
      <c r="F1113" s="218"/>
      <c r="G1113" s="218"/>
      <c r="H1113" s="219"/>
      <c r="I1113" s="219"/>
      <c r="J1113" s="219"/>
      <c r="O1113" s="219"/>
    </row>
    <row r="1114">
      <c r="A1114" s="216"/>
      <c r="B1114" s="217"/>
      <c r="F1114" s="218"/>
      <c r="G1114" s="218"/>
      <c r="H1114" s="219"/>
      <c r="I1114" s="219"/>
      <c r="J1114" s="219"/>
      <c r="O1114" s="219"/>
    </row>
    <row r="1115">
      <c r="A1115" s="216"/>
      <c r="B1115" s="217"/>
      <c r="F1115" s="218"/>
      <c r="G1115" s="218"/>
      <c r="H1115" s="219"/>
      <c r="I1115" s="219"/>
      <c r="J1115" s="219"/>
      <c r="O1115" s="219"/>
    </row>
    <row r="1116">
      <c r="A1116" s="216"/>
      <c r="B1116" s="217"/>
      <c r="F1116" s="218"/>
      <c r="G1116" s="218"/>
      <c r="H1116" s="219"/>
      <c r="I1116" s="219"/>
      <c r="J1116" s="219"/>
      <c r="O1116" s="219"/>
    </row>
    <row r="1117">
      <c r="A1117" s="216"/>
      <c r="B1117" s="217"/>
      <c r="F1117" s="218"/>
      <c r="G1117" s="218"/>
      <c r="H1117" s="219"/>
      <c r="I1117" s="219"/>
      <c r="J1117" s="219"/>
      <c r="O1117" s="219"/>
    </row>
    <row r="1118">
      <c r="A1118" s="216"/>
      <c r="B1118" s="217"/>
      <c r="F1118" s="218"/>
      <c r="G1118" s="218"/>
      <c r="H1118" s="219"/>
      <c r="I1118" s="219"/>
      <c r="J1118" s="219"/>
      <c r="O1118" s="219"/>
    </row>
    <row r="1119">
      <c r="A1119" s="216"/>
      <c r="B1119" s="217"/>
      <c r="F1119" s="218"/>
      <c r="G1119" s="218"/>
      <c r="H1119" s="219"/>
      <c r="I1119" s="219"/>
      <c r="J1119" s="219"/>
      <c r="O1119" s="219"/>
    </row>
    <row r="1120">
      <c r="A1120" s="216"/>
      <c r="B1120" s="217"/>
      <c r="F1120" s="218"/>
      <c r="G1120" s="218"/>
      <c r="H1120" s="219"/>
      <c r="I1120" s="219"/>
      <c r="J1120" s="219"/>
      <c r="O1120" s="219"/>
    </row>
    <row r="1121">
      <c r="A1121" s="216"/>
      <c r="B1121" s="217"/>
      <c r="F1121" s="218"/>
      <c r="G1121" s="218"/>
      <c r="H1121" s="219"/>
      <c r="I1121" s="219"/>
      <c r="J1121" s="219"/>
      <c r="O1121" s="219"/>
    </row>
    <row r="1122">
      <c r="A1122" s="216"/>
      <c r="B1122" s="217"/>
      <c r="F1122" s="218"/>
      <c r="G1122" s="218"/>
      <c r="H1122" s="219"/>
      <c r="I1122" s="219"/>
      <c r="J1122" s="219"/>
      <c r="O1122" s="219"/>
    </row>
    <row r="1123">
      <c r="A1123" s="216"/>
      <c r="B1123" s="217"/>
      <c r="F1123" s="218"/>
      <c r="G1123" s="218"/>
      <c r="H1123" s="219"/>
      <c r="I1123" s="219"/>
      <c r="J1123" s="219"/>
      <c r="O1123" s="219"/>
    </row>
    <row r="1124">
      <c r="A1124" s="216"/>
      <c r="B1124" s="217"/>
      <c r="F1124" s="218"/>
      <c r="G1124" s="218"/>
      <c r="H1124" s="219"/>
      <c r="I1124" s="219"/>
      <c r="J1124" s="219"/>
      <c r="O1124" s="219"/>
    </row>
    <row r="1125">
      <c r="A1125" s="216"/>
      <c r="B1125" s="217"/>
      <c r="F1125" s="218"/>
      <c r="G1125" s="218"/>
      <c r="H1125" s="219"/>
      <c r="I1125" s="219"/>
      <c r="J1125" s="219"/>
      <c r="O1125" s="219"/>
    </row>
    <row r="1126">
      <c r="A1126" s="216"/>
      <c r="B1126" s="217"/>
      <c r="F1126" s="218"/>
      <c r="G1126" s="218"/>
      <c r="H1126" s="219"/>
      <c r="I1126" s="219"/>
      <c r="J1126" s="219"/>
      <c r="O1126" s="219"/>
    </row>
    <row r="1127">
      <c r="A1127" s="216"/>
      <c r="B1127" s="217"/>
      <c r="F1127" s="218"/>
      <c r="G1127" s="218"/>
      <c r="H1127" s="219"/>
      <c r="I1127" s="219"/>
      <c r="J1127" s="219"/>
      <c r="O1127" s="219"/>
    </row>
    <row r="1128">
      <c r="A1128" s="216"/>
      <c r="B1128" s="217"/>
      <c r="F1128" s="218"/>
      <c r="G1128" s="218"/>
      <c r="H1128" s="219"/>
      <c r="I1128" s="219"/>
      <c r="J1128" s="219"/>
      <c r="O1128" s="219"/>
    </row>
    <row r="1129">
      <c r="A1129" s="216"/>
      <c r="B1129" s="217"/>
      <c r="F1129" s="218"/>
      <c r="G1129" s="218"/>
      <c r="H1129" s="219"/>
      <c r="I1129" s="219"/>
      <c r="J1129" s="219"/>
      <c r="O1129" s="219"/>
    </row>
    <row r="1130">
      <c r="A1130" s="216"/>
      <c r="B1130" s="217"/>
      <c r="F1130" s="218"/>
      <c r="G1130" s="218"/>
      <c r="H1130" s="219"/>
      <c r="I1130" s="219"/>
      <c r="J1130" s="219"/>
      <c r="O1130" s="219"/>
    </row>
    <row r="1131">
      <c r="A1131" s="216"/>
      <c r="B1131" s="217"/>
      <c r="F1131" s="218"/>
      <c r="G1131" s="218"/>
      <c r="H1131" s="219"/>
      <c r="I1131" s="219"/>
      <c r="J1131" s="219"/>
      <c r="O1131" s="219"/>
    </row>
    <row r="1132">
      <c r="A1132" s="216"/>
      <c r="B1132" s="217"/>
      <c r="F1132" s="218"/>
      <c r="G1132" s="218"/>
      <c r="H1132" s="219"/>
      <c r="I1132" s="219"/>
      <c r="J1132" s="219"/>
      <c r="O1132" s="219"/>
    </row>
    <row r="1133">
      <c r="A1133" s="216"/>
      <c r="B1133" s="217"/>
      <c r="F1133" s="218"/>
      <c r="G1133" s="218"/>
      <c r="H1133" s="219"/>
      <c r="I1133" s="219"/>
      <c r="J1133" s="219"/>
      <c r="O1133" s="219"/>
    </row>
    <row r="1134">
      <c r="A1134" s="216"/>
      <c r="B1134" s="217"/>
      <c r="F1134" s="218"/>
      <c r="G1134" s="218"/>
      <c r="H1134" s="219"/>
      <c r="I1134" s="219"/>
      <c r="J1134" s="219"/>
      <c r="O1134" s="219"/>
    </row>
    <row r="1135">
      <c r="A1135" s="216"/>
      <c r="B1135" s="217"/>
      <c r="F1135" s="218"/>
      <c r="G1135" s="218"/>
      <c r="H1135" s="219"/>
      <c r="I1135" s="219"/>
      <c r="J1135" s="219"/>
      <c r="O1135" s="219"/>
    </row>
    <row r="1136">
      <c r="A1136" s="216"/>
      <c r="B1136" s="217"/>
      <c r="F1136" s="218"/>
      <c r="G1136" s="218"/>
      <c r="H1136" s="219"/>
      <c r="I1136" s="219"/>
      <c r="J1136" s="219"/>
      <c r="O1136" s="219"/>
    </row>
    <row r="1137">
      <c r="A1137" s="216"/>
      <c r="B1137" s="217"/>
      <c r="F1137" s="218"/>
      <c r="G1137" s="218"/>
      <c r="H1137" s="219"/>
      <c r="I1137" s="219"/>
      <c r="J1137" s="219"/>
      <c r="O1137" s="219"/>
    </row>
    <row r="1138">
      <c r="A1138" s="216"/>
      <c r="B1138" s="217"/>
      <c r="F1138" s="218"/>
      <c r="G1138" s="218"/>
      <c r="H1138" s="219"/>
      <c r="I1138" s="219"/>
      <c r="J1138" s="219"/>
      <c r="O1138" s="219"/>
    </row>
    <row r="1139">
      <c r="A1139" s="216"/>
      <c r="B1139" s="217"/>
      <c r="F1139" s="218"/>
      <c r="G1139" s="218"/>
      <c r="H1139" s="219"/>
      <c r="I1139" s="219"/>
      <c r="J1139" s="219"/>
      <c r="O1139" s="219"/>
    </row>
    <row r="1140">
      <c r="A1140" s="216"/>
      <c r="B1140" s="217"/>
      <c r="F1140" s="218"/>
      <c r="G1140" s="218"/>
      <c r="H1140" s="219"/>
      <c r="I1140" s="219"/>
      <c r="J1140" s="219"/>
      <c r="O1140" s="219"/>
    </row>
    <row r="1141">
      <c r="A1141" s="216"/>
      <c r="B1141" s="217"/>
      <c r="F1141" s="218"/>
      <c r="G1141" s="218"/>
      <c r="H1141" s="219"/>
      <c r="I1141" s="219"/>
      <c r="J1141" s="219"/>
      <c r="O1141" s="219"/>
    </row>
    <row r="1142">
      <c r="A1142" s="216"/>
      <c r="B1142" s="217"/>
      <c r="F1142" s="218"/>
      <c r="G1142" s="218"/>
      <c r="H1142" s="219"/>
      <c r="I1142" s="219"/>
      <c r="J1142" s="219"/>
      <c r="O1142" s="219"/>
    </row>
    <row r="1143">
      <c r="A1143" s="216"/>
      <c r="B1143" s="217"/>
      <c r="F1143" s="218"/>
      <c r="G1143" s="218"/>
      <c r="H1143" s="219"/>
      <c r="I1143" s="219"/>
      <c r="J1143" s="219"/>
      <c r="O1143" s="219"/>
    </row>
    <row r="1144">
      <c r="A1144" s="216"/>
      <c r="B1144" s="217"/>
      <c r="F1144" s="218"/>
      <c r="G1144" s="218"/>
      <c r="H1144" s="219"/>
      <c r="I1144" s="219"/>
      <c r="J1144" s="219"/>
      <c r="O1144" s="219"/>
    </row>
    <row r="1145">
      <c r="A1145" s="216"/>
      <c r="B1145" s="217"/>
      <c r="F1145" s="218"/>
      <c r="G1145" s="218"/>
      <c r="H1145" s="219"/>
      <c r="I1145" s="219"/>
      <c r="J1145" s="219"/>
      <c r="O1145" s="219"/>
    </row>
    <row r="1146">
      <c r="A1146" s="216"/>
      <c r="B1146" s="217"/>
      <c r="F1146" s="218"/>
      <c r="G1146" s="218"/>
      <c r="H1146" s="219"/>
      <c r="I1146" s="219"/>
      <c r="J1146" s="219"/>
      <c r="O1146" s="219"/>
    </row>
    <row r="1147">
      <c r="A1147" s="216"/>
      <c r="B1147" s="217"/>
      <c r="F1147" s="218"/>
      <c r="G1147" s="218"/>
      <c r="H1147" s="219"/>
      <c r="I1147" s="219"/>
      <c r="J1147" s="219"/>
      <c r="O1147" s="219"/>
    </row>
    <row r="1148">
      <c r="A1148" s="216"/>
      <c r="B1148" s="217"/>
      <c r="F1148" s="218"/>
      <c r="G1148" s="218"/>
      <c r="H1148" s="219"/>
      <c r="I1148" s="219"/>
      <c r="J1148" s="219"/>
      <c r="O1148" s="219"/>
    </row>
    <row r="1149">
      <c r="A1149" s="216"/>
      <c r="B1149" s="217"/>
      <c r="F1149" s="218"/>
      <c r="G1149" s="218"/>
      <c r="H1149" s="219"/>
      <c r="I1149" s="219"/>
      <c r="J1149" s="219"/>
      <c r="O1149" s="219"/>
    </row>
    <row r="1150">
      <c r="A1150" s="216"/>
      <c r="B1150" s="217"/>
      <c r="F1150" s="218"/>
      <c r="G1150" s="218"/>
      <c r="H1150" s="219"/>
      <c r="I1150" s="219"/>
      <c r="J1150" s="219"/>
      <c r="O1150" s="219"/>
    </row>
    <row r="1151">
      <c r="A1151" s="216"/>
      <c r="B1151" s="217"/>
      <c r="F1151" s="218"/>
      <c r="G1151" s="218"/>
      <c r="H1151" s="219"/>
      <c r="I1151" s="219"/>
      <c r="J1151" s="219"/>
      <c r="O1151" s="219"/>
    </row>
    <row r="1152">
      <c r="A1152" s="216"/>
      <c r="B1152" s="217"/>
      <c r="F1152" s="218"/>
      <c r="G1152" s="218"/>
      <c r="H1152" s="219"/>
      <c r="I1152" s="219"/>
      <c r="J1152" s="219"/>
      <c r="O1152" s="219"/>
    </row>
    <row r="1153">
      <c r="A1153" s="216"/>
      <c r="B1153" s="217"/>
      <c r="F1153" s="218"/>
      <c r="G1153" s="218"/>
      <c r="H1153" s="219"/>
      <c r="I1153" s="219"/>
      <c r="J1153" s="219"/>
      <c r="O1153" s="219"/>
    </row>
    <row r="1154">
      <c r="A1154" s="216"/>
      <c r="B1154" s="217"/>
      <c r="F1154" s="218"/>
      <c r="G1154" s="218"/>
      <c r="H1154" s="219"/>
      <c r="I1154" s="219"/>
      <c r="J1154" s="219"/>
      <c r="O1154" s="219"/>
    </row>
    <row r="1155">
      <c r="A1155" s="216"/>
      <c r="B1155" s="217"/>
      <c r="F1155" s="218"/>
      <c r="G1155" s="218"/>
      <c r="H1155" s="219"/>
      <c r="I1155" s="219"/>
      <c r="J1155" s="219"/>
      <c r="O1155" s="219"/>
    </row>
    <row r="1156">
      <c r="A1156" s="216"/>
      <c r="B1156" s="217"/>
      <c r="F1156" s="218"/>
      <c r="G1156" s="218"/>
      <c r="H1156" s="219"/>
      <c r="I1156" s="219"/>
      <c r="J1156" s="219"/>
      <c r="O1156" s="219"/>
    </row>
    <row r="1157">
      <c r="A1157" s="216"/>
      <c r="B1157" s="217"/>
      <c r="F1157" s="218"/>
      <c r="G1157" s="218"/>
      <c r="H1157" s="219"/>
      <c r="I1157" s="219"/>
      <c r="J1157" s="219"/>
      <c r="O1157" s="219"/>
    </row>
    <row r="1158">
      <c r="A1158" s="216"/>
      <c r="B1158" s="217"/>
      <c r="F1158" s="218"/>
      <c r="G1158" s="218"/>
      <c r="H1158" s="219"/>
      <c r="I1158" s="219"/>
      <c r="J1158" s="219"/>
      <c r="O1158" s="219"/>
    </row>
    <row r="1159">
      <c r="A1159" s="216"/>
      <c r="B1159" s="217"/>
      <c r="F1159" s="218"/>
      <c r="G1159" s="218"/>
      <c r="H1159" s="219"/>
      <c r="I1159" s="219"/>
      <c r="J1159" s="219"/>
      <c r="O1159" s="219"/>
    </row>
    <row r="1160">
      <c r="A1160" s="216"/>
      <c r="B1160" s="217"/>
      <c r="F1160" s="218"/>
      <c r="G1160" s="218"/>
      <c r="H1160" s="219"/>
      <c r="I1160" s="219"/>
      <c r="J1160" s="219"/>
      <c r="O1160" s="219"/>
    </row>
    <row r="1161">
      <c r="A1161" s="216"/>
      <c r="B1161" s="217"/>
      <c r="F1161" s="218"/>
      <c r="G1161" s="218"/>
      <c r="H1161" s="219"/>
      <c r="I1161" s="219"/>
      <c r="J1161" s="219"/>
      <c r="O1161" s="219"/>
    </row>
    <row r="1162">
      <c r="A1162" s="216"/>
      <c r="B1162" s="217"/>
      <c r="F1162" s="218"/>
      <c r="G1162" s="218"/>
      <c r="H1162" s="219"/>
      <c r="I1162" s="219"/>
      <c r="J1162" s="219"/>
      <c r="O1162" s="219"/>
    </row>
    <row r="1163">
      <c r="A1163" s="216"/>
      <c r="B1163" s="217"/>
      <c r="F1163" s="218"/>
      <c r="G1163" s="218"/>
      <c r="H1163" s="219"/>
      <c r="I1163" s="219"/>
      <c r="J1163" s="219"/>
      <c r="O1163" s="219"/>
    </row>
    <row r="1164">
      <c r="A1164" s="216"/>
      <c r="B1164" s="217"/>
      <c r="F1164" s="218"/>
      <c r="G1164" s="218"/>
      <c r="H1164" s="219"/>
      <c r="I1164" s="219"/>
      <c r="J1164" s="219"/>
      <c r="O1164" s="219"/>
    </row>
    <row r="1165">
      <c r="A1165" s="216"/>
      <c r="B1165" s="217"/>
      <c r="F1165" s="218"/>
      <c r="G1165" s="218"/>
      <c r="H1165" s="219"/>
      <c r="I1165" s="219"/>
      <c r="J1165" s="219"/>
      <c r="O1165" s="219"/>
    </row>
    <row r="1166">
      <c r="A1166" s="216"/>
      <c r="B1166" s="217"/>
      <c r="F1166" s="218"/>
      <c r="G1166" s="218"/>
      <c r="H1166" s="219"/>
      <c r="I1166" s="219"/>
      <c r="J1166" s="219"/>
      <c r="O1166" s="219"/>
    </row>
    <row r="1167">
      <c r="A1167" s="216"/>
      <c r="B1167" s="217"/>
      <c r="F1167" s="218"/>
      <c r="G1167" s="218"/>
      <c r="H1167" s="219"/>
      <c r="I1167" s="219"/>
      <c r="J1167" s="219"/>
      <c r="O1167" s="219"/>
    </row>
    <row r="1168">
      <c r="A1168" s="216"/>
      <c r="B1168" s="217"/>
      <c r="F1168" s="218"/>
      <c r="G1168" s="218"/>
      <c r="H1168" s="219"/>
      <c r="I1168" s="219"/>
      <c r="J1168" s="219"/>
      <c r="O1168" s="219"/>
    </row>
    <row r="1169">
      <c r="A1169" s="216"/>
      <c r="B1169" s="217"/>
      <c r="F1169" s="218"/>
      <c r="G1169" s="218"/>
      <c r="H1169" s="219"/>
      <c r="I1169" s="219"/>
      <c r="J1169" s="219"/>
      <c r="O1169" s="219"/>
    </row>
    <row r="1170">
      <c r="A1170" s="216"/>
      <c r="B1170" s="217"/>
      <c r="F1170" s="218"/>
      <c r="G1170" s="218"/>
      <c r="H1170" s="219"/>
      <c r="I1170" s="219"/>
      <c r="J1170" s="219"/>
      <c r="O1170" s="219"/>
    </row>
    <row r="1171">
      <c r="A1171" s="216"/>
      <c r="B1171" s="217"/>
      <c r="F1171" s="218"/>
      <c r="G1171" s="218"/>
      <c r="H1171" s="219"/>
      <c r="I1171" s="219"/>
      <c r="J1171" s="219"/>
      <c r="O1171" s="219"/>
    </row>
    <row r="1172">
      <c r="A1172" s="216"/>
      <c r="B1172" s="217"/>
      <c r="F1172" s="218"/>
      <c r="G1172" s="218"/>
      <c r="H1172" s="219"/>
      <c r="I1172" s="219"/>
      <c r="J1172" s="219"/>
      <c r="O1172" s="219"/>
    </row>
    <row r="1173">
      <c r="A1173" s="216"/>
      <c r="B1173" s="217"/>
      <c r="F1173" s="218"/>
      <c r="G1173" s="218"/>
      <c r="H1173" s="219"/>
      <c r="I1173" s="219"/>
      <c r="J1173" s="219"/>
      <c r="O1173" s="219"/>
    </row>
    <row r="1174">
      <c r="A1174" s="216"/>
      <c r="B1174" s="217"/>
      <c r="F1174" s="218"/>
      <c r="G1174" s="218"/>
      <c r="H1174" s="219"/>
      <c r="I1174" s="219"/>
      <c r="J1174" s="219"/>
      <c r="O1174" s="219"/>
    </row>
    <row r="1175">
      <c r="A1175" s="216"/>
      <c r="B1175" s="217"/>
      <c r="F1175" s="218"/>
      <c r="G1175" s="218"/>
      <c r="H1175" s="219"/>
      <c r="I1175" s="219"/>
      <c r="J1175" s="219"/>
      <c r="O1175" s="219"/>
    </row>
    <row r="1176">
      <c r="A1176" s="216"/>
      <c r="B1176" s="217"/>
      <c r="F1176" s="218"/>
      <c r="G1176" s="218"/>
      <c r="H1176" s="219"/>
      <c r="I1176" s="219"/>
      <c r="J1176" s="219"/>
      <c r="O1176" s="219"/>
    </row>
    <row r="1177">
      <c r="A1177" s="216"/>
      <c r="B1177" s="217"/>
      <c r="F1177" s="218"/>
      <c r="G1177" s="218"/>
      <c r="H1177" s="219"/>
      <c r="I1177" s="219"/>
      <c r="J1177" s="219"/>
      <c r="O1177" s="219"/>
    </row>
    <row r="1178">
      <c r="A1178" s="216"/>
      <c r="B1178" s="217"/>
      <c r="F1178" s="218"/>
      <c r="G1178" s="218"/>
      <c r="H1178" s="219"/>
      <c r="I1178" s="219"/>
      <c r="J1178" s="219"/>
      <c r="O1178" s="219"/>
    </row>
    <row r="1179">
      <c r="A1179" s="216"/>
      <c r="B1179" s="217"/>
      <c r="F1179" s="218"/>
      <c r="G1179" s="218"/>
      <c r="H1179" s="219"/>
      <c r="I1179" s="219"/>
      <c r="J1179" s="219"/>
      <c r="O1179" s="219"/>
    </row>
    <row r="1180">
      <c r="A1180" s="216"/>
      <c r="B1180" s="217"/>
      <c r="F1180" s="218"/>
      <c r="G1180" s="218"/>
      <c r="H1180" s="219"/>
      <c r="I1180" s="219"/>
      <c r="J1180" s="219"/>
      <c r="O1180" s="219"/>
    </row>
    <row r="1181">
      <c r="A1181" s="216"/>
      <c r="B1181" s="217"/>
      <c r="F1181" s="218"/>
      <c r="G1181" s="218"/>
      <c r="H1181" s="219"/>
      <c r="I1181" s="219"/>
      <c r="J1181" s="219"/>
      <c r="O1181" s="219"/>
    </row>
    <row r="1182">
      <c r="A1182" s="216"/>
      <c r="B1182" s="217"/>
      <c r="F1182" s="218"/>
      <c r="G1182" s="218"/>
      <c r="H1182" s="219"/>
      <c r="I1182" s="219"/>
      <c r="J1182" s="219"/>
      <c r="O1182" s="219"/>
    </row>
    <row r="1183">
      <c r="A1183" s="216"/>
      <c r="B1183" s="217"/>
      <c r="F1183" s="218"/>
      <c r="G1183" s="218"/>
      <c r="H1183" s="219"/>
      <c r="I1183" s="219"/>
      <c r="J1183" s="219"/>
      <c r="O1183" s="219"/>
    </row>
    <row r="1184">
      <c r="A1184" s="216"/>
      <c r="B1184" s="217"/>
      <c r="F1184" s="218"/>
      <c r="G1184" s="218"/>
      <c r="H1184" s="219"/>
      <c r="I1184" s="219"/>
      <c r="J1184" s="219"/>
      <c r="O1184" s="219"/>
    </row>
    <row r="1185">
      <c r="A1185" s="216"/>
      <c r="B1185" s="217"/>
      <c r="F1185" s="218"/>
      <c r="G1185" s="218"/>
      <c r="H1185" s="219"/>
      <c r="I1185" s="219"/>
      <c r="J1185" s="219"/>
      <c r="O1185" s="219"/>
    </row>
    <row r="1186">
      <c r="A1186" s="216"/>
      <c r="B1186" s="217"/>
      <c r="F1186" s="218"/>
      <c r="G1186" s="218"/>
      <c r="H1186" s="219"/>
      <c r="I1186" s="219"/>
      <c r="J1186" s="219"/>
      <c r="O1186" s="219"/>
    </row>
    <row r="1187">
      <c r="A1187" s="216"/>
      <c r="B1187" s="217"/>
      <c r="F1187" s="218"/>
      <c r="G1187" s="218"/>
      <c r="H1187" s="219"/>
      <c r="I1187" s="219"/>
      <c r="J1187" s="219"/>
      <c r="O1187" s="219"/>
    </row>
    <row r="1188">
      <c r="A1188" s="216"/>
      <c r="B1188" s="217"/>
      <c r="F1188" s="218"/>
      <c r="G1188" s="218"/>
      <c r="H1188" s="219"/>
      <c r="I1188" s="219"/>
      <c r="J1188" s="219"/>
      <c r="O1188" s="219"/>
    </row>
    <row r="1189">
      <c r="A1189" s="216"/>
      <c r="B1189" s="217"/>
      <c r="F1189" s="218"/>
      <c r="G1189" s="218"/>
      <c r="H1189" s="219"/>
      <c r="I1189" s="219"/>
      <c r="J1189" s="219"/>
      <c r="O1189" s="219"/>
    </row>
    <row r="1190">
      <c r="A1190" s="216"/>
      <c r="B1190" s="217"/>
      <c r="F1190" s="218"/>
      <c r="G1190" s="218"/>
      <c r="H1190" s="219"/>
      <c r="I1190" s="219"/>
      <c r="J1190" s="219"/>
      <c r="O1190" s="219"/>
    </row>
    <row r="1191">
      <c r="A1191" s="216"/>
      <c r="B1191" s="217"/>
      <c r="F1191" s="218"/>
      <c r="G1191" s="218"/>
      <c r="H1191" s="219"/>
      <c r="I1191" s="219"/>
      <c r="J1191" s="219"/>
      <c r="O1191" s="219"/>
    </row>
    <row r="1192">
      <c r="A1192" s="216"/>
      <c r="B1192" s="217"/>
      <c r="F1192" s="218"/>
      <c r="G1192" s="218"/>
      <c r="H1192" s="219"/>
      <c r="I1192" s="219"/>
      <c r="J1192" s="219"/>
      <c r="O1192" s="219"/>
    </row>
    <row r="1193">
      <c r="A1193" s="216"/>
      <c r="B1193" s="217"/>
      <c r="F1193" s="218"/>
      <c r="G1193" s="218"/>
      <c r="H1193" s="219"/>
      <c r="I1193" s="219"/>
      <c r="J1193" s="219"/>
      <c r="O1193" s="219"/>
    </row>
    <row r="1194">
      <c r="A1194" s="216"/>
      <c r="B1194" s="217"/>
      <c r="F1194" s="218"/>
      <c r="G1194" s="218"/>
      <c r="H1194" s="219"/>
      <c r="I1194" s="219"/>
      <c r="J1194" s="219"/>
      <c r="O1194" s="219"/>
    </row>
    <row r="1195">
      <c r="A1195" s="216"/>
      <c r="B1195" s="217"/>
      <c r="F1195" s="218"/>
      <c r="G1195" s="218"/>
      <c r="H1195" s="219"/>
      <c r="I1195" s="219"/>
      <c r="J1195" s="219"/>
      <c r="O1195" s="219"/>
    </row>
    <row r="1196">
      <c r="A1196" s="216"/>
      <c r="B1196" s="217"/>
      <c r="F1196" s="218"/>
      <c r="G1196" s="218"/>
      <c r="H1196" s="219"/>
      <c r="I1196" s="219"/>
      <c r="J1196" s="219"/>
      <c r="O1196" s="219"/>
    </row>
    <row r="1197">
      <c r="A1197" s="216"/>
      <c r="B1197" s="217"/>
      <c r="F1197" s="218"/>
      <c r="G1197" s="218"/>
      <c r="H1197" s="219"/>
      <c r="I1197" s="219"/>
      <c r="J1197" s="219"/>
      <c r="O1197" s="219"/>
    </row>
    <row r="1198">
      <c r="A1198" s="216"/>
      <c r="B1198" s="217"/>
      <c r="F1198" s="218"/>
      <c r="G1198" s="218"/>
      <c r="H1198" s="219"/>
      <c r="I1198" s="219"/>
      <c r="J1198" s="219"/>
      <c r="O1198" s="219"/>
    </row>
    <row r="1199">
      <c r="A1199" s="216"/>
      <c r="B1199" s="217"/>
      <c r="F1199" s="218"/>
      <c r="G1199" s="218"/>
      <c r="H1199" s="219"/>
      <c r="I1199" s="219"/>
      <c r="J1199" s="219"/>
      <c r="O1199" s="219"/>
    </row>
    <row r="1200">
      <c r="A1200" s="216"/>
      <c r="B1200" s="217"/>
      <c r="F1200" s="218"/>
      <c r="G1200" s="218"/>
      <c r="H1200" s="219"/>
      <c r="I1200" s="219"/>
      <c r="J1200" s="219"/>
      <c r="O1200" s="219"/>
    </row>
    <row r="1201">
      <c r="A1201" s="216"/>
      <c r="B1201" s="217"/>
      <c r="F1201" s="218"/>
      <c r="G1201" s="218"/>
      <c r="H1201" s="219"/>
      <c r="I1201" s="219"/>
      <c r="J1201" s="219"/>
      <c r="O1201" s="219"/>
    </row>
    <row r="1202">
      <c r="A1202" s="216"/>
      <c r="B1202" s="217"/>
      <c r="F1202" s="218"/>
      <c r="G1202" s="218"/>
      <c r="H1202" s="219"/>
      <c r="I1202" s="219"/>
      <c r="J1202" s="219"/>
      <c r="O1202" s="219"/>
    </row>
    <row r="1203">
      <c r="A1203" s="216"/>
      <c r="B1203" s="217"/>
      <c r="F1203" s="218"/>
      <c r="G1203" s="218"/>
      <c r="H1203" s="219"/>
      <c r="I1203" s="219"/>
      <c r="J1203" s="219"/>
      <c r="O1203" s="219"/>
    </row>
    <row r="1204">
      <c r="A1204" s="216"/>
      <c r="B1204" s="217"/>
      <c r="F1204" s="218"/>
      <c r="G1204" s="218"/>
      <c r="H1204" s="219"/>
      <c r="I1204" s="219"/>
      <c r="J1204" s="219"/>
      <c r="O1204" s="219"/>
    </row>
    <row r="1205">
      <c r="A1205" s="216"/>
      <c r="B1205" s="217"/>
      <c r="F1205" s="218"/>
      <c r="G1205" s="218"/>
      <c r="H1205" s="219"/>
      <c r="I1205" s="219"/>
      <c r="J1205" s="219"/>
      <c r="O1205" s="219"/>
    </row>
    <row r="1206">
      <c r="A1206" s="216"/>
      <c r="B1206" s="217"/>
      <c r="F1206" s="218"/>
      <c r="G1206" s="218"/>
      <c r="H1206" s="219"/>
      <c r="I1206" s="219"/>
      <c r="J1206" s="219"/>
      <c r="O1206" s="219"/>
    </row>
    <row r="1207">
      <c r="A1207" s="216"/>
      <c r="B1207" s="217"/>
      <c r="F1207" s="218"/>
      <c r="G1207" s="218"/>
      <c r="H1207" s="219"/>
      <c r="I1207" s="219"/>
      <c r="J1207" s="219"/>
      <c r="O1207" s="219"/>
    </row>
    <row r="1208">
      <c r="A1208" s="216"/>
      <c r="B1208" s="217"/>
      <c r="F1208" s="218"/>
      <c r="G1208" s="218"/>
      <c r="H1208" s="219"/>
      <c r="I1208" s="219"/>
      <c r="J1208" s="219"/>
      <c r="O1208" s="219"/>
    </row>
    <row r="1209">
      <c r="A1209" s="216"/>
      <c r="B1209" s="217"/>
      <c r="F1209" s="218"/>
      <c r="G1209" s="218"/>
      <c r="H1209" s="219"/>
      <c r="I1209" s="219"/>
      <c r="J1209" s="219"/>
      <c r="O1209" s="219"/>
    </row>
    <row r="1210">
      <c r="A1210" s="216"/>
      <c r="B1210" s="217"/>
      <c r="F1210" s="218"/>
      <c r="G1210" s="218"/>
      <c r="H1210" s="219"/>
      <c r="I1210" s="219"/>
      <c r="J1210" s="219"/>
      <c r="O1210" s="219"/>
    </row>
    <row r="1211">
      <c r="A1211" s="216"/>
      <c r="B1211" s="217"/>
      <c r="F1211" s="218"/>
      <c r="G1211" s="218"/>
      <c r="H1211" s="219"/>
      <c r="I1211" s="219"/>
      <c r="J1211" s="219"/>
      <c r="O1211" s="219"/>
    </row>
    <row r="1212">
      <c r="A1212" s="216"/>
      <c r="B1212" s="217"/>
      <c r="F1212" s="218"/>
      <c r="G1212" s="218"/>
      <c r="H1212" s="219"/>
      <c r="I1212" s="219"/>
      <c r="J1212" s="219"/>
      <c r="O1212" s="219"/>
    </row>
    <row r="1213">
      <c r="A1213" s="216"/>
      <c r="B1213" s="217"/>
      <c r="F1213" s="218"/>
      <c r="G1213" s="218"/>
      <c r="H1213" s="219"/>
      <c r="I1213" s="219"/>
      <c r="J1213" s="219"/>
      <c r="O1213" s="219"/>
    </row>
    <row r="1214">
      <c r="A1214" s="216"/>
      <c r="B1214" s="217"/>
      <c r="F1214" s="218"/>
      <c r="G1214" s="218"/>
      <c r="H1214" s="219"/>
      <c r="I1214" s="219"/>
      <c r="J1214" s="219"/>
      <c r="O1214" s="219"/>
    </row>
    <row r="1215">
      <c r="A1215" s="216"/>
      <c r="B1215" s="217"/>
      <c r="F1215" s="218"/>
      <c r="G1215" s="218"/>
      <c r="H1215" s="219"/>
      <c r="I1215" s="219"/>
      <c r="J1215" s="219"/>
      <c r="O1215" s="219"/>
    </row>
    <row r="1216">
      <c r="A1216" s="216"/>
      <c r="B1216" s="217"/>
      <c r="F1216" s="218"/>
      <c r="G1216" s="218"/>
      <c r="H1216" s="219"/>
      <c r="I1216" s="219"/>
      <c r="J1216" s="219"/>
      <c r="O1216" s="219"/>
    </row>
    <row r="1217">
      <c r="A1217" s="216"/>
      <c r="B1217" s="217"/>
      <c r="F1217" s="218"/>
      <c r="G1217" s="218"/>
      <c r="H1217" s="219"/>
      <c r="I1217" s="219"/>
      <c r="J1217" s="219"/>
      <c r="O1217" s="219"/>
    </row>
    <row r="1218">
      <c r="A1218" s="216"/>
      <c r="B1218" s="217"/>
      <c r="F1218" s="218"/>
      <c r="G1218" s="218"/>
      <c r="H1218" s="219"/>
      <c r="I1218" s="219"/>
      <c r="J1218" s="219"/>
      <c r="O1218" s="219"/>
    </row>
    <row r="1219">
      <c r="A1219" s="216"/>
      <c r="B1219" s="217"/>
      <c r="F1219" s="218"/>
      <c r="G1219" s="218"/>
      <c r="H1219" s="219"/>
      <c r="I1219" s="219"/>
      <c r="J1219" s="219"/>
      <c r="O1219" s="219"/>
    </row>
    <row r="1220">
      <c r="A1220" s="216"/>
      <c r="B1220" s="217"/>
      <c r="F1220" s="218"/>
      <c r="G1220" s="218"/>
      <c r="H1220" s="219"/>
      <c r="I1220" s="219"/>
      <c r="J1220" s="219"/>
      <c r="O1220" s="219"/>
    </row>
    <row r="1221">
      <c r="A1221" s="216"/>
      <c r="B1221" s="217"/>
      <c r="F1221" s="218"/>
      <c r="G1221" s="218"/>
      <c r="H1221" s="219"/>
      <c r="I1221" s="219"/>
      <c r="J1221" s="219"/>
      <c r="O1221" s="219"/>
    </row>
    <row r="1222">
      <c r="A1222" s="216"/>
      <c r="B1222" s="217"/>
      <c r="F1222" s="218"/>
      <c r="G1222" s="218"/>
      <c r="H1222" s="219"/>
      <c r="I1222" s="219"/>
      <c r="J1222" s="219"/>
      <c r="O1222" s="219"/>
    </row>
    <row r="1223">
      <c r="A1223" s="216"/>
      <c r="B1223" s="217"/>
      <c r="F1223" s="218"/>
      <c r="G1223" s="218"/>
      <c r="H1223" s="219"/>
      <c r="I1223" s="219"/>
      <c r="J1223" s="219"/>
      <c r="O1223" s="219"/>
    </row>
    <row r="1224">
      <c r="A1224" s="216"/>
      <c r="B1224" s="217"/>
      <c r="F1224" s="218"/>
      <c r="G1224" s="218"/>
      <c r="H1224" s="219"/>
      <c r="I1224" s="219"/>
      <c r="J1224" s="219"/>
      <c r="O1224" s="219"/>
    </row>
    <row r="1225">
      <c r="A1225" s="216"/>
      <c r="B1225" s="217"/>
      <c r="F1225" s="218"/>
      <c r="G1225" s="218"/>
      <c r="H1225" s="219"/>
      <c r="I1225" s="219"/>
      <c r="J1225" s="219"/>
      <c r="O1225" s="219"/>
    </row>
    <row r="1226">
      <c r="A1226" s="216"/>
      <c r="B1226" s="217"/>
      <c r="F1226" s="218"/>
      <c r="G1226" s="218"/>
      <c r="H1226" s="219"/>
      <c r="I1226" s="219"/>
      <c r="J1226" s="219"/>
      <c r="O1226" s="219"/>
    </row>
    <row r="1227">
      <c r="A1227" s="216"/>
      <c r="B1227" s="217"/>
      <c r="F1227" s="218"/>
      <c r="G1227" s="218"/>
      <c r="H1227" s="219"/>
      <c r="I1227" s="219"/>
      <c r="J1227" s="219"/>
      <c r="O1227" s="219"/>
    </row>
    <row r="1228">
      <c r="A1228" s="216"/>
      <c r="B1228" s="217"/>
      <c r="F1228" s="218"/>
      <c r="G1228" s="218"/>
      <c r="H1228" s="219"/>
      <c r="I1228" s="219"/>
      <c r="J1228" s="219"/>
      <c r="O1228" s="219"/>
    </row>
    <row r="1229">
      <c r="A1229" s="216"/>
      <c r="B1229" s="217"/>
      <c r="F1229" s="218"/>
      <c r="G1229" s="218"/>
      <c r="H1229" s="219"/>
      <c r="I1229" s="219"/>
      <c r="J1229" s="219"/>
      <c r="O1229" s="219"/>
    </row>
    <row r="1230">
      <c r="A1230" s="216"/>
      <c r="B1230" s="217"/>
      <c r="F1230" s="218"/>
      <c r="G1230" s="218"/>
      <c r="H1230" s="219"/>
      <c r="I1230" s="219"/>
      <c r="J1230" s="219"/>
      <c r="O1230" s="219"/>
    </row>
    <row r="1231">
      <c r="A1231" s="216"/>
      <c r="B1231" s="217"/>
      <c r="F1231" s="218"/>
      <c r="G1231" s="218"/>
      <c r="H1231" s="219"/>
      <c r="I1231" s="219"/>
      <c r="J1231" s="219"/>
      <c r="O1231" s="219"/>
    </row>
    <row r="1232">
      <c r="A1232" s="216"/>
      <c r="B1232" s="217"/>
      <c r="F1232" s="218"/>
      <c r="G1232" s="218"/>
      <c r="H1232" s="219"/>
      <c r="I1232" s="219"/>
      <c r="J1232" s="219"/>
      <c r="O1232" s="219"/>
    </row>
    <row r="1233">
      <c r="A1233" s="216"/>
      <c r="B1233" s="217"/>
      <c r="F1233" s="218"/>
      <c r="G1233" s="218"/>
      <c r="H1233" s="219"/>
      <c r="I1233" s="219"/>
      <c r="J1233" s="219"/>
      <c r="O1233" s="219"/>
    </row>
    <row r="1234">
      <c r="A1234" s="216"/>
      <c r="B1234" s="217"/>
      <c r="F1234" s="218"/>
      <c r="G1234" s="218"/>
      <c r="H1234" s="219"/>
      <c r="I1234" s="219"/>
      <c r="J1234" s="219"/>
      <c r="O1234" s="219"/>
    </row>
    <row r="1235">
      <c r="A1235" s="216"/>
      <c r="B1235" s="217"/>
      <c r="F1235" s="218"/>
      <c r="G1235" s="218"/>
      <c r="H1235" s="219"/>
      <c r="I1235" s="219"/>
      <c r="J1235" s="219"/>
      <c r="O1235" s="219"/>
    </row>
    <row r="1236">
      <c r="A1236" s="216"/>
      <c r="B1236" s="217"/>
      <c r="F1236" s="218"/>
      <c r="G1236" s="218"/>
      <c r="H1236" s="219"/>
      <c r="I1236" s="219"/>
      <c r="J1236" s="219"/>
      <c r="O1236" s="219"/>
    </row>
    <row r="1237">
      <c r="A1237" s="216"/>
      <c r="B1237" s="217"/>
      <c r="F1237" s="218"/>
      <c r="G1237" s="218"/>
      <c r="H1237" s="219"/>
      <c r="I1237" s="219"/>
      <c r="J1237" s="219"/>
      <c r="O1237" s="219"/>
    </row>
    <row r="1238">
      <c r="A1238" s="216"/>
      <c r="B1238" s="217"/>
      <c r="F1238" s="218"/>
      <c r="G1238" s="218"/>
      <c r="H1238" s="219"/>
      <c r="I1238" s="219"/>
      <c r="J1238" s="219"/>
      <c r="O1238" s="219"/>
    </row>
    <row r="1239">
      <c r="A1239" s="216"/>
      <c r="B1239" s="217"/>
      <c r="F1239" s="218"/>
      <c r="G1239" s="218"/>
      <c r="H1239" s="219"/>
      <c r="I1239" s="219"/>
      <c r="J1239" s="219"/>
      <c r="O1239" s="219"/>
    </row>
    <row r="1240">
      <c r="A1240" s="216"/>
      <c r="B1240" s="217"/>
      <c r="F1240" s="218"/>
      <c r="G1240" s="218"/>
      <c r="H1240" s="219"/>
      <c r="I1240" s="219"/>
      <c r="J1240" s="219"/>
      <c r="O1240" s="219"/>
    </row>
    <row r="1241">
      <c r="A1241" s="216"/>
      <c r="B1241" s="217"/>
      <c r="F1241" s="218"/>
      <c r="G1241" s="218"/>
      <c r="H1241" s="219"/>
      <c r="I1241" s="219"/>
      <c r="J1241" s="219"/>
      <c r="O1241" s="219"/>
    </row>
    <row r="1242">
      <c r="A1242" s="216"/>
      <c r="B1242" s="217"/>
      <c r="F1242" s="218"/>
      <c r="G1242" s="218"/>
      <c r="H1242" s="219"/>
      <c r="I1242" s="219"/>
      <c r="J1242" s="219"/>
      <c r="O1242" s="219"/>
    </row>
    <row r="1243">
      <c r="A1243" s="216"/>
      <c r="B1243" s="217"/>
      <c r="F1243" s="218"/>
      <c r="G1243" s="218"/>
      <c r="H1243" s="219"/>
      <c r="I1243" s="219"/>
      <c r="J1243" s="219"/>
      <c r="O1243" s="219"/>
    </row>
    <row r="1244">
      <c r="A1244" s="216"/>
      <c r="B1244" s="217"/>
      <c r="F1244" s="218"/>
      <c r="G1244" s="218"/>
      <c r="H1244" s="219"/>
      <c r="I1244" s="219"/>
      <c r="J1244" s="219"/>
      <c r="O1244" s="219"/>
    </row>
    <row r="1245">
      <c r="A1245" s="216"/>
      <c r="B1245" s="217"/>
      <c r="F1245" s="218"/>
      <c r="G1245" s="218"/>
      <c r="H1245" s="219"/>
      <c r="I1245" s="219"/>
      <c r="J1245" s="219"/>
      <c r="O1245" s="219"/>
    </row>
    <row r="1246">
      <c r="A1246" s="216"/>
      <c r="B1246" s="217"/>
      <c r="F1246" s="218"/>
      <c r="G1246" s="218"/>
      <c r="H1246" s="219"/>
      <c r="I1246" s="219"/>
      <c r="J1246" s="219"/>
      <c r="O1246" s="219"/>
    </row>
    <row r="1247">
      <c r="A1247" s="216"/>
      <c r="B1247" s="217"/>
      <c r="F1247" s="218"/>
      <c r="G1247" s="218"/>
      <c r="H1247" s="219"/>
      <c r="I1247" s="219"/>
      <c r="J1247" s="219"/>
      <c r="O1247" s="219"/>
    </row>
    <row r="1248">
      <c r="A1248" s="216"/>
      <c r="B1248" s="217"/>
      <c r="F1248" s="218"/>
      <c r="G1248" s="218"/>
      <c r="H1248" s="219"/>
      <c r="I1248" s="219"/>
      <c r="J1248" s="219"/>
      <c r="O1248" s="219"/>
    </row>
    <row r="1249">
      <c r="A1249" s="216"/>
      <c r="B1249" s="217"/>
      <c r="F1249" s="218"/>
      <c r="G1249" s="218"/>
      <c r="H1249" s="219"/>
      <c r="I1249" s="219"/>
      <c r="J1249" s="219"/>
      <c r="O1249" s="219"/>
    </row>
    <row r="1250">
      <c r="A1250" s="216"/>
      <c r="B1250" s="217"/>
      <c r="F1250" s="218"/>
      <c r="G1250" s="218"/>
      <c r="H1250" s="219"/>
      <c r="I1250" s="219"/>
      <c r="J1250" s="219"/>
      <c r="O1250" s="219"/>
    </row>
    <row r="1251">
      <c r="A1251" s="216"/>
      <c r="B1251" s="217"/>
      <c r="F1251" s="218"/>
      <c r="G1251" s="218"/>
      <c r="H1251" s="219"/>
      <c r="I1251" s="219"/>
      <c r="J1251" s="219"/>
      <c r="O1251" s="219"/>
    </row>
    <row r="1252">
      <c r="A1252" s="216"/>
      <c r="B1252" s="217"/>
      <c r="F1252" s="218"/>
      <c r="G1252" s="218"/>
      <c r="H1252" s="219"/>
      <c r="I1252" s="219"/>
      <c r="J1252" s="219"/>
      <c r="O1252" s="219"/>
    </row>
    <row r="1253">
      <c r="A1253" s="216"/>
      <c r="B1253" s="217"/>
      <c r="F1253" s="218"/>
      <c r="G1253" s="218"/>
      <c r="H1253" s="219"/>
      <c r="I1253" s="219"/>
      <c r="J1253" s="219"/>
      <c r="O1253" s="219"/>
    </row>
    <row r="1254">
      <c r="A1254" s="216"/>
      <c r="B1254" s="217"/>
      <c r="F1254" s="218"/>
      <c r="G1254" s="218"/>
      <c r="H1254" s="219"/>
      <c r="I1254" s="219"/>
      <c r="J1254" s="219"/>
      <c r="O1254" s="219"/>
    </row>
    <row r="1255">
      <c r="A1255" s="216"/>
      <c r="B1255" s="217"/>
      <c r="F1255" s="218"/>
      <c r="G1255" s="218"/>
      <c r="H1255" s="219"/>
      <c r="I1255" s="219"/>
      <c r="J1255" s="219"/>
      <c r="O1255" s="219"/>
    </row>
    <row r="1256">
      <c r="A1256" s="216"/>
      <c r="B1256" s="217"/>
      <c r="F1256" s="218"/>
      <c r="G1256" s="218"/>
      <c r="H1256" s="219"/>
      <c r="I1256" s="219"/>
      <c r="J1256" s="219"/>
      <c r="O1256" s="219"/>
    </row>
    <row r="1257">
      <c r="A1257" s="216"/>
      <c r="B1257" s="217"/>
      <c r="F1257" s="218"/>
      <c r="G1257" s="218"/>
      <c r="H1257" s="219"/>
      <c r="I1257" s="219"/>
      <c r="J1257" s="219"/>
      <c r="O1257" s="219"/>
    </row>
    <row r="1258">
      <c r="A1258" s="216"/>
      <c r="B1258" s="217"/>
      <c r="F1258" s="218"/>
      <c r="G1258" s="218"/>
      <c r="H1258" s="219"/>
      <c r="I1258" s="219"/>
      <c r="J1258" s="219"/>
      <c r="O1258" s="219"/>
    </row>
    <row r="1259">
      <c r="A1259" s="216"/>
      <c r="B1259" s="217"/>
      <c r="F1259" s="218"/>
      <c r="G1259" s="218"/>
      <c r="H1259" s="219"/>
      <c r="I1259" s="219"/>
      <c r="J1259" s="219"/>
      <c r="O1259" s="219"/>
    </row>
    <row r="1260">
      <c r="A1260" s="216"/>
      <c r="B1260" s="217"/>
      <c r="F1260" s="218"/>
      <c r="G1260" s="218"/>
      <c r="H1260" s="219"/>
      <c r="I1260" s="219"/>
      <c r="J1260" s="219"/>
      <c r="O1260" s="219"/>
    </row>
    <row r="1261">
      <c r="A1261" s="216"/>
      <c r="B1261" s="217"/>
      <c r="F1261" s="218"/>
      <c r="G1261" s="218"/>
      <c r="H1261" s="219"/>
      <c r="I1261" s="219"/>
      <c r="J1261" s="219"/>
      <c r="O1261" s="219"/>
    </row>
    <row r="1262">
      <c r="A1262" s="216"/>
      <c r="B1262" s="217"/>
      <c r="F1262" s="218"/>
      <c r="G1262" s="218"/>
      <c r="H1262" s="219"/>
      <c r="I1262" s="219"/>
      <c r="J1262" s="219"/>
      <c r="O1262" s="219"/>
    </row>
    <row r="1263">
      <c r="A1263" s="216"/>
      <c r="B1263" s="217"/>
      <c r="F1263" s="218"/>
      <c r="G1263" s="218"/>
      <c r="H1263" s="219"/>
      <c r="I1263" s="219"/>
      <c r="J1263" s="219"/>
      <c r="O1263" s="219"/>
    </row>
    <row r="1264">
      <c r="A1264" s="216"/>
      <c r="B1264" s="217"/>
      <c r="F1264" s="218"/>
      <c r="G1264" s="218"/>
      <c r="H1264" s="219"/>
      <c r="I1264" s="219"/>
      <c r="J1264" s="219"/>
      <c r="O1264" s="219"/>
    </row>
    <row r="1265">
      <c r="A1265" s="216"/>
      <c r="B1265" s="217"/>
      <c r="F1265" s="218"/>
      <c r="G1265" s="218"/>
      <c r="H1265" s="219"/>
      <c r="I1265" s="219"/>
      <c r="J1265" s="219"/>
      <c r="O1265" s="219"/>
    </row>
    <row r="1266">
      <c r="A1266" s="216"/>
      <c r="B1266" s="217"/>
      <c r="F1266" s="218"/>
      <c r="G1266" s="218"/>
      <c r="H1266" s="219"/>
      <c r="I1266" s="219"/>
      <c r="J1266" s="219"/>
      <c r="O1266" s="219"/>
    </row>
    <row r="1267">
      <c r="A1267" s="216"/>
      <c r="B1267" s="217"/>
      <c r="F1267" s="218"/>
      <c r="G1267" s="218"/>
      <c r="H1267" s="219"/>
      <c r="I1267" s="219"/>
      <c r="J1267" s="219"/>
      <c r="O1267" s="219"/>
    </row>
    <row r="1268">
      <c r="A1268" s="216"/>
      <c r="B1268" s="217"/>
      <c r="F1268" s="218"/>
      <c r="G1268" s="218"/>
      <c r="H1268" s="219"/>
      <c r="I1268" s="219"/>
      <c r="J1268" s="219"/>
      <c r="O1268" s="219"/>
    </row>
    <row r="1269">
      <c r="A1269" s="216"/>
      <c r="B1269" s="217"/>
      <c r="F1269" s="218"/>
      <c r="G1269" s="218"/>
      <c r="H1269" s="219"/>
      <c r="I1269" s="219"/>
      <c r="J1269" s="219"/>
      <c r="O1269" s="219"/>
    </row>
    <row r="1270">
      <c r="A1270" s="216"/>
      <c r="B1270" s="217"/>
      <c r="F1270" s="218"/>
      <c r="G1270" s="218"/>
      <c r="H1270" s="219"/>
      <c r="I1270" s="219"/>
      <c r="J1270" s="219"/>
      <c r="O1270" s="219"/>
    </row>
    <row r="1271">
      <c r="A1271" s="216"/>
      <c r="B1271" s="217"/>
      <c r="F1271" s="218"/>
      <c r="G1271" s="218"/>
      <c r="H1271" s="219"/>
      <c r="I1271" s="219"/>
      <c r="J1271" s="219"/>
      <c r="O1271" s="219"/>
    </row>
    <row r="1272">
      <c r="A1272" s="216"/>
      <c r="B1272" s="217"/>
      <c r="F1272" s="218"/>
      <c r="G1272" s="218"/>
      <c r="H1272" s="219"/>
      <c r="I1272" s="219"/>
      <c r="J1272" s="219"/>
      <c r="O1272" s="219"/>
    </row>
    <row r="1273">
      <c r="A1273" s="216"/>
      <c r="B1273" s="217"/>
      <c r="F1273" s="218"/>
      <c r="G1273" s="218"/>
      <c r="H1273" s="219"/>
      <c r="I1273" s="219"/>
      <c r="J1273" s="219"/>
      <c r="O1273" s="219"/>
    </row>
    <row r="1274">
      <c r="A1274" s="216"/>
      <c r="B1274" s="217"/>
      <c r="F1274" s="218"/>
      <c r="G1274" s="218"/>
      <c r="H1274" s="219"/>
      <c r="I1274" s="219"/>
      <c r="J1274" s="219"/>
      <c r="O1274" s="219"/>
    </row>
    <row r="1275">
      <c r="A1275" s="216"/>
      <c r="B1275" s="217"/>
      <c r="F1275" s="218"/>
      <c r="G1275" s="218"/>
      <c r="H1275" s="219"/>
      <c r="I1275" s="219"/>
      <c r="J1275" s="219"/>
      <c r="O1275" s="219"/>
    </row>
    <row r="1276">
      <c r="A1276" s="216"/>
      <c r="B1276" s="217"/>
      <c r="F1276" s="218"/>
      <c r="G1276" s="218"/>
      <c r="H1276" s="219"/>
      <c r="I1276" s="219"/>
      <c r="J1276" s="219"/>
      <c r="O1276" s="219"/>
    </row>
    <row r="1277">
      <c r="A1277" s="216"/>
      <c r="B1277" s="217"/>
      <c r="F1277" s="218"/>
      <c r="G1277" s="218"/>
      <c r="H1277" s="219"/>
      <c r="I1277" s="219"/>
      <c r="J1277" s="219"/>
      <c r="O1277" s="219"/>
    </row>
    <row r="1278">
      <c r="A1278" s="216"/>
      <c r="B1278" s="217"/>
      <c r="F1278" s="218"/>
      <c r="G1278" s="218"/>
      <c r="H1278" s="219"/>
      <c r="I1278" s="219"/>
      <c r="J1278" s="219"/>
      <c r="O1278" s="219"/>
    </row>
    <row r="1279">
      <c r="A1279" s="216"/>
      <c r="B1279" s="217"/>
      <c r="F1279" s="218"/>
      <c r="G1279" s="218"/>
      <c r="H1279" s="219"/>
      <c r="I1279" s="219"/>
      <c r="J1279" s="219"/>
      <c r="O1279" s="219"/>
    </row>
    <row r="1280">
      <c r="A1280" s="216"/>
      <c r="B1280" s="217"/>
      <c r="F1280" s="218"/>
      <c r="G1280" s="218"/>
      <c r="H1280" s="219"/>
      <c r="I1280" s="219"/>
      <c r="J1280" s="219"/>
      <c r="O1280" s="219"/>
    </row>
    <row r="1281">
      <c r="A1281" s="216"/>
      <c r="B1281" s="217"/>
      <c r="F1281" s="218"/>
      <c r="G1281" s="218"/>
      <c r="H1281" s="219"/>
      <c r="I1281" s="219"/>
      <c r="J1281" s="219"/>
      <c r="O1281" s="219"/>
    </row>
    <row r="1282">
      <c r="A1282" s="216"/>
      <c r="B1282" s="217"/>
      <c r="F1282" s="218"/>
      <c r="G1282" s="218"/>
      <c r="H1282" s="219"/>
      <c r="I1282" s="219"/>
      <c r="J1282" s="219"/>
      <c r="O1282" s="219"/>
    </row>
    <row r="1283">
      <c r="A1283" s="216"/>
      <c r="B1283" s="217"/>
      <c r="F1283" s="218"/>
      <c r="G1283" s="218"/>
      <c r="H1283" s="219"/>
      <c r="I1283" s="219"/>
      <c r="J1283" s="219"/>
      <c r="O1283" s="219"/>
    </row>
    <row r="1284">
      <c r="A1284" s="216"/>
      <c r="B1284" s="217"/>
      <c r="F1284" s="218"/>
      <c r="G1284" s="218"/>
      <c r="H1284" s="219"/>
      <c r="I1284" s="219"/>
      <c r="J1284" s="219"/>
      <c r="O1284" s="219"/>
    </row>
    <row r="1285">
      <c r="A1285" s="216"/>
      <c r="B1285" s="217"/>
      <c r="F1285" s="218"/>
      <c r="G1285" s="218"/>
      <c r="H1285" s="219"/>
      <c r="I1285" s="219"/>
      <c r="J1285" s="219"/>
      <c r="O1285" s="219"/>
    </row>
    <row r="1286">
      <c r="A1286" s="216"/>
      <c r="B1286" s="217"/>
      <c r="F1286" s="218"/>
      <c r="G1286" s="218"/>
      <c r="H1286" s="219"/>
      <c r="I1286" s="219"/>
      <c r="J1286" s="219"/>
      <c r="O1286" s="219"/>
    </row>
    <row r="1287">
      <c r="A1287" s="216"/>
      <c r="B1287" s="217"/>
      <c r="F1287" s="218"/>
      <c r="G1287" s="218"/>
      <c r="H1287" s="219"/>
      <c r="I1287" s="219"/>
      <c r="J1287" s="219"/>
      <c r="O1287" s="219"/>
    </row>
    <row r="1288">
      <c r="A1288" s="216"/>
      <c r="B1288" s="217"/>
      <c r="F1288" s="218"/>
      <c r="G1288" s="218"/>
      <c r="H1288" s="219"/>
      <c r="I1288" s="219"/>
      <c r="J1288" s="219"/>
      <c r="O1288" s="219"/>
    </row>
    <row r="1289">
      <c r="A1289" s="216"/>
      <c r="B1289" s="217"/>
      <c r="F1289" s="218"/>
      <c r="G1289" s="218"/>
      <c r="H1289" s="219"/>
      <c r="I1289" s="219"/>
      <c r="J1289" s="219"/>
      <c r="O1289" s="219"/>
    </row>
    <row r="1290">
      <c r="A1290" s="216"/>
      <c r="B1290" s="217"/>
      <c r="F1290" s="218"/>
      <c r="G1290" s="218"/>
      <c r="H1290" s="219"/>
      <c r="I1290" s="219"/>
      <c r="J1290" s="219"/>
      <c r="O1290" s="219"/>
    </row>
    <row r="1291">
      <c r="A1291" s="216"/>
      <c r="B1291" s="217"/>
      <c r="F1291" s="218"/>
      <c r="G1291" s="218"/>
      <c r="H1291" s="219"/>
      <c r="I1291" s="219"/>
      <c r="J1291" s="219"/>
      <c r="O1291" s="219"/>
    </row>
    <row r="1292">
      <c r="A1292" s="216"/>
      <c r="B1292" s="217"/>
      <c r="F1292" s="218"/>
      <c r="G1292" s="218"/>
      <c r="H1292" s="219"/>
      <c r="I1292" s="219"/>
      <c r="J1292" s="219"/>
      <c r="O1292" s="219"/>
    </row>
    <row r="1293">
      <c r="A1293" s="216"/>
      <c r="B1293" s="217"/>
      <c r="F1293" s="218"/>
      <c r="G1293" s="218"/>
      <c r="H1293" s="219"/>
      <c r="I1293" s="219"/>
      <c r="J1293" s="219"/>
      <c r="O1293" s="219"/>
    </row>
    <row r="1294">
      <c r="A1294" s="216"/>
      <c r="B1294" s="217"/>
      <c r="F1294" s="218"/>
      <c r="G1294" s="218"/>
      <c r="H1294" s="219"/>
      <c r="I1294" s="219"/>
      <c r="J1294" s="219"/>
      <c r="O1294" s="219"/>
    </row>
    <row r="1295">
      <c r="A1295" s="216"/>
      <c r="B1295" s="217"/>
      <c r="F1295" s="218"/>
      <c r="G1295" s="218"/>
      <c r="H1295" s="219"/>
      <c r="I1295" s="219"/>
      <c r="J1295" s="219"/>
      <c r="O1295" s="219"/>
    </row>
    <row r="1296">
      <c r="A1296" s="216"/>
      <c r="B1296" s="217"/>
      <c r="F1296" s="218"/>
      <c r="G1296" s="218"/>
      <c r="H1296" s="219"/>
      <c r="I1296" s="219"/>
      <c r="J1296" s="219"/>
      <c r="O1296" s="219"/>
    </row>
    <row r="1297">
      <c r="A1297" s="216"/>
      <c r="B1297" s="217"/>
      <c r="F1297" s="218"/>
      <c r="G1297" s="218"/>
      <c r="H1297" s="219"/>
      <c r="I1297" s="219"/>
      <c r="J1297" s="219"/>
      <c r="O1297" s="219"/>
    </row>
    <row r="1298">
      <c r="A1298" s="216"/>
      <c r="B1298" s="217"/>
      <c r="F1298" s="218"/>
      <c r="G1298" s="218"/>
      <c r="H1298" s="219"/>
      <c r="I1298" s="219"/>
      <c r="J1298" s="219"/>
      <c r="O1298" s="219"/>
    </row>
    <row r="1299">
      <c r="A1299" s="216"/>
      <c r="B1299" s="217"/>
      <c r="F1299" s="218"/>
      <c r="G1299" s="218"/>
      <c r="H1299" s="219"/>
      <c r="I1299" s="219"/>
      <c r="J1299" s="219"/>
      <c r="O1299" s="219"/>
    </row>
    <row r="1300">
      <c r="A1300" s="216"/>
      <c r="B1300" s="217"/>
      <c r="F1300" s="218"/>
      <c r="G1300" s="218"/>
      <c r="H1300" s="219"/>
      <c r="I1300" s="219"/>
      <c r="J1300" s="219"/>
      <c r="O1300" s="219"/>
    </row>
    <row r="1301">
      <c r="A1301" s="216"/>
      <c r="B1301" s="217"/>
      <c r="F1301" s="218"/>
      <c r="G1301" s="218"/>
      <c r="H1301" s="219"/>
      <c r="I1301" s="219"/>
      <c r="J1301" s="219"/>
      <c r="O1301" s="219"/>
    </row>
    <row r="1302">
      <c r="A1302" s="216"/>
      <c r="B1302" s="217"/>
      <c r="F1302" s="218"/>
      <c r="G1302" s="218"/>
      <c r="H1302" s="219"/>
      <c r="I1302" s="219"/>
      <c r="J1302" s="219"/>
      <c r="O1302" s="219"/>
    </row>
    <row r="1303">
      <c r="A1303" s="216"/>
      <c r="B1303" s="217"/>
      <c r="F1303" s="218"/>
      <c r="G1303" s="218"/>
      <c r="H1303" s="219"/>
      <c r="I1303" s="219"/>
      <c r="J1303" s="219"/>
      <c r="O1303" s="219"/>
    </row>
    <row r="1304">
      <c r="A1304" s="216"/>
      <c r="B1304" s="217"/>
      <c r="F1304" s="218"/>
      <c r="G1304" s="218"/>
      <c r="H1304" s="219"/>
      <c r="I1304" s="219"/>
      <c r="J1304" s="219"/>
      <c r="O1304" s="219"/>
    </row>
    <row r="1305">
      <c r="A1305" s="216"/>
      <c r="B1305" s="217"/>
      <c r="F1305" s="218"/>
      <c r="G1305" s="218"/>
      <c r="H1305" s="219"/>
      <c r="I1305" s="219"/>
      <c r="J1305" s="219"/>
      <c r="O1305" s="219"/>
    </row>
    <row r="1306">
      <c r="A1306" s="216"/>
      <c r="B1306" s="217"/>
      <c r="F1306" s="218"/>
      <c r="G1306" s="218"/>
      <c r="H1306" s="219"/>
      <c r="I1306" s="219"/>
      <c r="J1306" s="219"/>
      <c r="O1306" s="219"/>
    </row>
    <row r="1307">
      <c r="A1307" s="216"/>
      <c r="B1307" s="217"/>
      <c r="F1307" s="218"/>
      <c r="G1307" s="218"/>
      <c r="H1307" s="219"/>
      <c r="I1307" s="219"/>
      <c r="J1307" s="219"/>
      <c r="O1307" s="219"/>
    </row>
    <row r="1308">
      <c r="A1308" s="216"/>
      <c r="B1308" s="217"/>
      <c r="F1308" s="218"/>
      <c r="G1308" s="218"/>
      <c r="H1308" s="219"/>
      <c r="I1308" s="219"/>
      <c r="J1308" s="219"/>
      <c r="O1308" s="219"/>
    </row>
    <row r="1309">
      <c r="A1309" s="216"/>
      <c r="B1309" s="217"/>
      <c r="F1309" s="218"/>
      <c r="G1309" s="218"/>
      <c r="H1309" s="219"/>
      <c r="I1309" s="219"/>
      <c r="J1309" s="219"/>
      <c r="O1309" s="219"/>
    </row>
    <row r="1310">
      <c r="A1310" s="216"/>
      <c r="B1310" s="217"/>
      <c r="F1310" s="218"/>
      <c r="G1310" s="218"/>
      <c r="H1310" s="219"/>
      <c r="I1310" s="219"/>
      <c r="J1310" s="219"/>
      <c r="O1310" s="219"/>
    </row>
    <row r="1311">
      <c r="A1311" s="216"/>
      <c r="B1311" s="217"/>
      <c r="F1311" s="218"/>
      <c r="G1311" s="218"/>
      <c r="H1311" s="219"/>
      <c r="I1311" s="219"/>
      <c r="J1311" s="219"/>
      <c r="O1311" s="219"/>
    </row>
    <row r="1312">
      <c r="A1312" s="216"/>
      <c r="B1312" s="217"/>
      <c r="F1312" s="218"/>
      <c r="G1312" s="218"/>
      <c r="H1312" s="219"/>
      <c r="I1312" s="219"/>
      <c r="J1312" s="219"/>
      <c r="O1312" s="219"/>
    </row>
    <row r="1313">
      <c r="A1313" s="216"/>
      <c r="B1313" s="217"/>
      <c r="F1313" s="218"/>
      <c r="G1313" s="218"/>
      <c r="H1313" s="219"/>
      <c r="I1313" s="219"/>
      <c r="J1313" s="219"/>
      <c r="O1313" s="219"/>
    </row>
    <row r="1314">
      <c r="A1314" s="216"/>
      <c r="B1314" s="217"/>
      <c r="F1314" s="218"/>
      <c r="G1314" s="218"/>
      <c r="H1314" s="219"/>
      <c r="I1314" s="219"/>
      <c r="J1314" s="219"/>
      <c r="O1314" s="219"/>
    </row>
    <row r="1315">
      <c r="A1315" s="216"/>
      <c r="B1315" s="217"/>
      <c r="F1315" s="218"/>
      <c r="G1315" s="218"/>
      <c r="H1315" s="219"/>
      <c r="I1315" s="219"/>
      <c r="J1315" s="219"/>
      <c r="O1315" s="219"/>
    </row>
    <row r="1316">
      <c r="A1316" s="216"/>
      <c r="B1316" s="217"/>
      <c r="F1316" s="218"/>
      <c r="G1316" s="218"/>
      <c r="H1316" s="219"/>
      <c r="I1316" s="219"/>
      <c r="J1316" s="219"/>
      <c r="O1316" s="219"/>
    </row>
    <row r="1317">
      <c r="A1317" s="216"/>
      <c r="B1317" s="217"/>
      <c r="F1317" s="218"/>
      <c r="G1317" s="218"/>
      <c r="H1317" s="219"/>
      <c r="I1317" s="219"/>
      <c r="J1317" s="219"/>
      <c r="O1317" s="219"/>
    </row>
    <row r="1318">
      <c r="A1318" s="216"/>
      <c r="B1318" s="217"/>
      <c r="F1318" s="218"/>
      <c r="G1318" s="218"/>
      <c r="H1318" s="219"/>
      <c r="I1318" s="219"/>
      <c r="J1318" s="219"/>
      <c r="O1318" s="219"/>
    </row>
    <row r="1319">
      <c r="A1319" s="216"/>
      <c r="B1319" s="217"/>
      <c r="F1319" s="218"/>
      <c r="G1319" s="218"/>
      <c r="H1319" s="219"/>
      <c r="I1319" s="219"/>
      <c r="J1319" s="219"/>
      <c r="O1319" s="219"/>
    </row>
    <row r="1320">
      <c r="A1320" s="216"/>
      <c r="B1320" s="217"/>
      <c r="F1320" s="218"/>
      <c r="G1320" s="218"/>
      <c r="H1320" s="219"/>
      <c r="I1320" s="219"/>
      <c r="J1320" s="219"/>
      <c r="O1320" s="219"/>
    </row>
    <row r="1321">
      <c r="A1321" s="216"/>
      <c r="B1321" s="217"/>
      <c r="F1321" s="218"/>
      <c r="G1321" s="218"/>
      <c r="H1321" s="219"/>
      <c r="I1321" s="219"/>
      <c r="J1321" s="219"/>
      <c r="O1321" s="219"/>
    </row>
    <row r="1322">
      <c r="A1322" s="216"/>
      <c r="B1322" s="217"/>
      <c r="F1322" s="218"/>
      <c r="G1322" s="218"/>
      <c r="H1322" s="219"/>
      <c r="I1322" s="219"/>
      <c r="J1322" s="219"/>
      <c r="O1322" s="219"/>
    </row>
    <row r="1323">
      <c r="A1323" s="216"/>
      <c r="B1323" s="217"/>
      <c r="F1323" s="218"/>
      <c r="G1323" s="218"/>
      <c r="H1323" s="219"/>
      <c r="I1323" s="219"/>
      <c r="J1323" s="219"/>
      <c r="O1323" s="219"/>
    </row>
    <row r="1324">
      <c r="A1324" s="216"/>
      <c r="B1324" s="217"/>
      <c r="F1324" s="218"/>
      <c r="G1324" s="218"/>
      <c r="H1324" s="219"/>
      <c r="I1324" s="219"/>
      <c r="J1324" s="219"/>
      <c r="O1324" s="219"/>
    </row>
    <row r="1325">
      <c r="A1325" s="216"/>
      <c r="B1325" s="217"/>
      <c r="F1325" s="218"/>
      <c r="G1325" s="218"/>
      <c r="H1325" s="219"/>
      <c r="I1325" s="219"/>
      <c r="J1325" s="219"/>
      <c r="O1325" s="219"/>
    </row>
    <row r="1326">
      <c r="A1326" s="216"/>
      <c r="B1326" s="217"/>
      <c r="F1326" s="218"/>
      <c r="G1326" s="218"/>
      <c r="H1326" s="219"/>
      <c r="I1326" s="219"/>
      <c r="J1326" s="219"/>
      <c r="O1326" s="219"/>
    </row>
    <row r="1327">
      <c r="A1327" s="216"/>
      <c r="B1327" s="217"/>
      <c r="F1327" s="218"/>
      <c r="G1327" s="218"/>
      <c r="H1327" s="219"/>
      <c r="I1327" s="219"/>
      <c r="J1327" s="219"/>
      <c r="O1327" s="219"/>
    </row>
    <row r="1328">
      <c r="A1328" s="216"/>
      <c r="B1328" s="217"/>
      <c r="F1328" s="218"/>
      <c r="G1328" s="218"/>
      <c r="H1328" s="219"/>
      <c r="I1328" s="219"/>
      <c r="J1328" s="219"/>
      <c r="O1328" s="219"/>
    </row>
    <row r="1329">
      <c r="A1329" s="216"/>
      <c r="B1329" s="217"/>
      <c r="F1329" s="218"/>
      <c r="G1329" s="218"/>
      <c r="H1329" s="219"/>
      <c r="I1329" s="219"/>
      <c r="J1329" s="219"/>
      <c r="O1329" s="219"/>
    </row>
    <row r="1330">
      <c r="A1330" s="216"/>
      <c r="B1330" s="217"/>
      <c r="F1330" s="218"/>
      <c r="G1330" s="218"/>
      <c r="H1330" s="219"/>
      <c r="I1330" s="219"/>
      <c r="J1330" s="219"/>
      <c r="O1330" s="219"/>
    </row>
    <row r="1331">
      <c r="A1331" s="216"/>
      <c r="B1331" s="217"/>
      <c r="F1331" s="218"/>
      <c r="G1331" s="218"/>
      <c r="H1331" s="219"/>
      <c r="I1331" s="219"/>
      <c r="J1331" s="219"/>
      <c r="O1331" s="219"/>
    </row>
    <row r="1332">
      <c r="A1332" s="216"/>
      <c r="B1332" s="217"/>
      <c r="F1332" s="218"/>
      <c r="G1332" s="218"/>
      <c r="H1332" s="219"/>
      <c r="I1332" s="219"/>
      <c r="J1332" s="219"/>
      <c r="O1332" s="219"/>
    </row>
    <row r="1333">
      <c r="A1333" s="216"/>
      <c r="B1333" s="217"/>
      <c r="F1333" s="218"/>
      <c r="G1333" s="218"/>
      <c r="H1333" s="219"/>
      <c r="I1333" s="219"/>
      <c r="J1333" s="219"/>
      <c r="O1333" s="219"/>
    </row>
    <row r="1334">
      <c r="A1334" s="216"/>
      <c r="B1334" s="217"/>
      <c r="F1334" s="218"/>
      <c r="G1334" s="218"/>
      <c r="H1334" s="219"/>
      <c r="I1334" s="219"/>
      <c r="J1334" s="219"/>
      <c r="O1334" s="219"/>
    </row>
    <row r="1335">
      <c r="A1335" s="216"/>
      <c r="B1335" s="217"/>
      <c r="F1335" s="218"/>
      <c r="G1335" s="218"/>
      <c r="H1335" s="219"/>
      <c r="I1335" s="219"/>
      <c r="J1335" s="219"/>
      <c r="O1335" s="219"/>
    </row>
    <row r="1336">
      <c r="A1336" s="216"/>
      <c r="B1336" s="217"/>
      <c r="F1336" s="218"/>
      <c r="G1336" s="218"/>
      <c r="H1336" s="219"/>
      <c r="I1336" s="219"/>
      <c r="J1336" s="219"/>
      <c r="O1336" s="219"/>
    </row>
    <row r="1337">
      <c r="A1337" s="216"/>
      <c r="B1337" s="217"/>
      <c r="F1337" s="218"/>
      <c r="G1337" s="218"/>
      <c r="H1337" s="219"/>
      <c r="I1337" s="219"/>
      <c r="J1337" s="219"/>
      <c r="O1337" s="219"/>
    </row>
    <row r="1338">
      <c r="A1338" s="216"/>
      <c r="B1338" s="217"/>
      <c r="F1338" s="218"/>
      <c r="G1338" s="218"/>
      <c r="H1338" s="219"/>
      <c r="I1338" s="219"/>
      <c r="J1338" s="219"/>
      <c r="O1338" s="219"/>
    </row>
    <row r="1339">
      <c r="A1339" s="216"/>
      <c r="B1339" s="217"/>
      <c r="F1339" s="218"/>
      <c r="G1339" s="218"/>
      <c r="H1339" s="219"/>
      <c r="I1339" s="219"/>
      <c r="J1339" s="219"/>
      <c r="O1339" s="219"/>
    </row>
    <row r="1340">
      <c r="A1340" s="216"/>
      <c r="B1340" s="217"/>
      <c r="F1340" s="218"/>
      <c r="G1340" s="218"/>
      <c r="H1340" s="219"/>
      <c r="I1340" s="219"/>
      <c r="J1340" s="219"/>
      <c r="O1340" s="219"/>
    </row>
    <row r="1341">
      <c r="A1341" s="216"/>
      <c r="B1341" s="217"/>
      <c r="F1341" s="218"/>
      <c r="G1341" s="218"/>
      <c r="H1341" s="219"/>
      <c r="I1341" s="219"/>
      <c r="J1341" s="219"/>
      <c r="O1341" s="219"/>
    </row>
    <row r="1342">
      <c r="A1342" s="216"/>
      <c r="B1342" s="217"/>
      <c r="F1342" s="218"/>
      <c r="G1342" s="218"/>
      <c r="H1342" s="219"/>
      <c r="I1342" s="219"/>
      <c r="J1342" s="219"/>
      <c r="O1342" s="219"/>
    </row>
    <row r="1343">
      <c r="A1343" s="216"/>
      <c r="B1343" s="217"/>
      <c r="F1343" s="218"/>
      <c r="G1343" s="218"/>
      <c r="H1343" s="219"/>
      <c r="I1343" s="219"/>
      <c r="J1343" s="219"/>
      <c r="O1343" s="219"/>
    </row>
    <row r="1344">
      <c r="A1344" s="216"/>
      <c r="B1344" s="217"/>
      <c r="F1344" s="218"/>
      <c r="G1344" s="218"/>
      <c r="H1344" s="219"/>
      <c r="I1344" s="219"/>
      <c r="J1344" s="219"/>
      <c r="O1344" s="219"/>
    </row>
    <row r="1345">
      <c r="A1345" s="216"/>
      <c r="B1345" s="217"/>
      <c r="F1345" s="218"/>
      <c r="G1345" s="218"/>
      <c r="H1345" s="219"/>
      <c r="I1345" s="219"/>
      <c r="J1345" s="219"/>
      <c r="O1345" s="219"/>
    </row>
    <row r="1346">
      <c r="A1346" s="216"/>
      <c r="B1346" s="217"/>
      <c r="F1346" s="218"/>
      <c r="G1346" s="218"/>
      <c r="H1346" s="219"/>
      <c r="I1346" s="219"/>
      <c r="J1346" s="219"/>
      <c r="O1346" s="219"/>
    </row>
    <row r="1347">
      <c r="A1347" s="216"/>
      <c r="B1347" s="217"/>
      <c r="F1347" s="218"/>
      <c r="G1347" s="218"/>
      <c r="H1347" s="219"/>
      <c r="I1347" s="219"/>
      <c r="J1347" s="219"/>
      <c r="O1347" s="219"/>
    </row>
    <row r="1348">
      <c r="A1348" s="216"/>
      <c r="B1348" s="217"/>
      <c r="F1348" s="218"/>
      <c r="G1348" s="218"/>
      <c r="H1348" s="219"/>
      <c r="I1348" s="219"/>
      <c r="J1348" s="219"/>
      <c r="O1348" s="219"/>
    </row>
    <row r="1349">
      <c r="A1349" s="216"/>
      <c r="B1349" s="217"/>
      <c r="F1349" s="218"/>
      <c r="G1349" s="218"/>
      <c r="H1349" s="219"/>
      <c r="I1349" s="219"/>
      <c r="J1349" s="219"/>
      <c r="O1349" s="219"/>
    </row>
    <row r="1350">
      <c r="A1350" s="216"/>
      <c r="B1350" s="217"/>
      <c r="F1350" s="218"/>
      <c r="G1350" s="218"/>
      <c r="H1350" s="219"/>
      <c r="I1350" s="219"/>
      <c r="J1350" s="219"/>
      <c r="O1350" s="219"/>
    </row>
    <row r="1351">
      <c r="A1351" s="216"/>
      <c r="B1351" s="217"/>
      <c r="F1351" s="218"/>
      <c r="G1351" s="218"/>
      <c r="H1351" s="219"/>
      <c r="I1351" s="219"/>
      <c r="J1351" s="219"/>
      <c r="O1351" s="219"/>
    </row>
    <row r="1352">
      <c r="A1352" s="216"/>
      <c r="B1352" s="217"/>
      <c r="F1352" s="218"/>
      <c r="G1352" s="218"/>
      <c r="H1352" s="219"/>
      <c r="I1352" s="219"/>
      <c r="J1352" s="219"/>
      <c r="O1352" s="219"/>
    </row>
    <row r="1353">
      <c r="A1353" s="216"/>
      <c r="B1353" s="217"/>
      <c r="F1353" s="218"/>
      <c r="G1353" s="218"/>
      <c r="H1353" s="219"/>
      <c r="I1353" s="219"/>
      <c r="J1353" s="219"/>
      <c r="O1353" s="219"/>
    </row>
    <row r="1354">
      <c r="A1354" s="216"/>
      <c r="B1354" s="217"/>
      <c r="F1354" s="218"/>
      <c r="G1354" s="218"/>
      <c r="H1354" s="219"/>
      <c r="I1354" s="219"/>
      <c r="J1354" s="219"/>
      <c r="O1354" s="219"/>
    </row>
    <row r="1355">
      <c r="A1355" s="216"/>
      <c r="B1355" s="217"/>
      <c r="F1355" s="218"/>
      <c r="G1355" s="218"/>
      <c r="H1355" s="219"/>
      <c r="I1355" s="219"/>
      <c r="J1355" s="219"/>
      <c r="O1355" s="219"/>
    </row>
    <row r="1356">
      <c r="A1356" s="216"/>
      <c r="B1356" s="217"/>
      <c r="F1356" s="218"/>
      <c r="G1356" s="218"/>
      <c r="H1356" s="219"/>
      <c r="I1356" s="219"/>
      <c r="J1356" s="219"/>
      <c r="O1356" s="219"/>
    </row>
    <row r="1357">
      <c r="A1357" s="216"/>
      <c r="B1357" s="217"/>
      <c r="F1357" s="218"/>
      <c r="G1357" s="218"/>
      <c r="H1357" s="219"/>
      <c r="I1357" s="219"/>
      <c r="J1357" s="219"/>
      <c r="O1357" s="219"/>
    </row>
    <row r="1358">
      <c r="A1358" s="216"/>
      <c r="B1358" s="217"/>
      <c r="F1358" s="218"/>
      <c r="G1358" s="218"/>
      <c r="H1358" s="219"/>
      <c r="I1358" s="219"/>
      <c r="J1358" s="219"/>
      <c r="O1358" s="219"/>
    </row>
    <row r="1359">
      <c r="A1359" s="216"/>
      <c r="B1359" s="217"/>
      <c r="F1359" s="218"/>
      <c r="G1359" s="218"/>
      <c r="H1359" s="219"/>
      <c r="I1359" s="219"/>
      <c r="J1359" s="219"/>
      <c r="O1359" s="219"/>
    </row>
    <row r="1360">
      <c r="A1360" s="216"/>
      <c r="B1360" s="217"/>
      <c r="F1360" s="218"/>
      <c r="G1360" s="218"/>
      <c r="H1360" s="219"/>
      <c r="I1360" s="219"/>
      <c r="J1360" s="219"/>
      <c r="O1360" s="219"/>
    </row>
    <row r="1361">
      <c r="A1361" s="216"/>
      <c r="B1361" s="217"/>
      <c r="F1361" s="218"/>
      <c r="G1361" s="218"/>
      <c r="H1361" s="219"/>
      <c r="I1361" s="219"/>
      <c r="J1361" s="219"/>
      <c r="O1361" s="219"/>
    </row>
    <row r="1362">
      <c r="A1362" s="216"/>
      <c r="B1362" s="217"/>
      <c r="F1362" s="218"/>
      <c r="G1362" s="218"/>
      <c r="H1362" s="219"/>
      <c r="I1362" s="219"/>
      <c r="J1362" s="219"/>
      <c r="O1362" s="219"/>
    </row>
    <row r="1363">
      <c r="A1363" s="216"/>
      <c r="B1363" s="217"/>
      <c r="F1363" s="218"/>
      <c r="G1363" s="218"/>
      <c r="H1363" s="219"/>
      <c r="I1363" s="219"/>
      <c r="J1363" s="219"/>
      <c r="O1363" s="219"/>
    </row>
    <row r="1364">
      <c r="A1364" s="216"/>
      <c r="B1364" s="217"/>
      <c r="F1364" s="218"/>
      <c r="G1364" s="218"/>
      <c r="H1364" s="219"/>
      <c r="I1364" s="219"/>
      <c r="J1364" s="219"/>
      <c r="O1364" s="219"/>
    </row>
    <row r="1365">
      <c r="A1365" s="216"/>
      <c r="B1365" s="217"/>
      <c r="F1365" s="218"/>
      <c r="G1365" s="218"/>
      <c r="H1365" s="219"/>
      <c r="I1365" s="219"/>
      <c r="J1365" s="219"/>
      <c r="O1365" s="219"/>
    </row>
    <row r="1366">
      <c r="A1366" s="216"/>
      <c r="B1366" s="217"/>
      <c r="F1366" s="218"/>
      <c r="G1366" s="218"/>
      <c r="H1366" s="219"/>
      <c r="I1366" s="219"/>
      <c r="J1366" s="219"/>
      <c r="O1366" s="219"/>
    </row>
    <row r="1367">
      <c r="A1367" s="216"/>
      <c r="B1367" s="217"/>
      <c r="F1367" s="218"/>
      <c r="G1367" s="218"/>
      <c r="H1367" s="219"/>
      <c r="I1367" s="219"/>
      <c r="J1367" s="219"/>
      <c r="O1367" s="219"/>
    </row>
    <row r="1368">
      <c r="A1368" s="216"/>
      <c r="B1368" s="217"/>
      <c r="F1368" s="218"/>
      <c r="G1368" s="218"/>
      <c r="H1368" s="219"/>
      <c r="I1368" s="219"/>
      <c r="J1368" s="219"/>
      <c r="O1368" s="219"/>
    </row>
    <row r="1369">
      <c r="A1369" s="216"/>
      <c r="B1369" s="217"/>
      <c r="F1369" s="218"/>
      <c r="G1369" s="218"/>
      <c r="H1369" s="219"/>
      <c r="I1369" s="219"/>
      <c r="J1369" s="219"/>
      <c r="O1369" s="219"/>
    </row>
    <row r="1370">
      <c r="A1370" s="216"/>
      <c r="B1370" s="217"/>
      <c r="F1370" s="218"/>
      <c r="G1370" s="218"/>
      <c r="H1370" s="219"/>
      <c r="I1370" s="219"/>
      <c r="J1370" s="219"/>
      <c r="O1370" s="219"/>
    </row>
    <row r="1371">
      <c r="A1371" s="216"/>
      <c r="B1371" s="217"/>
      <c r="F1371" s="218"/>
      <c r="G1371" s="218"/>
      <c r="H1371" s="219"/>
      <c r="I1371" s="219"/>
      <c r="J1371" s="219"/>
      <c r="O1371" s="219"/>
    </row>
    <row r="1372">
      <c r="A1372" s="216"/>
      <c r="B1372" s="217"/>
      <c r="F1372" s="218"/>
      <c r="G1372" s="218"/>
      <c r="H1372" s="219"/>
      <c r="I1372" s="219"/>
      <c r="J1372" s="219"/>
      <c r="O1372" s="219"/>
    </row>
    <row r="1373">
      <c r="A1373" s="216"/>
      <c r="B1373" s="217"/>
      <c r="F1373" s="218"/>
      <c r="G1373" s="218"/>
      <c r="H1373" s="219"/>
      <c r="I1373" s="219"/>
      <c r="J1373" s="219"/>
      <c r="O1373" s="219"/>
    </row>
    <row r="1374">
      <c r="A1374" s="216"/>
      <c r="B1374" s="217"/>
      <c r="F1374" s="218"/>
      <c r="G1374" s="218"/>
      <c r="H1374" s="219"/>
      <c r="I1374" s="219"/>
      <c r="J1374" s="219"/>
      <c r="O1374" s="219"/>
    </row>
    <row r="1375">
      <c r="A1375" s="216"/>
      <c r="B1375" s="217"/>
      <c r="F1375" s="218"/>
      <c r="G1375" s="218"/>
      <c r="H1375" s="219"/>
      <c r="I1375" s="219"/>
      <c r="J1375" s="219"/>
      <c r="O1375" s="219"/>
    </row>
    <row r="1376">
      <c r="A1376" s="216"/>
      <c r="B1376" s="217"/>
      <c r="F1376" s="218"/>
      <c r="G1376" s="218"/>
      <c r="H1376" s="219"/>
      <c r="I1376" s="219"/>
      <c r="J1376" s="219"/>
      <c r="O1376" s="219"/>
    </row>
    <row r="1377">
      <c r="A1377" s="216"/>
      <c r="B1377" s="217"/>
      <c r="F1377" s="218"/>
      <c r="G1377" s="218"/>
      <c r="H1377" s="219"/>
      <c r="I1377" s="219"/>
      <c r="J1377" s="219"/>
      <c r="O1377" s="219"/>
    </row>
    <row r="1378">
      <c r="A1378" s="216"/>
      <c r="B1378" s="217"/>
      <c r="F1378" s="218"/>
      <c r="G1378" s="218"/>
      <c r="H1378" s="219"/>
      <c r="I1378" s="219"/>
      <c r="J1378" s="219"/>
      <c r="O1378" s="219"/>
    </row>
    <row r="1379">
      <c r="A1379" s="216"/>
      <c r="B1379" s="217"/>
      <c r="F1379" s="218"/>
      <c r="G1379" s="218"/>
      <c r="H1379" s="219"/>
      <c r="I1379" s="219"/>
      <c r="J1379" s="219"/>
      <c r="O1379" s="219"/>
    </row>
    <row r="1380">
      <c r="A1380" s="216"/>
      <c r="B1380" s="217"/>
      <c r="F1380" s="218"/>
      <c r="G1380" s="218"/>
      <c r="H1380" s="219"/>
      <c r="I1380" s="219"/>
      <c r="J1380" s="219"/>
      <c r="O1380" s="219"/>
    </row>
    <row r="1381">
      <c r="A1381" s="216"/>
      <c r="B1381" s="217"/>
      <c r="F1381" s="218"/>
      <c r="G1381" s="218"/>
      <c r="H1381" s="219"/>
      <c r="I1381" s="219"/>
      <c r="J1381" s="219"/>
      <c r="O1381" s="219"/>
    </row>
    <row r="1382">
      <c r="A1382" s="216"/>
      <c r="B1382" s="217"/>
      <c r="F1382" s="218"/>
      <c r="G1382" s="218"/>
      <c r="H1382" s="219"/>
      <c r="I1382" s="219"/>
      <c r="J1382" s="219"/>
      <c r="O1382" s="219"/>
    </row>
    <row r="1383">
      <c r="A1383" s="216"/>
      <c r="B1383" s="217"/>
      <c r="F1383" s="218"/>
      <c r="G1383" s="218"/>
      <c r="H1383" s="219"/>
      <c r="I1383" s="219"/>
      <c r="J1383" s="219"/>
      <c r="O1383" s="219"/>
    </row>
    <row r="1384">
      <c r="A1384" s="216"/>
      <c r="B1384" s="217"/>
      <c r="F1384" s="218"/>
      <c r="G1384" s="218"/>
      <c r="H1384" s="219"/>
      <c r="I1384" s="219"/>
      <c r="J1384" s="219"/>
      <c r="O1384" s="219"/>
    </row>
    <row r="1385">
      <c r="A1385" s="216"/>
      <c r="B1385" s="217"/>
      <c r="F1385" s="218"/>
      <c r="G1385" s="218"/>
      <c r="H1385" s="219"/>
      <c r="I1385" s="219"/>
      <c r="J1385" s="219"/>
      <c r="O1385" s="219"/>
    </row>
    <row r="1386">
      <c r="A1386" s="216"/>
      <c r="B1386" s="217"/>
      <c r="F1386" s="218"/>
      <c r="G1386" s="218"/>
      <c r="H1386" s="219"/>
      <c r="I1386" s="219"/>
      <c r="J1386" s="219"/>
      <c r="O1386" s="219"/>
    </row>
    <row r="1387">
      <c r="A1387" s="216"/>
      <c r="B1387" s="217"/>
      <c r="F1387" s="218"/>
      <c r="G1387" s="218"/>
      <c r="H1387" s="219"/>
      <c r="I1387" s="219"/>
      <c r="J1387" s="219"/>
      <c r="O1387" s="219"/>
    </row>
    <row r="1388">
      <c r="A1388" s="216"/>
      <c r="B1388" s="217"/>
      <c r="F1388" s="218"/>
      <c r="G1388" s="218"/>
      <c r="H1388" s="219"/>
      <c r="I1388" s="219"/>
      <c r="J1388" s="219"/>
      <c r="O1388" s="219"/>
    </row>
    <row r="1389">
      <c r="A1389" s="216"/>
      <c r="B1389" s="217"/>
      <c r="F1389" s="218"/>
      <c r="G1389" s="218"/>
      <c r="H1389" s="219"/>
      <c r="I1389" s="219"/>
      <c r="J1389" s="219"/>
      <c r="O1389" s="219"/>
    </row>
    <row r="1390">
      <c r="A1390" s="216"/>
      <c r="B1390" s="217"/>
      <c r="F1390" s="218"/>
      <c r="G1390" s="218"/>
      <c r="H1390" s="219"/>
      <c r="I1390" s="219"/>
      <c r="J1390" s="219"/>
      <c r="O1390" s="219"/>
    </row>
    <row r="1391">
      <c r="A1391" s="216"/>
      <c r="B1391" s="217"/>
      <c r="F1391" s="218"/>
      <c r="G1391" s="218"/>
      <c r="H1391" s="219"/>
      <c r="I1391" s="219"/>
      <c r="J1391" s="219"/>
      <c r="O1391" s="219"/>
    </row>
    <row r="1392">
      <c r="A1392" s="216"/>
      <c r="B1392" s="217"/>
      <c r="F1392" s="218"/>
      <c r="G1392" s="218"/>
      <c r="H1392" s="219"/>
      <c r="I1392" s="219"/>
      <c r="J1392" s="219"/>
      <c r="O1392" s="219"/>
    </row>
    <row r="1393">
      <c r="A1393" s="216"/>
      <c r="B1393" s="217"/>
      <c r="F1393" s="218"/>
      <c r="G1393" s="218"/>
      <c r="H1393" s="219"/>
      <c r="I1393" s="219"/>
      <c r="J1393" s="219"/>
      <c r="O1393" s="219"/>
    </row>
    <row r="1394">
      <c r="A1394" s="216"/>
      <c r="B1394" s="217"/>
      <c r="F1394" s="218"/>
      <c r="G1394" s="218"/>
      <c r="H1394" s="219"/>
      <c r="I1394" s="219"/>
      <c r="J1394" s="219"/>
      <c r="O1394" s="219"/>
    </row>
    <row r="1395">
      <c r="A1395" s="216"/>
      <c r="B1395" s="217"/>
      <c r="F1395" s="218"/>
      <c r="G1395" s="218"/>
      <c r="H1395" s="219"/>
      <c r="I1395" s="219"/>
      <c r="J1395" s="219"/>
      <c r="O1395" s="219"/>
    </row>
    <row r="1396">
      <c r="A1396" s="216"/>
      <c r="B1396" s="217"/>
      <c r="F1396" s="218"/>
      <c r="G1396" s="218"/>
      <c r="H1396" s="219"/>
      <c r="I1396" s="219"/>
      <c r="J1396" s="219"/>
      <c r="O1396" s="219"/>
    </row>
    <row r="1397">
      <c r="A1397" s="216"/>
      <c r="B1397" s="217"/>
      <c r="F1397" s="218"/>
      <c r="G1397" s="218"/>
      <c r="H1397" s="219"/>
      <c r="I1397" s="219"/>
      <c r="J1397" s="219"/>
      <c r="O1397" s="219"/>
    </row>
    <row r="1398">
      <c r="A1398" s="216"/>
      <c r="B1398" s="217"/>
      <c r="F1398" s="218"/>
      <c r="G1398" s="218"/>
      <c r="H1398" s="219"/>
      <c r="I1398" s="219"/>
      <c r="J1398" s="219"/>
      <c r="O1398" s="219"/>
    </row>
    <row r="1399">
      <c r="A1399" s="216"/>
      <c r="B1399" s="217"/>
      <c r="F1399" s="218"/>
      <c r="G1399" s="218"/>
      <c r="H1399" s="219"/>
      <c r="I1399" s="219"/>
      <c r="J1399" s="219"/>
      <c r="O1399" s="219"/>
    </row>
    <row r="1400">
      <c r="A1400" s="216"/>
      <c r="B1400" s="217"/>
      <c r="F1400" s="218"/>
      <c r="G1400" s="218"/>
      <c r="H1400" s="219"/>
      <c r="I1400" s="219"/>
      <c r="J1400" s="219"/>
      <c r="O1400" s="219"/>
    </row>
    <row r="1401">
      <c r="A1401" s="216"/>
      <c r="B1401" s="217"/>
      <c r="F1401" s="218"/>
      <c r="G1401" s="218"/>
      <c r="H1401" s="219"/>
      <c r="I1401" s="219"/>
      <c r="J1401" s="219"/>
      <c r="O1401" s="219"/>
    </row>
    <row r="1402">
      <c r="A1402" s="216"/>
      <c r="B1402" s="217"/>
      <c r="F1402" s="218"/>
      <c r="G1402" s="218"/>
      <c r="H1402" s="219"/>
      <c r="I1402" s="219"/>
      <c r="J1402" s="219"/>
      <c r="O1402" s="219"/>
    </row>
    <row r="1403">
      <c r="A1403" s="216"/>
      <c r="B1403" s="217"/>
      <c r="F1403" s="218"/>
      <c r="G1403" s="218"/>
      <c r="H1403" s="219"/>
      <c r="I1403" s="219"/>
      <c r="J1403" s="219"/>
      <c r="O1403" s="219"/>
    </row>
    <row r="1404">
      <c r="A1404" s="216"/>
      <c r="B1404" s="217"/>
      <c r="F1404" s="218"/>
      <c r="G1404" s="218"/>
      <c r="H1404" s="219"/>
      <c r="I1404" s="219"/>
      <c r="J1404" s="219"/>
      <c r="O1404" s="219"/>
    </row>
    <row r="1405">
      <c r="A1405" s="216"/>
      <c r="B1405" s="217"/>
      <c r="F1405" s="218"/>
      <c r="G1405" s="218"/>
      <c r="H1405" s="219"/>
      <c r="I1405" s="219"/>
      <c r="J1405" s="219"/>
      <c r="O1405" s="219"/>
    </row>
    <row r="1406">
      <c r="A1406" s="216"/>
      <c r="B1406" s="217"/>
      <c r="F1406" s="218"/>
      <c r="G1406" s="218"/>
      <c r="H1406" s="219"/>
      <c r="I1406" s="219"/>
      <c r="J1406" s="219"/>
      <c r="O1406" s="219"/>
    </row>
    <row r="1407">
      <c r="A1407" s="216"/>
      <c r="B1407" s="217"/>
      <c r="F1407" s="218"/>
      <c r="G1407" s="218"/>
      <c r="H1407" s="219"/>
      <c r="I1407" s="219"/>
      <c r="J1407" s="219"/>
      <c r="O1407" s="219"/>
    </row>
    <row r="1408">
      <c r="A1408" s="216"/>
      <c r="B1408" s="217"/>
      <c r="F1408" s="218"/>
      <c r="G1408" s="218"/>
      <c r="H1408" s="219"/>
      <c r="I1408" s="219"/>
      <c r="J1408" s="219"/>
      <c r="O1408" s="219"/>
    </row>
    <row r="1409">
      <c r="A1409" s="216"/>
      <c r="B1409" s="217"/>
      <c r="F1409" s="218"/>
      <c r="G1409" s="218"/>
      <c r="H1409" s="219"/>
      <c r="I1409" s="219"/>
      <c r="J1409" s="219"/>
      <c r="O1409" s="219"/>
    </row>
    <row r="1410">
      <c r="A1410" s="216"/>
      <c r="B1410" s="217"/>
      <c r="F1410" s="218"/>
      <c r="G1410" s="218"/>
      <c r="H1410" s="219"/>
      <c r="I1410" s="219"/>
      <c r="J1410" s="219"/>
      <c r="O1410" s="219"/>
    </row>
    <row r="1411">
      <c r="A1411" s="216"/>
      <c r="B1411" s="217"/>
      <c r="F1411" s="218"/>
      <c r="G1411" s="218"/>
      <c r="H1411" s="219"/>
      <c r="I1411" s="219"/>
      <c r="J1411" s="219"/>
      <c r="O1411" s="219"/>
    </row>
    <row r="1412">
      <c r="A1412" s="216"/>
      <c r="B1412" s="217"/>
      <c r="F1412" s="218"/>
      <c r="G1412" s="218"/>
      <c r="H1412" s="219"/>
      <c r="I1412" s="219"/>
      <c r="J1412" s="219"/>
      <c r="O1412" s="219"/>
    </row>
    <row r="1413">
      <c r="A1413" s="216"/>
      <c r="B1413" s="217"/>
      <c r="F1413" s="218"/>
      <c r="G1413" s="218"/>
      <c r="H1413" s="219"/>
      <c r="I1413" s="219"/>
      <c r="J1413" s="219"/>
      <c r="O1413" s="219"/>
    </row>
    <row r="1414">
      <c r="A1414" s="216"/>
      <c r="B1414" s="217"/>
      <c r="F1414" s="218"/>
      <c r="G1414" s="218"/>
      <c r="H1414" s="219"/>
      <c r="I1414" s="219"/>
      <c r="J1414" s="219"/>
      <c r="O1414" s="219"/>
    </row>
    <row r="1415">
      <c r="A1415" s="216"/>
      <c r="B1415" s="217"/>
      <c r="F1415" s="218"/>
      <c r="G1415" s="218"/>
      <c r="H1415" s="219"/>
      <c r="I1415" s="219"/>
      <c r="J1415" s="219"/>
      <c r="O1415" s="219"/>
    </row>
    <row r="1416">
      <c r="A1416" s="216"/>
      <c r="B1416" s="217"/>
      <c r="F1416" s="218"/>
      <c r="G1416" s="218"/>
      <c r="H1416" s="219"/>
      <c r="I1416" s="219"/>
      <c r="J1416" s="219"/>
      <c r="O1416" s="219"/>
    </row>
    <row r="1417">
      <c r="A1417" s="216"/>
      <c r="B1417" s="217"/>
      <c r="F1417" s="218"/>
      <c r="G1417" s="218"/>
      <c r="H1417" s="219"/>
      <c r="I1417" s="219"/>
      <c r="J1417" s="219"/>
      <c r="O1417" s="219"/>
    </row>
    <row r="1418">
      <c r="A1418" s="216"/>
      <c r="B1418" s="217"/>
      <c r="F1418" s="218"/>
      <c r="G1418" s="218"/>
      <c r="H1418" s="219"/>
      <c r="I1418" s="219"/>
      <c r="J1418" s="219"/>
      <c r="O1418" s="219"/>
    </row>
    <row r="1419">
      <c r="A1419" s="216"/>
      <c r="B1419" s="217"/>
      <c r="F1419" s="218"/>
      <c r="G1419" s="218"/>
      <c r="H1419" s="219"/>
      <c r="I1419" s="219"/>
      <c r="J1419" s="219"/>
      <c r="O1419" s="219"/>
    </row>
    <row r="1420">
      <c r="A1420" s="216"/>
      <c r="B1420" s="217"/>
      <c r="F1420" s="218"/>
      <c r="G1420" s="218"/>
      <c r="H1420" s="219"/>
      <c r="I1420" s="219"/>
      <c r="J1420" s="219"/>
      <c r="O1420" s="219"/>
    </row>
    <row r="1421">
      <c r="A1421" s="216"/>
      <c r="B1421" s="217"/>
      <c r="F1421" s="218"/>
      <c r="G1421" s="218"/>
      <c r="H1421" s="219"/>
      <c r="I1421" s="219"/>
      <c r="J1421" s="219"/>
      <c r="O1421" s="219"/>
    </row>
    <row r="1422">
      <c r="A1422" s="216"/>
      <c r="B1422" s="217"/>
      <c r="F1422" s="218"/>
      <c r="G1422" s="218"/>
      <c r="H1422" s="219"/>
      <c r="I1422" s="219"/>
      <c r="J1422" s="219"/>
      <c r="O1422" s="219"/>
    </row>
    <row r="1423">
      <c r="A1423" s="216"/>
      <c r="B1423" s="217"/>
      <c r="F1423" s="218"/>
      <c r="G1423" s="218"/>
      <c r="H1423" s="219"/>
      <c r="I1423" s="219"/>
      <c r="J1423" s="219"/>
      <c r="O1423" s="219"/>
    </row>
    <row r="1424">
      <c r="A1424" s="216"/>
      <c r="B1424" s="217"/>
      <c r="F1424" s="218"/>
      <c r="G1424" s="218"/>
      <c r="H1424" s="219"/>
      <c r="I1424" s="219"/>
      <c r="J1424" s="219"/>
      <c r="O1424" s="219"/>
    </row>
    <row r="1425">
      <c r="A1425" s="216"/>
      <c r="B1425" s="217"/>
      <c r="F1425" s="218"/>
      <c r="G1425" s="218"/>
      <c r="H1425" s="219"/>
      <c r="I1425" s="219"/>
      <c r="J1425" s="219"/>
      <c r="O1425" s="219"/>
    </row>
    <row r="1426">
      <c r="A1426" s="216"/>
      <c r="B1426" s="217"/>
      <c r="F1426" s="218"/>
      <c r="G1426" s="218"/>
      <c r="H1426" s="219"/>
      <c r="I1426" s="219"/>
      <c r="J1426" s="219"/>
      <c r="O1426" s="219"/>
    </row>
    <row r="1427">
      <c r="A1427" s="216"/>
      <c r="B1427" s="217"/>
      <c r="F1427" s="218"/>
      <c r="G1427" s="218"/>
      <c r="H1427" s="219"/>
      <c r="I1427" s="219"/>
      <c r="J1427" s="219"/>
      <c r="O1427" s="219"/>
    </row>
    <row r="1428">
      <c r="A1428" s="216"/>
      <c r="B1428" s="217"/>
      <c r="F1428" s="218"/>
      <c r="G1428" s="218"/>
      <c r="H1428" s="219"/>
      <c r="I1428" s="219"/>
      <c r="J1428" s="219"/>
      <c r="O1428" s="219"/>
    </row>
    <row r="1429">
      <c r="A1429" s="216"/>
      <c r="B1429" s="217"/>
      <c r="F1429" s="218"/>
      <c r="G1429" s="218"/>
      <c r="H1429" s="219"/>
      <c r="I1429" s="219"/>
      <c r="J1429" s="219"/>
      <c r="O1429" s="219"/>
    </row>
    <row r="1430">
      <c r="A1430" s="216"/>
      <c r="B1430" s="217"/>
      <c r="F1430" s="218"/>
      <c r="G1430" s="218"/>
      <c r="H1430" s="219"/>
      <c r="I1430" s="219"/>
      <c r="J1430" s="219"/>
      <c r="O1430" s="219"/>
    </row>
    <row r="1431">
      <c r="A1431" s="216"/>
      <c r="B1431" s="217"/>
      <c r="F1431" s="218"/>
      <c r="G1431" s="218"/>
      <c r="H1431" s="219"/>
      <c r="I1431" s="219"/>
      <c r="J1431" s="219"/>
      <c r="O1431" s="219"/>
    </row>
    <row r="1432">
      <c r="A1432" s="216"/>
      <c r="B1432" s="217"/>
      <c r="F1432" s="218"/>
      <c r="G1432" s="218"/>
      <c r="H1432" s="219"/>
      <c r="I1432" s="219"/>
      <c r="J1432" s="219"/>
      <c r="O1432" s="219"/>
    </row>
    <row r="1433">
      <c r="A1433" s="216"/>
      <c r="B1433" s="217"/>
      <c r="F1433" s="218"/>
      <c r="G1433" s="218"/>
      <c r="H1433" s="219"/>
      <c r="I1433" s="219"/>
      <c r="J1433" s="219"/>
      <c r="O1433" s="219"/>
    </row>
    <row r="1434">
      <c r="A1434" s="216"/>
      <c r="B1434" s="217"/>
      <c r="F1434" s="218"/>
      <c r="G1434" s="218"/>
      <c r="H1434" s="219"/>
      <c r="I1434" s="219"/>
      <c r="J1434" s="219"/>
      <c r="O1434" s="219"/>
    </row>
    <row r="1435">
      <c r="A1435" s="216"/>
      <c r="B1435" s="217"/>
      <c r="F1435" s="218"/>
      <c r="G1435" s="218"/>
      <c r="H1435" s="219"/>
      <c r="I1435" s="219"/>
      <c r="J1435" s="219"/>
      <c r="O1435" s="219"/>
    </row>
    <row r="1436">
      <c r="A1436" s="216"/>
      <c r="B1436" s="217"/>
      <c r="F1436" s="218"/>
      <c r="G1436" s="218"/>
      <c r="H1436" s="219"/>
      <c r="I1436" s="219"/>
      <c r="J1436" s="219"/>
      <c r="O1436" s="219"/>
    </row>
    <row r="1437">
      <c r="A1437" s="216"/>
      <c r="B1437" s="217"/>
      <c r="F1437" s="218"/>
      <c r="G1437" s="218"/>
      <c r="H1437" s="219"/>
      <c r="I1437" s="219"/>
      <c r="J1437" s="219"/>
      <c r="O1437" s="219"/>
    </row>
    <row r="1438">
      <c r="A1438" s="216"/>
      <c r="B1438" s="217"/>
      <c r="F1438" s="218"/>
      <c r="G1438" s="218"/>
      <c r="H1438" s="219"/>
      <c r="I1438" s="219"/>
      <c r="J1438" s="219"/>
      <c r="O1438" s="219"/>
    </row>
    <row r="1439">
      <c r="A1439" s="216"/>
      <c r="B1439" s="217"/>
      <c r="F1439" s="218"/>
      <c r="G1439" s="218"/>
      <c r="H1439" s="219"/>
      <c r="I1439" s="219"/>
      <c r="J1439" s="219"/>
      <c r="O1439" s="219"/>
    </row>
    <row r="1440">
      <c r="A1440" s="216"/>
      <c r="B1440" s="217"/>
      <c r="F1440" s="218"/>
      <c r="G1440" s="218"/>
      <c r="H1440" s="219"/>
      <c r="I1440" s="219"/>
      <c r="J1440" s="219"/>
      <c r="O1440" s="219"/>
    </row>
    <row r="1441">
      <c r="A1441" s="216"/>
      <c r="B1441" s="217"/>
      <c r="F1441" s="218"/>
      <c r="G1441" s="218"/>
      <c r="H1441" s="219"/>
      <c r="I1441" s="219"/>
      <c r="J1441" s="219"/>
      <c r="O1441" s="219"/>
    </row>
    <row r="1442">
      <c r="A1442" s="216"/>
      <c r="B1442" s="217"/>
      <c r="F1442" s="218"/>
      <c r="G1442" s="218"/>
      <c r="H1442" s="219"/>
      <c r="I1442" s="219"/>
      <c r="J1442" s="219"/>
      <c r="O1442" s="219"/>
    </row>
    <row r="1443">
      <c r="A1443" s="216"/>
      <c r="B1443" s="217"/>
      <c r="F1443" s="218"/>
      <c r="G1443" s="218"/>
      <c r="H1443" s="219"/>
      <c r="I1443" s="219"/>
      <c r="J1443" s="219"/>
      <c r="O1443" s="219"/>
    </row>
    <row r="1444">
      <c r="A1444" s="216"/>
      <c r="B1444" s="217"/>
      <c r="F1444" s="218"/>
      <c r="G1444" s="218"/>
      <c r="H1444" s="219"/>
      <c r="I1444" s="219"/>
      <c r="J1444" s="219"/>
      <c r="O1444" s="219"/>
    </row>
    <row r="1445">
      <c r="A1445" s="216"/>
      <c r="B1445" s="217"/>
      <c r="F1445" s="218"/>
      <c r="G1445" s="218"/>
      <c r="H1445" s="219"/>
      <c r="I1445" s="219"/>
      <c r="J1445" s="219"/>
      <c r="O1445" s="219"/>
    </row>
    <row r="1446">
      <c r="A1446" s="216"/>
      <c r="B1446" s="217"/>
      <c r="F1446" s="218"/>
      <c r="G1446" s="218"/>
      <c r="H1446" s="219"/>
      <c r="I1446" s="219"/>
      <c r="J1446" s="219"/>
      <c r="O1446" s="219"/>
    </row>
    <row r="1447">
      <c r="A1447" s="216"/>
      <c r="B1447" s="217"/>
      <c r="F1447" s="218"/>
      <c r="G1447" s="218"/>
      <c r="H1447" s="219"/>
      <c r="I1447" s="219"/>
      <c r="J1447" s="219"/>
      <c r="O1447" s="219"/>
    </row>
    <row r="1448">
      <c r="A1448" s="216"/>
      <c r="B1448" s="217"/>
      <c r="F1448" s="218"/>
      <c r="G1448" s="218"/>
      <c r="H1448" s="219"/>
      <c r="I1448" s="219"/>
      <c r="J1448" s="219"/>
      <c r="O1448" s="219"/>
    </row>
    <row r="1449">
      <c r="A1449" s="216"/>
      <c r="B1449" s="217"/>
      <c r="F1449" s="218"/>
      <c r="G1449" s="218"/>
      <c r="H1449" s="219"/>
      <c r="I1449" s="219"/>
      <c r="J1449" s="219"/>
      <c r="O1449" s="219"/>
    </row>
    <row r="1450">
      <c r="A1450" s="216"/>
      <c r="B1450" s="217"/>
      <c r="F1450" s="218"/>
      <c r="G1450" s="218"/>
      <c r="H1450" s="219"/>
      <c r="I1450" s="219"/>
      <c r="J1450" s="219"/>
      <c r="O1450" s="219"/>
    </row>
    <row r="1451">
      <c r="A1451" s="216"/>
      <c r="B1451" s="217"/>
      <c r="F1451" s="218"/>
      <c r="G1451" s="218"/>
      <c r="H1451" s="219"/>
      <c r="I1451" s="219"/>
      <c r="J1451" s="219"/>
      <c r="O1451" s="219"/>
    </row>
    <row r="1452">
      <c r="A1452" s="216"/>
      <c r="B1452" s="217"/>
      <c r="F1452" s="218"/>
      <c r="G1452" s="218"/>
      <c r="H1452" s="219"/>
      <c r="I1452" s="219"/>
      <c r="J1452" s="219"/>
      <c r="O1452" s="219"/>
    </row>
    <row r="1453">
      <c r="A1453" s="216"/>
      <c r="B1453" s="217"/>
      <c r="F1453" s="218"/>
      <c r="G1453" s="218"/>
      <c r="H1453" s="219"/>
      <c r="I1453" s="219"/>
      <c r="J1453" s="219"/>
      <c r="O1453" s="219"/>
    </row>
    <row r="1454">
      <c r="A1454" s="216"/>
      <c r="B1454" s="217"/>
      <c r="F1454" s="218"/>
      <c r="G1454" s="218"/>
      <c r="H1454" s="219"/>
      <c r="I1454" s="219"/>
      <c r="J1454" s="219"/>
      <c r="O1454" s="219"/>
    </row>
    <row r="1455">
      <c r="A1455" s="216"/>
      <c r="B1455" s="217"/>
      <c r="F1455" s="218"/>
      <c r="G1455" s="218"/>
      <c r="H1455" s="219"/>
      <c r="I1455" s="219"/>
      <c r="J1455" s="219"/>
      <c r="O1455" s="219"/>
    </row>
    <row r="1456">
      <c r="A1456" s="216"/>
      <c r="B1456" s="217"/>
      <c r="F1456" s="218"/>
      <c r="G1456" s="218"/>
      <c r="H1456" s="219"/>
      <c r="I1456" s="219"/>
      <c r="J1456" s="219"/>
      <c r="O1456" s="219"/>
    </row>
    <row r="1457">
      <c r="A1457" s="216"/>
      <c r="B1457" s="217"/>
      <c r="F1457" s="218"/>
      <c r="G1457" s="218"/>
      <c r="H1457" s="219"/>
      <c r="I1457" s="219"/>
      <c r="J1457" s="219"/>
      <c r="O1457" s="219"/>
    </row>
    <row r="1458">
      <c r="A1458" s="216"/>
      <c r="B1458" s="217"/>
      <c r="F1458" s="218"/>
      <c r="G1458" s="218"/>
      <c r="H1458" s="219"/>
      <c r="I1458" s="219"/>
      <c r="J1458" s="219"/>
      <c r="O1458" s="219"/>
    </row>
    <row r="1459">
      <c r="A1459" s="216"/>
      <c r="B1459" s="217"/>
      <c r="F1459" s="218"/>
      <c r="G1459" s="218"/>
      <c r="H1459" s="219"/>
      <c r="I1459" s="219"/>
      <c r="J1459" s="219"/>
      <c r="O1459" s="219"/>
    </row>
    <row r="1460">
      <c r="A1460" s="216"/>
      <c r="B1460" s="217"/>
      <c r="F1460" s="218"/>
      <c r="G1460" s="218"/>
      <c r="H1460" s="219"/>
      <c r="I1460" s="219"/>
      <c r="J1460" s="219"/>
      <c r="O1460" s="219"/>
    </row>
    <row r="1461">
      <c r="A1461" s="216"/>
      <c r="B1461" s="217"/>
      <c r="F1461" s="218"/>
      <c r="G1461" s="218"/>
      <c r="H1461" s="219"/>
      <c r="I1461" s="219"/>
      <c r="J1461" s="219"/>
      <c r="O1461" s="219"/>
    </row>
    <row r="1462">
      <c r="A1462" s="216"/>
      <c r="B1462" s="217"/>
      <c r="F1462" s="218"/>
      <c r="G1462" s="218"/>
      <c r="H1462" s="219"/>
      <c r="I1462" s="219"/>
      <c r="J1462" s="219"/>
      <c r="O1462" s="219"/>
    </row>
    <row r="1463">
      <c r="A1463" s="216"/>
      <c r="B1463" s="217"/>
      <c r="F1463" s="218"/>
      <c r="G1463" s="218"/>
      <c r="H1463" s="219"/>
      <c r="I1463" s="219"/>
      <c r="J1463" s="219"/>
      <c r="O1463" s="219"/>
    </row>
    <row r="1464">
      <c r="A1464" s="216"/>
      <c r="B1464" s="217"/>
      <c r="F1464" s="218"/>
      <c r="G1464" s="218"/>
      <c r="H1464" s="219"/>
      <c r="I1464" s="219"/>
      <c r="J1464" s="219"/>
      <c r="O1464" s="219"/>
    </row>
    <row r="1465">
      <c r="A1465" s="216"/>
      <c r="B1465" s="217"/>
      <c r="F1465" s="218"/>
      <c r="G1465" s="218"/>
      <c r="H1465" s="219"/>
      <c r="I1465" s="219"/>
      <c r="J1465" s="219"/>
      <c r="O1465" s="219"/>
    </row>
    <row r="1466">
      <c r="A1466" s="216"/>
      <c r="B1466" s="217"/>
      <c r="F1466" s="218"/>
      <c r="G1466" s="218"/>
      <c r="H1466" s="219"/>
      <c r="I1466" s="219"/>
      <c r="J1466" s="219"/>
      <c r="O1466" s="219"/>
    </row>
    <row r="1467">
      <c r="A1467" s="216"/>
      <c r="B1467" s="217"/>
      <c r="F1467" s="218"/>
      <c r="G1467" s="218"/>
      <c r="H1467" s="219"/>
      <c r="I1467" s="219"/>
      <c r="J1467" s="219"/>
      <c r="O1467" s="219"/>
    </row>
    <row r="1468">
      <c r="A1468" s="216"/>
      <c r="B1468" s="217"/>
      <c r="F1468" s="218"/>
      <c r="G1468" s="218"/>
      <c r="H1468" s="219"/>
      <c r="I1468" s="219"/>
      <c r="J1468" s="219"/>
      <c r="O1468" s="219"/>
    </row>
    <row r="1469">
      <c r="A1469" s="216"/>
      <c r="B1469" s="217"/>
      <c r="F1469" s="218"/>
      <c r="G1469" s="218"/>
      <c r="H1469" s="219"/>
      <c r="I1469" s="219"/>
      <c r="J1469" s="219"/>
      <c r="O1469" s="219"/>
    </row>
    <row r="1470">
      <c r="A1470" s="216"/>
      <c r="B1470" s="217"/>
      <c r="F1470" s="218"/>
      <c r="G1470" s="218"/>
      <c r="H1470" s="219"/>
      <c r="I1470" s="219"/>
      <c r="J1470" s="219"/>
      <c r="O1470" s="219"/>
    </row>
    <row r="1471">
      <c r="A1471" s="216"/>
      <c r="B1471" s="217"/>
      <c r="F1471" s="218"/>
      <c r="G1471" s="218"/>
      <c r="H1471" s="219"/>
      <c r="I1471" s="219"/>
      <c r="J1471" s="219"/>
      <c r="O1471" s="219"/>
    </row>
    <row r="1472">
      <c r="A1472" s="216"/>
      <c r="B1472" s="217"/>
      <c r="F1472" s="218"/>
      <c r="G1472" s="218"/>
      <c r="H1472" s="219"/>
      <c r="I1472" s="219"/>
      <c r="J1472" s="219"/>
      <c r="O1472" s="219"/>
    </row>
    <row r="1473">
      <c r="A1473" s="216"/>
      <c r="B1473" s="217"/>
      <c r="F1473" s="218"/>
      <c r="G1473" s="218"/>
      <c r="H1473" s="219"/>
      <c r="I1473" s="219"/>
      <c r="J1473" s="219"/>
      <c r="O1473" s="219"/>
    </row>
    <row r="1474">
      <c r="A1474" s="216"/>
      <c r="B1474" s="217"/>
      <c r="F1474" s="218"/>
      <c r="G1474" s="218"/>
      <c r="H1474" s="219"/>
      <c r="I1474" s="219"/>
      <c r="J1474" s="219"/>
      <c r="O1474" s="219"/>
    </row>
    <row r="1475">
      <c r="A1475" s="216"/>
      <c r="B1475" s="217"/>
      <c r="F1475" s="218"/>
      <c r="G1475" s="218"/>
      <c r="H1475" s="219"/>
      <c r="I1475" s="219"/>
      <c r="J1475" s="219"/>
      <c r="O1475" s="219"/>
    </row>
    <row r="1476">
      <c r="A1476" s="216"/>
      <c r="B1476" s="217"/>
      <c r="F1476" s="218"/>
      <c r="G1476" s="218"/>
      <c r="H1476" s="219"/>
      <c r="I1476" s="219"/>
      <c r="J1476" s="219"/>
      <c r="O1476" s="219"/>
    </row>
    <row r="1477">
      <c r="A1477" s="216"/>
      <c r="B1477" s="217"/>
      <c r="F1477" s="218"/>
      <c r="G1477" s="218"/>
      <c r="H1477" s="219"/>
      <c r="I1477" s="219"/>
      <c r="J1477" s="219"/>
      <c r="O1477" s="219"/>
    </row>
    <row r="1478">
      <c r="A1478" s="216"/>
      <c r="B1478" s="217"/>
      <c r="F1478" s="218"/>
      <c r="G1478" s="218"/>
      <c r="H1478" s="219"/>
      <c r="I1478" s="219"/>
      <c r="J1478" s="219"/>
      <c r="O1478" s="219"/>
    </row>
    <row r="1479">
      <c r="A1479" s="216"/>
      <c r="B1479" s="217"/>
      <c r="F1479" s="218"/>
      <c r="G1479" s="218"/>
      <c r="H1479" s="219"/>
      <c r="I1479" s="219"/>
      <c r="J1479" s="219"/>
      <c r="O1479" s="219"/>
    </row>
    <row r="1480">
      <c r="A1480" s="216"/>
      <c r="B1480" s="217"/>
      <c r="F1480" s="218"/>
      <c r="G1480" s="218"/>
      <c r="H1480" s="219"/>
      <c r="I1480" s="219"/>
      <c r="J1480" s="219"/>
      <c r="O1480" s="219"/>
    </row>
    <row r="1481">
      <c r="A1481" s="216"/>
      <c r="B1481" s="217"/>
      <c r="F1481" s="218"/>
      <c r="G1481" s="218"/>
      <c r="H1481" s="219"/>
      <c r="I1481" s="219"/>
      <c r="J1481" s="219"/>
      <c r="O1481" s="219"/>
    </row>
    <row r="1482">
      <c r="A1482" s="216"/>
      <c r="B1482" s="217"/>
      <c r="F1482" s="218"/>
      <c r="G1482" s="218"/>
      <c r="H1482" s="219"/>
      <c r="I1482" s="219"/>
      <c r="J1482" s="219"/>
      <c r="O1482" s="219"/>
    </row>
    <row r="1483">
      <c r="A1483" s="216"/>
      <c r="B1483" s="217"/>
      <c r="F1483" s="218"/>
      <c r="G1483" s="218"/>
      <c r="H1483" s="219"/>
      <c r="I1483" s="219"/>
      <c r="J1483" s="219"/>
      <c r="O1483" s="219"/>
    </row>
    <row r="1484">
      <c r="A1484" s="216"/>
      <c r="B1484" s="217"/>
      <c r="F1484" s="218"/>
      <c r="G1484" s="218"/>
      <c r="H1484" s="219"/>
      <c r="I1484" s="219"/>
      <c r="J1484" s="219"/>
      <c r="O1484" s="219"/>
    </row>
    <row r="1485">
      <c r="A1485" s="216"/>
      <c r="B1485" s="217"/>
      <c r="F1485" s="218"/>
      <c r="G1485" s="218"/>
      <c r="H1485" s="219"/>
      <c r="I1485" s="219"/>
      <c r="J1485" s="219"/>
      <c r="O1485" s="219"/>
    </row>
    <row r="1486">
      <c r="A1486" s="216"/>
      <c r="B1486" s="217"/>
      <c r="F1486" s="218"/>
      <c r="G1486" s="218"/>
      <c r="H1486" s="219"/>
      <c r="I1486" s="219"/>
      <c r="J1486" s="219"/>
      <c r="O1486" s="219"/>
    </row>
    <row r="1487">
      <c r="A1487" s="216"/>
      <c r="B1487" s="217"/>
      <c r="F1487" s="218"/>
      <c r="G1487" s="218"/>
      <c r="H1487" s="219"/>
      <c r="I1487" s="219"/>
      <c r="J1487" s="219"/>
      <c r="O1487" s="219"/>
    </row>
    <row r="1488">
      <c r="A1488" s="216"/>
      <c r="B1488" s="217"/>
      <c r="F1488" s="218"/>
      <c r="G1488" s="218"/>
      <c r="H1488" s="219"/>
      <c r="I1488" s="219"/>
      <c r="J1488" s="219"/>
      <c r="O1488" s="219"/>
    </row>
    <row r="1489">
      <c r="A1489" s="216"/>
      <c r="B1489" s="217"/>
      <c r="F1489" s="218"/>
      <c r="G1489" s="218"/>
      <c r="H1489" s="219"/>
      <c r="I1489" s="219"/>
      <c r="J1489" s="219"/>
      <c r="O1489" s="219"/>
    </row>
    <row r="1490">
      <c r="A1490" s="216"/>
      <c r="B1490" s="217"/>
      <c r="F1490" s="218"/>
      <c r="G1490" s="218"/>
      <c r="H1490" s="219"/>
      <c r="I1490" s="219"/>
      <c r="J1490" s="219"/>
      <c r="O1490" s="219"/>
    </row>
    <row r="1491">
      <c r="A1491" s="216"/>
      <c r="B1491" s="217"/>
      <c r="F1491" s="218"/>
      <c r="G1491" s="218"/>
      <c r="H1491" s="219"/>
      <c r="I1491" s="219"/>
      <c r="J1491" s="219"/>
      <c r="O1491" s="219"/>
    </row>
    <row r="1492">
      <c r="A1492" s="216"/>
      <c r="B1492" s="217"/>
      <c r="F1492" s="218"/>
      <c r="G1492" s="218"/>
      <c r="H1492" s="219"/>
      <c r="I1492" s="219"/>
      <c r="J1492" s="219"/>
      <c r="O1492" s="219"/>
    </row>
    <row r="1493">
      <c r="A1493" s="216"/>
      <c r="B1493" s="217"/>
      <c r="F1493" s="218"/>
      <c r="G1493" s="218"/>
      <c r="H1493" s="219"/>
      <c r="I1493" s="219"/>
      <c r="J1493" s="219"/>
      <c r="O1493" s="219"/>
    </row>
    <row r="1494">
      <c r="A1494" s="216"/>
      <c r="B1494" s="217"/>
      <c r="F1494" s="218"/>
      <c r="G1494" s="218"/>
      <c r="H1494" s="219"/>
      <c r="I1494" s="219"/>
      <c r="J1494" s="219"/>
      <c r="O1494" s="219"/>
    </row>
    <row r="1495">
      <c r="A1495" s="216"/>
      <c r="B1495" s="217"/>
      <c r="F1495" s="218"/>
      <c r="G1495" s="218"/>
      <c r="H1495" s="219"/>
      <c r="I1495" s="219"/>
      <c r="J1495" s="219"/>
      <c r="O1495" s="219"/>
    </row>
    <row r="1496">
      <c r="A1496" s="216"/>
      <c r="B1496" s="217"/>
      <c r="F1496" s="218"/>
      <c r="G1496" s="218"/>
      <c r="H1496" s="219"/>
      <c r="I1496" s="219"/>
      <c r="J1496" s="219"/>
      <c r="O1496" s="219"/>
    </row>
    <row r="1497">
      <c r="A1497" s="216"/>
      <c r="B1497" s="217"/>
      <c r="F1497" s="218"/>
      <c r="G1497" s="218"/>
      <c r="H1497" s="219"/>
      <c r="I1497" s="219"/>
      <c r="J1497" s="219"/>
      <c r="O1497" s="219"/>
    </row>
    <row r="1498">
      <c r="A1498" s="216"/>
      <c r="B1498" s="217"/>
      <c r="F1498" s="218"/>
      <c r="G1498" s="218"/>
      <c r="H1498" s="219"/>
      <c r="I1498" s="219"/>
      <c r="J1498" s="219"/>
      <c r="O1498" s="219"/>
    </row>
    <row r="1499">
      <c r="A1499" s="216"/>
      <c r="B1499" s="217"/>
      <c r="F1499" s="218"/>
      <c r="G1499" s="218"/>
      <c r="H1499" s="219"/>
      <c r="I1499" s="219"/>
      <c r="J1499" s="219"/>
      <c r="O1499" s="219"/>
    </row>
    <row r="1500">
      <c r="A1500" s="216"/>
      <c r="B1500" s="217"/>
      <c r="F1500" s="218"/>
      <c r="G1500" s="218"/>
      <c r="H1500" s="219"/>
      <c r="I1500" s="219"/>
      <c r="J1500" s="219"/>
      <c r="O1500" s="219"/>
    </row>
    <row r="1501">
      <c r="A1501" s="216"/>
      <c r="B1501" s="217"/>
      <c r="F1501" s="218"/>
      <c r="G1501" s="218"/>
      <c r="H1501" s="219"/>
      <c r="I1501" s="219"/>
      <c r="J1501" s="219"/>
      <c r="O1501" s="219"/>
    </row>
    <row r="1502">
      <c r="A1502" s="216"/>
      <c r="B1502" s="217"/>
      <c r="F1502" s="218"/>
      <c r="G1502" s="218"/>
      <c r="H1502" s="219"/>
      <c r="I1502" s="219"/>
      <c r="J1502" s="219"/>
      <c r="O1502" s="219"/>
    </row>
    <row r="1503">
      <c r="A1503" s="216"/>
      <c r="B1503" s="217"/>
      <c r="F1503" s="218"/>
      <c r="G1503" s="218"/>
      <c r="H1503" s="219"/>
      <c r="I1503" s="219"/>
      <c r="J1503" s="219"/>
      <c r="O1503" s="219"/>
    </row>
    <row r="1504">
      <c r="A1504" s="216"/>
      <c r="B1504" s="217"/>
      <c r="F1504" s="218"/>
      <c r="G1504" s="218"/>
      <c r="H1504" s="219"/>
      <c r="I1504" s="219"/>
      <c r="J1504" s="219"/>
      <c r="O1504" s="219"/>
    </row>
    <row r="1505">
      <c r="A1505" s="216"/>
      <c r="B1505" s="217"/>
      <c r="F1505" s="218"/>
      <c r="G1505" s="218"/>
      <c r="H1505" s="219"/>
      <c r="I1505" s="219"/>
      <c r="J1505" s="219"/>
      <c r="O1505" s="219"/>
    </row>
    <row r="1506">
      <c r="A1506" s="216"/>
      <c r="B1506" s="217"/>
      <c r="F1506" s="218"/>
      <c r="G1506" s="218"/>
      <c r="H1506" s="219"/>
      <c r="I1506" s="219"/>
      <c r="J1506" s="219"/>
      <c r="O1506" s="219"/>
    </row>
    <row r="1507">
      <c r="A1507" s="216"/>
      <c r="B1507" s="217"/>
      <c r="F1507" s="218"/>
      <c r="G1507" s="218"/>
      <c r="H1507" s="219"/>
      <c r="I1507" s="219"/>
      <c r="J1507" s="219"/>
      <c r="O1507" s="219"/>
    </row>
    <row r="1508">
      <c r="A1508" s="216"/>
      <c r="B1508" s="217"/>
      <c r="F1508" s="218"/>
      <c r="G1508" s="218"/>
      <c r="H1508" s="219"/>
      <c r="I1508" s="219"/>
      <c r="J1508" s="219"/>
      <c r="O1508" s="219"/>
    </row>
    <row r="1509">
      <c r="A1509" s="216"/>
      <c r="B1509" s="217"/>
      <c r="F1509" s="218"/>
      <c r="G1509" s="218"/>
      <c r="H1509" s="219"/>
      <c r="I1509" s="219"/>
      <c r="J1509" s="219"/>
      <c r="O1509" s="219"/>
    </row>
    <row r="1510">
      <c r="A1510" s="216"/>
      <c r="B1510" s="217"/>
      <c r="F1510" s="218"/>
      <c r="G1510" s="218"/>
      <c r="H1510" s="219"/>
      <c r="I1510" s="219"/>
      <c r="J1510" s="219"/>
      <c r="O1510" s="219"/>
    </row>
    <row r="1511">
      <c r="A1511" s="216"/>
      <c r="B1511" s="217"/>
      <c r="F1511" s="218"/>
      <c r="G1511" s="218"/>
      <c r="H1511" s="219"/>
      <c r="I1511" s="219"/>
      <c r="J1511" s="219"/>
      <c r="O1511" s="219"/>
    </row>
    <row r="1512">
      <c r="A1512" s="216"/>
      <c r="B1512" s="217"/>
      <c r="F1512" s="218"/>
      <c r="G1512" s="218"/>
      <c r="H1512" s="219"/>
      <c r="I1512" s="219"/>
      <c r="J1512" s="219"/>
      <c r="O1512" s="219"/>
    </row>
    <row r="1513">
      <c r="A1513" s="216"/>
      <c r="B1513" s="217"/>
      <c r="F1513" s="218"/>
      <c r="G1513" s="218"/>
      <c r="H1513" s="219"/>
      <c r="I1513" s="219"/>
      <c r="J1513" s="219"/>
      <c r="O1513" s="219"/>
    </row>
    <row r="1514">
      <c r="A1514" s="216"/>
      <c r="B1514" s="217"/>
      <c r="F1514" s="218"/>
      <c r="G1514" s="218"/>
      <c r="H1514" s="219"/>
      <c r="I1514" s="219"/>
      <c r="J1514" s="219"/>
      <c r="O1514" s="219"/>
    </row>
    <row r="1515">
      <c r="A1515" s="216"/>
      <c r="B1515" s="217"/>
      <c r="F1515" s="218"/>
      <c r="G1515" s="218"/>
      <c r="H1515" s="219"/>
      <c r="I1515" s="219"/>
      <c r="J1515" s="219"/>
      <c r="O1515" s="219"/>
    </row>
    <row r="1516">
      <c r="A1516" s="216"/>
      <c r="B1516" s="217"/>
      <c r="F1516" s="218"/>
      <c r="G1516" s="218"/>
      <c r="H1516" s="219"/>
      <c r="I1516" s="219"/>
      <c r="J1516" s="219"/>
      <c r="O1516" s="219"/>
    </row>
    <row r="1517">
      <c r="A1517" s="216"/>
      <c r="B1517" s="217"/>
      <c r="F1517" s="218"/>
      <c r="G1517" s="218"/>
      <c r="H1517" s="219"/>
      <c r="I1517" s="219"/>
      <c r="J1517" s="219"/>
      <c r="O1517" s="219"/>
    </row>
    <row r="1518">
      <c r="A1518" s="216"/>
      <c r="B1518" s="217"/>
      <c r="F1518" s="218"/>
      <c r="G1518" s="218"/>
      <c r="H1518" s="219"/>
      <c r="I1518" s="219"/>
      <c r="J1518" s="219"/>
      <c r="O1518" s="219"/>
    </row>
    <row r="1519">
      <c r="A1519" s="216"/>
      <c r="B1519" s="217"/>
      <c r="F1519" s="218"/>
      <c r="G1519" s="218"/>
      <c r="H1519" s="219"/>
      <c r="I1519" s="219"/>
      <c r="J1519" s="219"/>
      <c r="O1519" s="219"/>
    </row>
    <row r="1520">
      <c r="A1520" s="216"/>
      <c r="B1520" s="217"/>
      <c r="F1520" s="218"/>
      <c r="G1520" s="218"/>
      <c r="H1520" s="219"/>
      <c r="I1520" s="219"/>
      <c r="J1520" s="219"/>
      <c r="O1520" s="219"/>
    </row>
    <row r="1521">
      <c r="A1521" s="216"/>
      <c r="B1521" s="217"/>
      <c r="F1521" s="218"/>
      <c r="G1521" s="218"/>
      <c r="H1521" s="219"/>
      <c r="I1521" s="219"/>
      <c r="J1521" s="219"/>
      <c r="O1521" s="219"/>
    </row>
    <row r="1522">
      <c r="A1522" s="216"/>
      <c r="B1522" s="217"/>
      <c r="F1522" s="218"/>
      <c r="G1522" s="218"/>
      <c r="H1522" s="219"/>
      <c r="I1522" s="219"/>
      <c r="J1522" s="219"/>
      <c r="O1522" s="219"/>
    </row>
    <row r="1523">
      <c r="A1523" s="216"/>
      <c r="B1523" s="217"/>
      <c r="F1523" s="218"/>
      <c r="G1523" s="218"/>
      <c r="H1523" s="219"/>
      <c r="I1523" s="219"/>
      <c r="J1523" s="219"/>
      <c r="O1523" s="219"/>
    </row>
    <row r="1524">
      <c r="A1524" s="216"/>
      <c r="B1524" s="217"/>
      <c r="F1524" s="218"/>
      <c r="G1524" s="218"/>
      <c r="H1524" s="219"/>
      <c r="I1524" s="219"/>
      <c r="J1524" s="219"/>
      <c r="O1524" s="219"/>
    </row>
    <row r="1525">
      <c r="A1525" s="216"/>
      <c r="B1525" s="217"/>
      <c r="F1525" s="218"/>
      <c r="G1525" s="218"/>
      <c r="H1525" s="219"/>
      <c r="I1525" s="219"/>
      <c r="J1525" s="219"/>
      <c r="O1525" s="219"/>
    </row>
    <row r="1526">
      <c r="A1526" s="216"/>
      <c r="B1526" s="217"/>
      <c r="F1526" s="218"/>
      <c r="G1526" s="218"/>
      <c r="H1526" s="219"/>
      <c r="I1526" s="219"/>
      <c r="J1526" s="219"/>
      <c r="O1526" s="219"/>
    </row>
    <row r="1527">
      <c r="A1527" s="216"/>
      <c r="B1527" s="217"/>
      <c r="F1527" s="218"/>
      <c r="G1527" s="218"/>
      <c r="H1527" s="219"/>
      <c r="I1527" s="219"/>
      <c r="J1527" s="219"/>
      <c r="O1527" s="219"/>
    </row>
    <row r="1528">
      <c r="A1528" s="216"/>
      <c r="B1528" s="217"/>
      <c r="F1528" s="218"/>
      <c r="G1528" s="218"/>
      <c r="H1528" s="219"/>
      <c r="I1528" s="219"/>
      <c r="J1528" s="219"/>
      <c r="O1528" s="219"/>
    </row>
    <row r="1529">
      <c r="A1529" s="216"/>
      <c r="B1529" s="217"/>
      <c r="F1529" s="218"/>
      <c r="G1529" s="218"/>
      <c r="H1529" s="219"/>
      <c r="I1529" s="219"/>
      <c r="J1529" s="219"/>
      <c r="O1529" s="219"/>
    </row>
    <row r="1530">
      <c r="A1530" s="216"/>
      <c r="B1530" s="217"/>
      <c r="F1530" s="218"/>
      <c r="G1530" s="218"/>
      <c r="H1530" s="219"/>
      <c r="I1530" s="219"/>
      <c r="J1530" s="219"/>
      <c r="O1530" s="219"/>
    </row>
    <row r="1531">
      <c r="A1531" s="216"/>
      <c r="B1531" s="217"/>
      <c r="F1531" s="218"/>
      <c r="G1531" s="218"/>
      <c r="H1531" s="219"/>
      <c r="I1531" s="219"/>
      <c r="J1531" s="219"/>
      <c r="O1531" s="219"/>
    </row>
    <row r="1532">
      <c r="A1532" s="216"/>
      <c r="B1532" s="217"/>
      <c r="F1532" s="218"/>
      <c r="G1532" s="218"/>
      <c r="H1532" s="219"/>
      <c r="I1532" s="219"/>
      <c r="J1532" s="219"/>
      <c r="O1532" s="219"/>
    </row>
    <row r="1533">
      <c r="A1533" s="216"/>
      <c r="B1533" s="217"/>
      <c r="F1533" s="218"/>
      <c r="G1533" s="218"/>
      <c r="H1533" s="219"/>
      <c r="I1533" s="219"/>
      <c r="J1533" s="219"/>
      <c r="O1533" s="219"/>
    </row>
    <row r="1534">
      <c r="A1534" s="216"/>
      <c r="B1534" s="217"/>
      <c r="F1534" s="218"/>
      <c r="G1534" s="218"/>
      <c r="H1534" s="219"/>
      <c r="I1534" s="219"/>
      <c r="J1534" s="219"/>
      <c r="O1534" s="219"/>
    </row>
    <row r="1535">
      <c r="A1535" s="216"/>
      <c r="B1535" s="217"/>
      <c r="F1535" s="218"/>
      <c r="G1535" s="218"/>
      <c r="H1535" s="219"/>
      <c r="I1535" s="219"/>
      <c r="J1535" s="219"/>
      <c r="O1535" s="219"/>
    </row>
    <row r="1536">
      <c r="A1536" s="216"/>
      <c r="B1536" s="217"/>
      <c r="F1536" s="218"/>
      <c r="G1536" s="218"/>
      <c r="H1536" s="219"/>
      <c r="I1536" s="219"/>
      <c r="J1536" s="219"/>
      <c r="O1536" s="219"/>
    </row>
    <row r="1537">
      <c r="A1537" s="216"/>
      <c r="B1537" s="217"/>
      <c r="F1537" s="218"/>
      <c r="G1537" s="218"/>
      <c r="H1537" s="219"/>
      <c r="I1537" s="219"/>
      <c r="J1537" s="219"/>
      <c r="O1537" s="219"/>
    </row>
    <row r="1538">
      <c r="A1538" s="216"/>
      <c r="B1538" s="217"/>
      <c r="F1538" s="218"/>
      <c r="G1538" s="218"/>
      <c r="H1538" s="219"/>
      <c r="I1538" s="219"/>
      <c r="J1538" s="219"/>
      <c r="O1538" s="219"/>
    </row>
    <row r="1539">
      <c r="A1539" s="216"/>
      <c r="B1539" s="217"/>
      <c r="F1539" s="218"/>
      <c r="G1539" s="218"/>
      <c r="H1539" s="219"/>
      <c r="I1539" s="219"/>
      <c r="J1539" s="219"/>
      <c r="O1539" s="219"/>
    </row>
    <row r="1540">
      <c r="A1540" s="216"/>
      <c r="B1540" s="217"/>
      <c r="F1540" s="218"/>
      <c r="G1540" s="218"/>
      <c r="H1540" s="219"/>
      <c r="I1540" s="219"/>
      <c r="J1540" s="219"/>
      <c r="O1540" s="219"/>
    </row>
    <row r="1541">
      <c r="A1541" s="216"/>
      <c r="B1541" s="217"/>
      <c r="F1541" s="218"/>
      <c r="G1541" s="218"/>
      <c r="H1541" s="219"/>
      <c r="I1541" s="219"/>
      <c r="J1541" s="219"/>
      <c r="O1541" s="219"/>
    </row>
    <row r="1542">
      <c r="A1542" s="216"/>
      <c r="B1542" s="217"/>
      <c r="F1542" s="218"/>
      <c r="G1542" s="218"/>
      <c r="H1542" s="219"/>
      <c r="I1542" s="219"/>
      <c r="J1542" s="219"/>
      <c r="O1542" s="219"/>
    </row>
    <row r="1543">
      <c r="A1543" s="216"/>
      <c r="B1543" s="217"/>
      <c r="F1543" s="218"/>
      <c r="G1543" s="218"/>
      <c r="H1543" s="219"/>
      <c r="I1543" s="219"/>
      <c r="J1543" s="219"/>
      <c r="O1543" s="219"/>
    </row>
    <row r="1544">
      <c r="A1544" s="216"/>
      <c r="B1544" s="217"/>
      <c r="F1544" s="218"/>
      <c r="G1544" s="218"/>
      <c r="H1544" s="219"/>
      <c r="I1544" s="219"/>
      <c r="J1544" s="219"/>
      <c r="O1544" s="219"/>
    </row>
    <row r="1545">
      <c r="A1545" s="216"/>
      <c r="B1545" s="217"/>
      <c r="F1545" s="218"/>
      <c r="G1545" s="218"/>
      <c r="H1545" s="219"/>
      <c r="I1545" s="219"/>
      <c r="J1545" s="219"/>
      <c r="O1545" s="219"/>
    </row>
    <row r="1546">
      <c r="A1546" s="216"/>
      <c r="B1546" s="217"/>
      <c r="F1546" s="218"/>
      <c r="G1546" s="218"/>
      <c r="H1546" s="219"/>
      <c r="I1546" s="219"/>
      <c r="J1546" s="219"/>
      <c r="O1546" s="219"/>
    </row>
    <row r="1547">
      <c r="A1547" s="216"/>
      <c r="B1547" s="217"/>
      <c r="F1547" s="218"/>
      <c r="G1547" s="218"/>
      <c r="H1547" s="219"/>
      <c r="I1547" s="219"/>
      <c r="J1547" s="219"/>
      <c r="O1547" s="219"/>
    </row>
    <row r="1548">
      <c r="A1548" s="216"/>
      <c r="B1548" s="217"/>
      <c r="F1548" s="218"/>
      <c r="G1548" s="218"/>
      <c r="H1548" s="219"/>
      <c r="I1548" s="219"/>
      <c r="J1548" s="219"/>
      <c r="O1548" s="219"/>
    </row>
    <row r="1549">
      <c r="A1549" s="216"/>
      <c r="B1549" s="217"/>
      <c r="F1549" s="218"/>
      <c r="G1549" s="218"/>
      <c r="H1549" s="219"/>
      <c r="I1549" s="219"/>
      <c r="J1549" s="219"/>
      <c r="O1549" s="219"/>
    </row>
    <row r="1550">
      <c r="A1550" s="216"/>
      <c r="B1550" s="217"/>
      <c r="F1550" s="218"/>
      <c r="G1550" s="218"/>
      <c r="H1550" s="219"/>
      <c r="I1550" s="219"/>
      <c r="J1550" s="219"/>
      <c r="O1550" s="219"/>
    </row>
    <row r="1551">
      <c r="A1551" s="216"/>
      <c r="B1551" s="217"/>
      <c r="F1551" s="218"/>
      <c r="G1551" s="218"/>
      <c r="H1551" s="219"/>
      <c r="I1551" s="219"/>
      <c r="J1551" s="219"/>
      <c r="O1551" s="219"/>
    </row>
    <row r="1552">
      <c r="A1552" s="216"/>
      <c r="B1552" s="217"/>
      <c r="F1552" s="218"/>
      <c r="G1552" s="218"/>
      <c r="H1552" s="219"/>
      <c r="I1552" s="219"/>
      <c r="J1552" s="219"/>
      <c r="O1552" s="219"/>
    </row>
    <row r="1553">
      <c r="A1553" s="216"/>
      <c r="B1553" s="217"/>
      <c r="F1553" s="218"/>
      <c r="G1553" s="218"/>
      <c r="H1553" s="219"/>
      <c r="I1553" s="219"/>
      <c r="J1553" s="219"/>
      <c r="O1553" s="219"/>
    </row>
    <row r="1554">
      <c r="A1554" s="216"/>
      <c r="B1554" s="217"/>
      <c r="F1554" s="218"/>
      <c r="G1554" s="218"/>
      <c r="H1554" s="219"/>
      <c r="I1554" s="219"/>
      <c r="J1554" s="219"/>
      <c r="O1554" s="219"/>
    </row>
    <row r="1555">
      <c r="A1555" s="216"/>
      <c r="B1555" s="217"/>
      <c r="F1555" s="218"/>
      <c r="G1555" s="218"/>
      <c r="H1555" s="219"/>
      <c r="I1555" s="219"/>
      <c r="J1555" s="219"/>
      <c r="O1555" s="219"/>
    </row>
    <row r="1556">
      <c r="A1556" s="216"/>
      <c r="B1556" s="217"/>
      <c r="F1556" s="218"/>
      <c r="G1556" s="218"/>
      <c r="H1556" s="219"/>
      <c r="I1556" s="219"/>
      <c r="J1556" s="219"/>
      <c r="O1556" s="219"/>
    </row>
    <row r="1557">
      <c r="A1557" s="216"/>
      <c r="B1557" s="217"/>
      <c r="F1557" s="218"/>
      <c r="G1557" s="218"/>
      <c r="H1557" s="219"/>
      <c r="I1557" s="219"/>
      <c r="J1557" s="219"/>
      <c r="O1557" s="219"/>
    </row>
    <row r="1558">
      <c r="A1558" s="216"/>
      <c r="B1558" s="217"/>
      <c r="F1558" s="218"/>
      <c r="G1558" s="218"/>
      <c r="H1558" s="219"/>
      <c r="I1558" s="219"/>
      <c r="J1558" s="219"/>
      <c r="O1558" s="219"/>
    </row>
    <row r="1559">
      <c r="A1559" s="216"/>
      <c r="B1559" s="217"/>
      <c r="F1559" s="218"/>
      <c r="G1559" s="218"/>
      <c r="H1559" s="219"/>
      <c r="I1559" s="219"/>
      <c r="J1559" s="219"/>
      <c r="O1559" s="219"/>
    </row>
    <row r="1560">
      <c r="A1560" s="216"/>
      <c r="B1560" s="217"/>
      <c r="F1560" s="218"/>
      <c r="G1560" s="218"/>
      <c r="H1560" s="219"/>
      <c r="I1560" s="219"/>
      <c r="J1560" s="219"/>
      <c r="O1560" s="219"/>
    </row>
    <row r="1561">
      <c r="A1561" s="216"/>
      <c r="B1561" s="217"/>
      <c r="F1561" s="218"/>
      <c r="G1561" s="218"/>
      <c r="H1561" s="219"/>
      <c r="I1561" s="219"/>
      <c r="J1561" s="219"/>
      <c r="O1561" s="219"/>
    </row>
    <row r="1562">
      <c r="A1562" s="216"/>
      <c r="B1562" s="217"/>
      <c r="F1562" s="218"/>
      <c r="G1562" s="218"/>
      <c r="H1562" s="219"/>
      <c r="I1562" s="219"/>
      <c r="J1562" s="219"/>
      <c r="O1562" s="219"/>
    </row>
    <row r="1563">
      <c r="A1563" s="216"/>
      <c r="B1563" s="217"/>
      <c r="F1563" s="218"/>
      <c r="G1563" s="218"/>
      <c r="H1563" s="219"/>
      <c r="I1563" s="219"/>
      <c r="J1563" s="219"/>
      <c r="O1563" s="219"/>
    </row>
    <row r="1564">
      <c r="A1564" s="216"/>
      <c r="B1564" s="217"/>
      <c r="F1564" s="218"/>
      <c r="G1564" s="218"/>
      <c r="H1564" s="219"/>
      <c r="I1564" s="219"/>
      <c r="J1564" s="219"/>
      <c r="O1564" s="219"/>
    </row>
    <row r="1565">
      <c r="A1565" s="216"/>
      <c r="B1565" s="217"/>
      <c r="F1565" s="218"/>
      <c r="G1565" s="218"/>
      <c r="H1565" s="219"/>
      <c r="I1565" s="219"/>
      <c r="J1565" s="219"/>
      <c r="O1565" s="219"/>
    </row>
    <row r="1566">
      <c r="A1566" s="216"/>
      <c r="B1566" s="217"/>
      <c r="F1566" s="218"/>
      <c r="G1566" s="218"/>
      <c r="H1566" s="219"/>
      <c r="I1566" s="219"/>
      <c r="J1566" s="219"/>
      <c r="O1566" s="219"/>
    </row>
    <row r="1567">
      <c r="A1567" s="216"/>
      <c r="B1567" s="217"/>
      <c r="F1567" s="218"/>
      <c r="G1567" s="218"/>
      <c r="H1567" s="219"/>
      <c r="I1567" s="219"/>
      <c r="J1567" s="219"/>
      <c r="O1567" s="219"/>
    </row>
    <row r="1568">
      <c r="A1568" s="216"/>
      <c r="B1568" s="217"/>
      <c r="F1568" s="218"/>
      <c r="G1568" s="218"/>
      <c r="H1568" s="219"/>
      <c r="I1568" s="219"/>
      <c r="J1568" s="219"/>
      <c r="O1568" s="219"/>
    </row>
    <row r="1569">
      <c r="A1569" s="216"/>
      <c r="B1569" s="217"/>
      <c r="F1569" s="218"/>
      <c r="G1569" s="218"/>
      <c r="H1569" s="219"/>
      <c r="I1569" s="219"/>
      <c r="J1569" s="219"/>
      <c r="O1569" s="219"/>
    </row>
    <row r="1570">
      <c r="A1570" s="216"/>
      <c r="B1570" s="217"/>
      <c r="F1570" s="218"/>
      <c r="G1570" s="218"/>
      <c r="H1570" s="219"/>
      <c r="I1570" s="219"/>
      <c r="J1570" s="219"/>
      <c r="O1570" s="219"/>
    </row>
    <row r="1571">
      <c r="A1571" s="216"/>
      <c r="B1571" s="217"/>
      <c r="F1571" s="218"/>
      <c r="G1571" s="218"/>
      <c r="H1571" s="219"/>
      <c r="I1571" s="219"/>
      <c r="J1571" s="219"/>
      <c r="O1571" s="219"/>
    </row>
    <row r="1572">
      <c r="A1572" s="216"/>
      <c r="B1572" s="217"/>
      <c r="F1572" s="218"/>
      <c r="G1572" s="218"/>
      <c r="H1572" s="219"/>
      <c r="I1572" s="219"/>
      <c r="J1572" s="219"/>
      <c r="O1572" s="219"/>
    </row>
    <row r="1573">
      <c r="A1573" s="216"/>
      <c r="B1573" s="217"/>
      <c r="F1573" s="218"/>
      <c r="G1573" s="218"/>
      <c r="H1573" s="219"/>
      <c r="I1573" s="219"/>
      <c r="J1573" s="219"/>
      <c r="O1573" s="219"/>
    </row>
    <row r="1574">
      <c r="A1574" s="216"/>
      <c r="B1574" s="217"/>
      <c r="F1574" s="218"/>
      <c r="G1574" s="218"/>
      <c r="H1574" s="219"/>
      <c r="I1574" s="219"/>
      <c r="J1574" s="219"/>
      <c r="O1574" s="219"/>
    </row>
    <row r="1575">
      <c r="A1575" s="216"/>
      <c r="B1575" s="217"/>
      <c r="F1575" s="218"/>
      <c r="G1575" s="218"/>
      <c r="H1575" s="219"/>
      <c r="I1575" s="219"/>
      <c r="J1575" s="219"/>
      <c r="O1575" s="219"/>
    </row>
    <row r="1576">
      <c r="A1576" s="216"/>
      <c r="B1576" s="217"/>
      <c r="F1576" s="218"/>
      <c r="G1576" s="218"/>
      <c r="H1576" s="219"/>
      <c r="I1576" s="219"/>
      <c r="J1576" s="219"/>
      <c r="O1576" s="219"/>
    </row>
    <row r="1577">
      <c r="A1577" s="216"/>
      <c r="B1577" s="217"/>
      <c r="F1577" s="218"/>
      <c r="G1577" s="218"/>
      <c r="H1577" s="219"/>
      <c r="I1577" s="219"/>
      <c r="J1577" s="219"/>
      <c r="O1577" s="219"/>
    </row>
    <row r="1578">
      <c r="A1578" s="216"/>
      <c r="B1578" s="217"/>
      <c r="F1578" s="218"/>
      <c r="G1578" s="218"/>
      <c r="H1578" s="219"/>
      <c r="I1578" s="219"/>
      <c r="J1578" s="219"/>
      <c r="O1578" s="219"/>
    </row>
    <row r="1579">
      <c r="A1579" s="216"/>
      <c r="B1579" s="217"/>
      <c r="F1579" s="218"/>
      <c r="G1579" s="218"/>
      <c r="H1579" s="219"/>
      <c r="I1579" s="219"/>
      <c r="J1579" s="219"/>
      <c r="O1579" s="219"/>
    </row>
    <row r="1580">
      <c r="A1580" s="216"/>
      <c r="B1580" s="217"/>
      <c r="F1580" s="218"/>
      <c r="G1580" s="218"/>
      <c r="H1580" s="219"/>
      <c r="I1580" s="219"/>
      <c r="J1580" s="219"/>
      <c r="O1580" s="219"/>
    </row>
    <row r="1581">
      <c r="A1581" s="216"/>
      <c r="B1581" s="217"/>
      <c r="F1581" s="218"/>
      <c r="G1581" s="218"/>
      <c r="H1581" s="219"/>
      <c r="I1581" s="219"/>
      <c r="J1581" s="219"/>
      <c r="O1581" s="219"/>
    </row>
    <row r="1582">
      <c r="A1582" s="216"/>
      <c r="B1582" s="217"/>
      <c r="F1582" s="218"/>
      <c r="G1582" s="218"/>
      <c r="H1582" s="219"/>
      <c r="I1582" s="219"/>
      <c r="J1582" s="219"/>
      <c r="O1582" s="219"/>
    </row>
    <row r="1583">
      <c r="A1583" s="216"/>
      <c r="B1583" s="217"/>
      <c r="F1583" s="218"/>
      <c r="G1583" s="218"/>
      <c r="H1583" s="219"/>
      <c r="I1583" s="219"/>
      <c r="J1583" s="219"/>
      <c r="O1583" s="219"/>
    </row>
    <row r="1584">
      <c r="A1584" s="216"/>
      <c r="B1584" s="217"/>
      <c r="F1584" s="218"/>
      <c r="G1584" s="218"/>
      <c r="H1584" s="219"/>
      <c r="I1584" s="219"/>
      <c r="J1584" s="219"/>
      <c r="O1584" s="219"/>
    </row>
    <row r="1585">
      <c r="A1585" s="216"/>
      <c r="B1585" s="217"/>
      <c r="F1585" s="218"/>
      <c r="G1585" s="218"/>
      <c r="H1585" s="219"/>
      <c r="I1585" s="219"/>
      <c r="J1585" s="219"/>
      <c r="O1585" s="219"/>
    </row>
    <row r="1586">
      <c r="A1586" s="216"/>
      <c r="B1586" s="217"/>
      <c r="F1586" s="218"/>
      <c r="G1586" s="218"/>
      <c r="H1586" s="219"/>
      <c r="I1586" s="219"/>
      <c r="J1586" s="219"/>
      <c r="O1586" s="219"/>
    </row>
    <row r="1587">
      <c r="A1587" s="216"/>
      <c r="B1587" s="217"/>
      <c r="F1587" s="218"/>
      <c r="G1587" s="218"/>
      <c r="H1587" s="219"/>
      <c r="I1587" s="219"/>
      <c r="J1587" s="219"/>
      <c r="O1587" s="219"/>
    </row>
    <row r="1588">
      <c r="A1588" s="216"/>
      <c r="B1588" s="217"/>
      <c r="F1588" s="218"/>
      <c r="G1588" s="218"/>
      <c r="H1588" s="219"/>
      <c r="I1588" s="219"/>
      <c r="J1588" s="219"/>
      <c r="O1588" s="219"/>
    </row>
    <row r="1589">
      <c r="A1589" s="216"/>
      <c r="B1589" s="217"/>
      <c r="F1589" s="218"/>
      <c r="G1589" s="218"/>
      <c r="H1589" s="219"/>
      <c r="I1589" s="219"/>
      <c r="J1589" s="219"/>
      <c r="O1589" s="219"/>
    </row>
    <row r="1590">
      <c r="A1590" s="216"/>
      <c r="B1590" s="217"/>
      <c r="F1590" s="218"/>
      <c r="G1590" s="218"/>
      <c r="H1590" s="219"/>
      <c r="I1590" s="219"/>
      <c r="J1590" s="219"/>
      <c r="O1590" s="219"/>
    </row>
    <row r="1591">
      <c r="A1591" s="216"/>
      <c r="B1591" s="217"/>
      <c r="F1591" s="218"/>
      <c r="G1591" s="218"/>
      <c r="H1591" s="219"/>
      <c r="I1591" s="219"/>
      <c r="J1591" s="219"/>
      <c r="O1591" s="219"/>
    </row>
    <row r="1592">
      <c r="A1592" s="216"/>
      <c r="B1592" s="217"/>
      <c r="F1592" s="218"/>
      <c r="G1592" s="218"/>
      <c r="H1592" s="219"/>
      <c r="I1592" s="219"/>
      <c r="J1592" s="219"/>
      <c r="O1592" s="219"/>
    </row>
    <row r="1593">
      <c r="A1593" s="216"/>
      <c r="B1593" s="217"/>
      <c r="F1593" s="218"/>
      <c r="G1593" s="218"/>
      <c r="H1593" s="219"/>
      <c r="I1593" s="219"/>
      <c r="J1593" s="219"/>
      <c r="O1593" s="219"/>
    </row>
    <row r="1594">
      <c r="A1594" s="216"/>
      <c r="B1594" s="217"/>
      <c r="F1594" s="218"/>
      <c r="G1594" s="218"/>
      <c r="H1594" s="219"/>
      <c r="I1594" s="219"/>
      <c r="J1594" s="219"/>
      <c r="O1594" s="219"/>
    </row>
    <row r="1595">
      <c r="A1595" s="216"/>
      <c r="B1595" s="217"/>
      <c r="F1595" s="218"/>
      <c r="G1595" s="218"/>
      <c r="H1595" s="219"/>
      <c r="I1595" s="219"/>
      <c r="J1595" s="219"/>
      <c r="O1595" s="219"/>
    </row>
    <row r="1596">
      <c r="A1596" s="216"/>
      <c r="B1596" s="217"/>
      <c r="F1596" s="218"/>
      <c r="G1596" s="218"/>
      <c r="H1596" s="219"/>
      <c r="I1596" s="219"/>
      <c r="J1596" s="219"/>
      <c r="O1596" s="219"/>
    </row>
    <row r="1597">
      <c r="A1597" s="216"/>
      <c r="B1597" s="217"/>
      <c r="F1597" s="218"/>
      <c r="G1597" s="218"/>
      <c r="H1597" s="219"/>
      <c r="I1597" s="219"/>
      <c r="J1597" s="219"/>
      <c r="O1597" s="219"/>
    </row>
    <row r="1598">
      <c r="A1598" s="216"/>
      <c r="B1598" s="217"/>
      <c r="F1598" s="218"/>
      <c r="G1598" s="218"/>
      <c r="H1598" s="219"/>
      <c r="I1598" s="219"/>
      <c r="J1598" s="219"/>
      <c r="O1598" s="219"/>
    </row>
    <row r="1599">
      <c r="A1599" s="216"/>
      <c r="B1599" s="217"/>
      <c r="F1599" s="218"/>
      <c r="G1599" s="218"/>
      <c r="H1599" s="219"/>
      <c r="I1599" s="219"/>
      <c r="J1599" s="219"/>
      <c r="O1599" s="219"/>
    </row>
    <row r="1600">
      <c r="A1600" s="216"/>
      <c r="B1600" s="217"/>
      <c r="F1600" s="218"/>
      <c r="G1600" s="218"/>
      <c r="H1600" s="219"/>
      <c r="I1600" s="219"/>
      <c r="J1600" s="219"/>
      <c r="O1600" s="219"/>
    </row>
    <row r="1601">
      <c r="A1601" s="216"/>
      <c r="B1601" s="217"/>
      <c r="F1601" s="218"/>
      <c r="G1601" s="218"/>
      <c r="H1601" s="219"/>
      <c r="I1601" s="219"/>
      <c r="J1601" s="219"/>
      <c r="O1601" s="219"/>
    </row>
    <row r="1602">
      <c r="A1602" s="216"/>
      <c r="B1602" s="217"/>
      <c r="F1602" s="218"/>
      <c r="G1602" s="218"/>
      <c r="H1602" s="219"/>
      <c r="I1602" s="219"/>
      <c r="J1602" s="219"/>
      <c r="O1602" s="219"/>
    </row>
    <row r="1603">
      <c r="A1603" s="216"/>
      <c r="B1603" s="217"/>
      <c r="F1603" s="218"/>
      <c r="G1603" s="218"/>
      <c r="H1603" s="219"/>
      <c r="I1603" s="219"/>
      <c r="J1603" s="219"/>
      <c r="O1603" s="219"/>
    </row>
    <row r="1604">
      <c r="A1604" s="216"/>
      <c r="B1604" s="217"/>
      <c r="F1604" s="218"/>
      <c r="G1604" s="218"/>
      <c r="H1604" s="219"/>
      <c r="I1604" s="219"/>
      <c r="J1604" s="219"/>
      <c r="O1604" s="219"/>
    </row>
    <row r="1605">
      <c r="A1605" s="216"/>
      <c r="B1605" s="217"/>
      <c r="F1605" s="218"/>
      <c r="G1605" s="218"/>
      <c r="H1605" s="219"/>
      <c r="I1605" s="219"/>
      <c r="J1605" s="219"/>
      <c r="O1605" s="219"/>
    </row>
    <row r="1606">
      <c r="A1606" s="216"/>
      <c r="B1606" s="217"/>
      <c r="F1606" s="218"/>
      <c r="G1606" s="218"/>
      <c r="H1606" s="219"/>
      <c r="I1606" s="219"/>
      <c r="J1606" s="219"/>
      <c r="O1606" s="219"/>
    </row>
    <row r="1607">
      <c r="A1607" s="216"/>
      <c r="B1607" s="217"/>
      <c r="F1607" s="218"/>
      <c r="G1607" s="218"/>
      <c r="H1607" s="219"/>
      <c r="I1607" s="219"/>
      <c r="J1607" s="219"/>
      <c r="O1607" s="219"/>
    </row>
    <row r="1608">
      <c r="A1608" s="216"/>
      <c r="B1608" s="217"/>
      <c r="F1608" s="218"/>
      <c r="G1608" s="218"/>
      <c r="H1608" s="219"/>
      <c r="I1608" s="219"/>
      <c r="J1608" s="219"/>
      <c r="O1608" s="219"/>
    </row>
    <row r="1609">
      <c r="A1609" s="216"/>
      <c r="B1609" s="217"/>
      <c r="F1609" s="218"/>
      <c r="G1609" s="218"/>
      <c r="H1609" s="219"/>
      <c r="I1609" s="219"/>
      <c r="J1609" s="219"/>
      <c r="O1609" s="219"/>
    </row>
    <row r="1610">
      <c r="A1610" s="216"/>
      <c r="B1610" s="217"/>
      <c r="F1610" s="218"/>
      <c r="G1610" s="218"/>
      <c r="H1610" s="219"/>
      <c r="I1610" s="219"/>
      <c r="J1610" s="219"/>
      <c r="O1610" s="219"/>
    </row>
    <row r="1611">
      <c r="A1611" s="216"/>
      <c r="B1611" s="217"/>
      <c r="F1611" s="218"/>
      <c r="G1611" s="218"/>
      <c r="H1611" s="219"/>
      <c r="I1611" s="219"/>
      <c r="J1611" s="219"/>
      <c r="O1611" s="219"/>
    </row>
    <row r="1612">
      <c r="A1612" s="216"/>
      <c r="B1612" s="217"/>
      <c r="F1612" s="218"/>
      <c r="G1612" s="218"/>
      <c r="H1612" s="219"/>
      <c r="I1612" s="219"/>
      <c r="J1612" s="219"/>
      <c r="O1612" s="219"/>
    </row>
    <row r="1613">
      <c r="A1613" s="216"/>
      <c r="B1613" s="217"/>
      <c r="F1613" s="218"/>
      <c r="G1613" s="218"/>
      <c r="H1613" s="219"/>
      <c r="I1613" s="219"/>
      <c r="J1613" s="219"/>
      <c r="O1613" s="219"/>
    </row>
    <row r="1614">
      <c r="A1614" s="216"/>
      <c r="B1614" s="217"/>
      <c r="F1614" s="218"/>
      <c r="G1614" s="218"/>
      <c r="H1614" s="219"/>
      <c r="I1614" s="219"/>
      <c r="J1614" s="219"/>
      <c r="O1614" s="219"/>
    </row>
    <row r="1615">
      <c r="A1615" s="216"/>
      <c r="B1615" s="217"/>
      <c r="F1615" s="218"/>
      <c r="G1615" s="218"/>
      <c r="H1615" s="219"/>
      <c r="I1615" s="219"/>
      <c r="J1615" s="219"/>
      <c r="O1615" s="219"/>
    </row>
    <row r="1616">
      <c r="A1616" s="216"/>
      <c r="B1616" s="217"/>
      <c r="F1616" s="218"/>
      <c r="G1616" s="218"/>
      <c r="H1616" s="219"/>
      <c r="I1616" s="219"/>
      <c r="J1616" s="219"/>
      <c r="O1616" s="219"/>
    </row>
    <row r="1617">
      <c r="A1617" s="216"/>
      <c r="B1617" s="217"/>
      <c r="F1617" s="218"/>
      <c r="G1617" s="218"/>
      <c r="H1617" s="219"/>
      <c r="I1617" s="219"/>
      <c r="J1617" s="219"/>
      <c r="O1617" s="219"/>
    </row>
    <row r="1618">
      <c r="A1618" s="216"/>
      <c r="B1618" s="217"/>
      <c r="F1618" s="218"/>
      <c r="G1618" s="218"/>
      <c r="H1618" s="219"/>
      <c r="I1618" s="219"/>
      <c r="J1618" s="219"/>
      <c r="O1618" s="219"/>
    </row>
    <row r="1619">
      <c r="A1619" s="216"/>
      <c r="B1619" s="217"/>
      <c r="F1619" s="218"/>
      <c r="G1619" s="218"/>
      <c r="H1619" s="219"/>
      <c r="I1619" s="219"/>
      <c r="J1619" s="219"/>
      <c r="O1619" s="219"/>
    </row>
    <row r="1620">
      <c r="A1620" s="216"/>
      <c r="B1620" s="217"/>
      <c r="F1620" s="218"/>
      <c r="G1620" s="218"/>
      <c r="H1620" s="219"/>
      <c r="I1620" s="219"/>
      <c r="J1620" s="219"/>
      <c r="O1620" s="219"/>
    </row>
    <row r="1621">
      <c r="A1621" s="216"/>
      <c r="B1621" s="217"/>
      <c r="F1621" s="218"/>
      <c r="G1621" s="218"/>
      <c r="H1621" s="219"/>
      <c r="I1621" s="219"/>
      <c r="J1621" s="219"/>
      <c r="O1621" s="219"/>
    </row>
    <row r="1622">
      <c r="A1622" s="216"/>
      <c r="B1622" s="217"/>
      <c r="F1622" s="218"/>
      <c r="G1622" s="218"/>
      <c r="H1622" s="219"/>
      <c r="I1622" s="219"/>
      <c r="J1622" s="219"/>
      <c r="O1622" s="219"/>
    </row>
    <row r="1623">
      <c r="A1623" s="216"/>
      <c r="B1623" s="217"/>
      <c r="F1623" s="218"/>
      <c r="G1623" s="218"/>
      <c r="H1623" s="219"/>
      <c r="I1623" s="219"/>
      <c r="J1623" s="219"/>
      <c r="O1623" s="219"/>
    </row>
    <row r="1624">
      <c r="A1624" s="216"/>
      <c r="B1624" s="217"/>
      <c r="F1624" s="218"/>
      <c r="G1624" s="218"/>
      <c r="H1624" s="219"/>
      <c r="I1624" s="219"/>
      <c r="J1624" s="219"/>
      <c r="O1624" s="219"/>
    </row>
    <row r="1625">
      <c r="A1625" s="216"/>
      <c r="B1625" s="217"/>
      <c r="F1625" s="218"/>
      <c r="G1625" s="218"/>
      <c r="H1625" s="219"/>
      <c r="I1625" s="219"/>
      <c r="J1625" s="219"/>
      <c r="O1625" s="219"/>
    </row>
    <row r="1626">
      <c r="A1626" s="216"/>
      <c r="B1626" s="217"/>
      <c r="F1626" s="218"/>
      <c r="G1626" s="218"/>
      <c r="H1626" s="219"/>
      <c r="I1626" s="219"/>
      <c r="J1626" s="219"/>
      <c r="O1626" s="219"/>
    </row>
    <row r="1627">
      <c r="A1627" s="216"/>
      <c r="B1627" s="217"/>
      <c r="F1627" s="218"/>
      <c r="G1627" s="218"/>
      <c r="H1627" s="219"/>
      <c r="I1627" s="219"/>
      <c r="J1627" s="219"/>
      <c r="O1627" s="219"/>
    </row>
    <row r="1628">
      <c r="A1628" s="216"/>
      <c r="B1628" s="217"/>
      <c r="F1628" s="218"/>
      <c r="G1628" s="218"/>
      <c r="H1628" s="219"/>
      <c r="I1628" s="219"/>
      <c r="J1628" s="219"/>
      <c r="O1628" s="219"/>
    </row>
    <row r="1629">
      <c r="A1629" s="216"/>
      <c r="B1629" s="217"/>
      <c r="F1629" s="218"/>
      <c r="G1629" s="218"/>
      <c r="H1629" s="219"/>
      <c r="I1629" s="219"/>
      <c r="J1629" s="219"/>
      <c r="O1629" s="219"/>
    </row>
    <row r="1630">
      <c r="A1630" s="216"/>
      <c r="B1630" s="217"/>
      <c r="F1630" s="218"/>
      <c r="G1630" s="218"/>
      <c r="H1630" s="219"/>
      <c r="I1630" s="219"/>
      <c r="J1630" s="219"/>
      <c r="O1630" s="219"/>
    </row>
    <row r="1631">
      <c r="A1631" s="216"/>
      <c r="B1631" s="217"/>
      <c r="F1631" s="218"/>
      <c r="G1631" s="218"/>
      <c r="H1631" s="219"/>
      <c r="I1631" s="219"/>
      <c r="J1631" s="219"/>
      <c r="O1631" s="219"/>
    </row>
    <row r="1632">
      <c r="A1632" s="216"/>
      <c r="B1632" s="217"/>
      <c r="F1632" s="218"/>
      <c r="G1632" s="218"/>
      <c r="H1632" s="219"/>
      <c r="I1632" s="219"/>
      <c r="J1632" s="219"/>
      <c r="O1632" s="219"/>
    </row>
    <row r="1633">
      <c r="A1633" s="216"/>
      <c r="B1633" s="217"/>
      <c r="F1633" s="218"/>
      <c r="G1633" s="218"/>
      <c r="H1633" s="219"/>
      <c r="I1633" s="219"/>
      <c r="J1633" s="219"/>
      <c r="O1633" s="219"/>
    </row>
    <row r="1634">
      <c r="A1634" s="216"/>
      <c r="B1634" s="217"/>
      <c r="F1634" s="218"/>
      <c r="G1634" s="218"/>
      <c r="H1634" s="219"/>
      <c r="I1634" s="219"/>
      <c r="J1634" s="219"/>
      <c r="O1634" s="219"/>
    </row>
    <row r="1635">
      <c r="A1635" s="216"/>
      <c r="B1635" s="217"/>
      <c r="F1635" s="218"/>
      <c r="G1635" s="218"/>
      <c r="H1635" s="219"/>
      <c r="I1635" s="219"/>
      <c r="J1635" s="219"/>
      <c r="O1635" s="219"/>
    </row>
    <row r="1636">
      <c r="A1636" s="216"/>
      <c r="B1636" s="217"/>
      <c r="F1636" s="218"/>
      <c r="G1636" s="218"/>
      <c r="H1636" s="219"/>
      <c r="I1636" s="219"/>
      <c r="J1636" s="219"/>
      <c r="O1636" s="219"/>
    </row>
    <row r="1637">
      <c r="A1637" s="216"/>
      <c r="B1637" s="217"/>
      <c r="F1637" s="218"/>
      <c r="G1637" s="218"/>
      <c r="H1637" s="219"/>
      <c r="I1637" s="219"/>
      <c r="J1637" s="219"/>
      <c r="O1637" s="219"/>
    </row>
    <row r="1638">
      <c r="A1638" s="216"/>
      <c r="B1638" s="217"/>
      <c r="F1638" s="218"/>
      <c r="G1638" s="218"/>
      <c r="H1638" s="219"/>
      <c r="I1638" s="219"/>
      <c r="J1638" s="219"/>
      <c r="O1638" s="219"/>
    </row>
    <row r="1639">
      <c r="A1639" s="216"/>
      <c r="B1639" s="217"/>
      <c r="F1639" s="218"/>
      <c r="G1639" s="218"/>
      <c r="H1639" s="219"/>
      <c r="I1639" s="219"/>
      <c r="J1639" s="219"/>
      <c r="O1639" s="219"/>
    </row>
    <row r="1640">
      <c r="A1640" s="216"/>
      <c r="B1640" s="217"/>
      <c r="F1640" s="218"/>
      <c r="G1640" s="218"/>
      <c r="H1640" s="219"/>
      <c r="I1640" s="219"/>
      <c r="J1640" s="219"/>
      <c r="O1640" s="219"/>
    </row>
    <row r="1641">
      <c r="A1641" s="216"/>
      <c r="B1641" s="217"/>
      <c r="F1641" s="218"/>
      <c r="G1641" s="218"/>
      <c r="H1641" s="219"/>
      <c r="I1641" s="219"/>
      <c r="J1641" s="219"/>
      <c r="O1641" s="219"/>
    </row>
    <row r="1642">
      <c r="A1642" s="216"/>
      <c r="B1642" s="217"/>
      <c r="F1642" s="218"/>
      <c r="G1642" s="218"/>
      <c r="H1642" s="219"/>
      <c r="I1642" s="219"/>
      <c r="J1642" s="219"/>
      <c r="O1642" s="219"/>
    </row>
    <row r="1643">
      <c r="A1643" s="216"/>
      <c r="B1643" s="217"/>
      <c r="F1643" s="218"/>
      <c r="G1643" s="218"/>
      <c r="H1643" s="219"/>
      <c r="I1643" s="219"/>
      <c r="J1643" s="219"/>
      <c r="O1643" s="219"/>
    </row>
    <row r="1644">
      <c r="A1644" s="216"/>
      <c r="B1644" s="217"/>
      <c r="F1644" s="218"/>
      <c r="G1644" s="218"/>
      <c r="H1644" s="219"/>
      <c r="I1644" s="219"/>
      <c r="J1644" s="219"/>
      <c r="O1644" s="219"/>
    </row>
    <row r="1645">
      <c r="A1645" s="216"/>
      <c r="B1645" s="217"/>
      <c r="F1645" s="218"/>
      <c r="G1645" s="218"/>
      <c r="H1645" s="219"/>
      <c r="I1645" s="219"/>
      <c r="J1645" s="219"/>
      <c r="O1645" s="219"/>
    </row>
    <row r="1646">
      <c r="A1646" s="216"/>
      <c r="B1646" s="217"/>
      <c r="F1646" s="218"/>
      <c r="G1646" s="218"/>
      <c r="H1646" s="219"/>
      <c r="I1646" s="219"/>
      <c r="J1646" s="219"/>
      <c r="O1646" s="219"/>
    </row>
    <row r="1647">
      <c r="A1647" s="216"/>
      <c r="B1647" s="217"/>
      <c r="F1647" s="218"/>
      <c r="G1647" s="218"/>
      <c r="H1647" s="219"/>
      <c r="I1647" s="219"/>
      <c r="J1647" s="219"/>
      <c r="O1647" s="219"/>
    </row>
    <row r="1648">
      <c r="A1648" s="216"/>
      <c r="B1648" s="217"/>
      <c r="F1648" s="218"/>
      <c r="G1648" s="218"/>
      <c r="H1648" s="219"/>
      <c r="I1648" s="219"/>
      <c r="J1648" s="219"/>
      <c r="O1648" s="219"/>
    </row>
    <row r="1649">
      <c r="A1649" s="216"/>
      <c r="B1649" s="217"/>
      <c r="F1649" s="218"/>
      <c r="G1649" s="218"/>
      <c r="H1649" s="219"/>
      <c r="I1649" s="219"/>
      <c r="J1649" s="219"/>
      <c r="O1649" s="219"/>
    </row>
    <row r="1650">
      <c r="A1650" s="216"/>
      <c r="B1650" s="217"/>
      <c r="F1650" s="218"/>
      <c r="G1650" s="218"/>
      <c r="H1650" s="219"/>
      <c r="I1650" s="219"/>
      <c r="J1650" s="219"/>
      <c r="O1650" s="219"/>
    </row>
    <row r="1651">
      <c r="A1651" s="216"/>
      <c r="B1651" s="217"/>
      <c r="F1651" s="218"/>
      <c r="G1651" s="218"/>
      <c r="H1651" s="219"/>
      <c r="I1651" s="219"/>
      <c r="J1651" s="219"/>
      <c r="O1651" s="219"/>
    </row>
    <row r="1652">
      <c r="A1652" s="216"/>
      <c r="B1652" s="217"/>
      <c r="F1652" s="218"/>
      <c r="G1652" s="218"/>
      <c r="H1652" s="219"/>
      <c r="I1652" s="219"/>
      <c r="J1652" s="219"/>
      <c r="O1652" s="219"/>
    </row>
    <row r="1653">
      <c r="A1653" s="216"/>
      <c r="B1653" s="217"/>
      <c r="F1653" s="218"/>
      <c r="G1653" s="218"/>
      <c r="H1653" s="219"/>
      <c r="I1653" s="219"/>
      <c r="J1653" s="219"/>
      <c r="O1653" s="219"/>
    </row>
    <row r="1654">
      <c r="A1654" s="216"/>
      <c r="B1654" s="217"/>
      <c r="F1654" s="218"/>
      <c r="G1654" s="218"/>
      <c r="H1654" s="219"/>
      <c r="I1654" s="219"/>
      <c r="J1654" s="219"/>
      <c r="O1654" s="219"/>
    </row>
    <row r="1655">
      <c r="A1655" s="216"/>
      <c r="B1655" s="217"/>
      <c r="F1655" s="218"/>
      <c r="G1655" s="218"/>
      <c r="H1655" s="219"/>
      <c r="I1655" s="219"/>
      <c r="J1655" s="219"/>
      <c r="O1655" s="219"/>
    </row>
    <row r="1656">
      <c r="A1656" s="216"/>
      <c r="B1656" s="217"/>
      <c r="F1656" s="218"/>
      <c r="G1656" s="218"/>
      <c r="H1656" s="219"/>
      <c r="I1656" s="219"/>
      <c r="J1656" s="219"/>
      <c r="O1656" s="219"/>
    </row>
    <row r="1657">
      <c r="A1657" s="216"/>
      <c r="B1657" s="217"/>
      <c r="F1657" s="218"/>
      <c r="G1657" s="218"/>
      <c r="H1657" s="219"/>
      <c r="I1657" s="219"/>
      <c r="J1657" s="219"/>
      <c r="O1657" s="219"/>
    </row>
    <row r="1658">
      <c r="A1658" s="216"/>
      <c r="B1658" s="217"/>
      <c r="F1658" s="218"/>
      <c r="G1658" s="218"/>
      <c r="H1658" s="219"/>
      <c r="I1658" s="219"/>
      <c r="J1658" s="219"/>
      <c r="O1658" s="219"/>
    </row>
    <row r="1659">
      <c r="A1659" s="216"/>
      <c r="B1659" s="217"/>
      <c r="F1659" s="218"/>
      <c r="G1659" s="218"/>
      <c r="H1659" s="219"/>
      <c r="I1659" s="219"/>
      <c r="J1659" s="219"/>
      <c r="O1659" s="219"/>
    </row>
    <row r="1660">
      <c r="A1660" s="216"/>
      <c r="B1660" s="217"/>
      <c r="F1660" s="218"/>
      <c r="G1660" s="218"/>
      <c r="H1660" s="219"/>
      <c r="I1660" s="219"/>
      <c r="J1660" s="219"/>
      <c r="O1660" s="219"/>
    </row>
    <row r="1661">
      <c r="A1661" s="216"/>
      <c r="B1661" s="217"/>
      <c r="F1661" s="218"/>
      <c r="G1661" s="218"/>
      <c r="H1661" s="219"/>
      <c r="I1661" s="219"/>
      <c r="J1661" s="219"/>
      <c r="O1661" s="219"/>
    </row>
    <row r="1662">
      <c r="A1662" s="216"/>
      <c r="B1662" s="217"/>
      <c r="F1662" s="218"/>
      <c r="G1662" s="218"/>
      <c r="H1662" s="219"/>
      <c r="I1662" s="219"/>
      <c r="J1662" s="219"/>
      <c r="O1662" s="219"/>
    </row>
    <row r="1663">
      <c r="A1663" s="216"/>
      <c r="B1663" s="217"/>
      <c r="F1663" s="218"/>
      <c r="G1663" s="218"/>
      <c r="H1663" s="219"/>
      <c r="I1663" s="219"/>
      <c r="J1663" s="219"/>
      <c r="O1663" s="219"/>
    </row>
    <row r="1664">
      <c r="A1664" s="216"/>
      <c r="B1664" s="217"/>
      <c r="F1664" s="218"/>
      <c r="G1664" s="218"/>
      <c r="H1664" s="219"/>
      <c r="I1664" s="219"/>
      <c r="J1664" s="219"/>
      <c r="O1664" s="219"/>
    </row>
    <row r="1665">
      <c r="A1665" s="216"/>
      <c r="B1665" s="217"/>
      <c r="F1665" s="218"/>
      <c r="G1665" s="218"/>
      <c r="H1665" s="219"/>
      <c r="I1665" s="219"/>
      <c r="J1665" s="219"/>
      <c r="O1665" s="219"/>
    </row>
    <row r="1666">
      <c r="A1666" s="216"/>
      <c r="B1666" s="217"/>
      <c r="F1666" s="218"/>
      <c r="G1666" s="218"/>
      <c r="H1666" s="219"/>
      <c r="I1666" s="219"/>
      <c r="J1666" s="219"/>
      <c r="O1666" s="219"/>
    </row>
    <row r="1667">
      <c r="A1667" s="216"/>
      <c r="B1667" s="217"/>
      <c r="F1667" s="218"/>
      <c r="G1667" s="218"/>
      <c r="H1667" s="219"/>
      <c r="I1667" s="219"/>
      <c r="J1667" s="219"/>
      <c r="O1667" s="219"/>
    </row>
    <row r="1668">
      <c r="A1668" s="216"/>
      <c r="B1668" s="217"/>
      <c r="F1668" s="218"/>
      <c r="G1668" s="218"/>
      <c r="H1668" s="219"/>
      <c r="I1668" s="219"/>
      <c r="J1668" s="219"/>
      <c r="O1668" s="219"/>
    </row>
    <row r="1669">
      <c r="A1669" s="216"/>
      <c r="B1669" s="217"/>
      <c r="F1669" s="218"/>
      <c r="G1669" s="218"/>
      <c r="H1669" s="219"/>
      <c r="I1669" s="219"/>
      <c r="J1669" s="219"/>
      <c r="O1669" s="219"/>
    </row>
    <row r="1670">
      <c r="A1670" s="216"/>
      <c r="B1670" s="217"/>
      <c r="F1670" s="218"/>
      <c r="G1670" s="218"/>
      <c r="H1670" s="219"/>
      <c r="I1670" s="219"/>
      <c r="J1670" s="219"/>
      <c r="O1670" s="219"/>
    </row>
    <row r="1671">
      <c r="A1671" s="216"/>
      <c r="B1671" s="217"/>
      <c r="F1671" s="218"/>
      <c r="G1671" s="218"/>
      <c r="H1671" s="219"/>
      <c r="I1671" s="219"/>
      <c r="J1671" s="219"/>
      <c r="O1671" s="219"/>
    </row>
    <row r="1672">
      <c r="A1672" s="216"/>
      <c r="B1672" s="217"/>
      <c r="F1672" s="218"/>
      <c r="G1672" s="218"/>
      <c r="H1672" s="219"/>
      <c r="I1672" s="219"/>
      <c r="J1672" s="219"/>
      <c r="O1672" s="219"/>
    </row>
    <row r="1673">
      <c r="A1673" s="216"/>
      <c r="B1673" s="217"/>
      <c r="F1673" s="218"/>
      <c r="G1673" s="218"/>
      <c r="H1673" s="219"/>
      <c r="I1673" s="219"/>
      <c r="J1673" s="219"/>
      <c r="O1673" s="219"/>
    </row>
    <row r="1674">
      <c r="A1674" s="216"/>
      <c r="B1674" s="217"/>
      <c r="F1674" s="218"/>
      <c r="G1674" s="218"/>
      <c r="H1674" s="219"/>
      <c r="I1674" s="219"/>
      <c r="J1674" s="219"/>
      <c r="O1674" s="219"/>
    </row>
    <row r="1675">
      <c r="A1675" s="216"/>
      <c r="B1675" s="217"/>
      <c r="F1675" s="218"/>
      <c r="G1675" s="218"/>
      <c r="H1675" s="219"/>
      <c r="I1675" s="219"/>
      <c r="J1675" s="219"/>
      <c r="O1675" s="219"/>
    </row>
    <row r="1676">
      <c r="A1676" s="216"/>
      <c r="B1676" s="217"/>
      <c r="F1676" s="218"/>
      <c r="G1676" s="218"/>
      <c r="H1676" s="219"/>
      <c r="I1676" s="219"/>
      <c r="J1676" s="219"/>
      <c r="O1676" s="219"/>
    </row>
    <row r="1677">
      <c r="A1677" s="216"/>
      <c r="B1677" s="217"/>
      <c r="F1677" s="218"/>
      <c r="G1677" s="218"/>
      <c r="H1677" s="219"/>
      <c r="I1677" s="219"/>
      <c r="J1677" s="219"/>
      <c r="O1677" s="219"/>
    </row>
    <row r="1678">
      <c r="A1678" s="216"/>
      <c r="B1678" s="217"/>
      <c r="F1678" s="218"/>
      <c r="G1678" s="218"/>
      <c r="H1678" s="219"/>
      <c r="I1678" s="219"/>
      <c r="J1678" s="219"/>
      <c r="O1678" s="219"/>
    </row>
    <row r="1679">
      <c r="A1679" s="216"/>
      <c r="B1679" s="217"/>
      <c r="F1679" s="218"/>
      <c r="G1679" s="218"/>
      <c r="H1679" s="219"/>
      <c r="I1679" s="219"/>
      <c r="J1679" s="219"/>
      <c r="O1679" s="219"/>
    </row>
    <row r="1680">
      <c r="A1680" s="216"/>
      <c r="B1680" s="217"/>
      <c r="F1680" s="218"/>
      <c r="G1680" s="218"/>
      <c r="H1680" s="219"/>
      <c r="I1680" s="219"/>
      <c r="J1680" s="219"/>
      <c r="O1680" s="219"/>
    </row>
    <row r="1681">
      <c r="A1681" s="216"/>
      <c r="B1681" s="217"/>
      <c r="F1681" s="218"/>
      <c r="G1681" s="218"/>
      <c r="H1681" s="219"/>
      <c r="I1681" s="219"/>
      <c r="J1681" s="219"/>
      <c r="O1681" s="219"/>
    </row>
    <row r="1682">
      <c r="A1682" s="216"/>
      <c r="B1682" s="217"/>
      <c r="F1682" s="218"/>
      <c r="G1682" s="218"/>
      <c r="H1682" s="219"/>
      <c r="I1682" s="219"/>
      <c r="J1682" s="219"/>
      <c r="O1682" s="219"/>
    </row>
    <row r="1683">
      <c r="A1683" s="216"/>
      <c r="B1683" s="217"/>
      <c r="F1683" s="218"/>
      <c r="G1683" s="218"/>
      <c r="H1683" s="219"/>
      <c r="I1683" s="219"/>
      <c r="J1683" s="219"/>
      <c r="O1683" s="219"/>
    </row>
    <row r="1684">
      <c r="A1684" s="216"/>
      <c r="B1684" s="217"/>
      <c r="F1684" s="218"/>
      <c r="G1684" s="218"/>
      <c r="H1684" s="219"/>
      <c r="I1684" s="219"/>
      <c r="J1684" s="219"/>
      <c r="O1684" s="219"/>
    </row>
  </sheetData>
  <autoFilter ref="$A$20:$Q$255"/>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2" width="7.88"/>
    <col customWidth="1" min="3" max="3" width="8.5"/>
    <col customWidth="1" min="4" max="4" width="8.0"/>
    <col customWidth="1" min="5" max="5" width="11.38"/>
    <col customWidth="1" min="6" max="6" width="12.13"/>
    <col customWidth="1" min="7" max="7" width="13.63"/>
    <col customWidth="1" min="8" max="8" width="13.5"/>
    <col customWidth="1" min="9" max="10" width="13.63"/>
    <col customWidth="1" min="11" max="11" width="36.88"/>
    <col customWidth="1" min="12" max="12" width="24.13"/>
    <col customWidth="1" min="13" max="13" width="13.63"/>
    <col customWidth="1" min="14" max="14" width="13.5"/>
    <col customWidth="1" min="15" max="15" width="13.63"/>
    <col customWidth="1" min="16" max="16" width="27.38"/>
    <col customWidth="1" min="17" max="17" width="27.63"/>
    <col customWidth="1" min="18" max="18" width="15.38"/>
    <col customWidth="1" min="19" max="19" width="15.25"/>
    <col customWidth="1" min="20" max="22" width="15.38"/>
    <col customWidth="1" min="23" max="23" width="15.25"/>
    <col customWidth="1" min="24" max="24" width="15.38"/>
    <col customWidth="1" min="25" max="25" width="15.25"/>
    <col customWidth="1" min="26" max="26" width="15.38"/>
    <col customWidth="1" min="27" max="27" width="29.13"/>
    <col customWidth="1" min="28" max="28" width="29.38"/>
  </cols>
  <sheetData>
    <row r="1">
      <c r="K1" s="220" t="s">
        <v>142</v>
      </c>
      <c r="L1" s="220" t="s">
        <v>82</v>
      </c>
    </row>
    <row r="2">
      <c r="K2" s="11" t="s">
        <v>143</v>
      </c>
      <c r="L2" s="14">
        <v>350.0</v>
      </c>
    </row>
    <row r="3">
      <c r="K3" s="11" t="s">
        <v>144</v>
      </c>
      <c r="L3" s="14">
        <v>900.0</v>
      </c>
    </row>
    <row r="4">
      <c r="K4" s="11" t="s">
        <v>145</v>
      </c>
      <c r="L4" s="14">
        <v>5.0</v>
      </c>
    </row>
    <row r="5">
      <c r="K5" s="11" t="s">
        <v>146</v>
      </c>
      <c r="L5" s="14">
        <v>85.0</v>
      </c>
    </row>
    <row r="6">
      <c r="K6" s="11" t="s">
        <v>147</v>
      </c>
      <c r="L6" s="14">
        <v>1.0</v>
      </c>
    </row>
    <row r="7">
      <c r="K7" s="11" t="s">
        <v>148</v>
      </c>
      <c r="L7" s="11" t="s">
        <v>149</v>
      </c>
    </row>
    <row r="8">
      <c r="K8" s="11" t="s">
        <v>150</v>
      </c>
    </row>
    <row r="84">
      <c r="A84" s="220" t="s">
        <v>151</v>
      </c>
    </row>
    <row r="85">
      <c r="A85" s="11" t="s">
        <v>152</v>
      </c>
      <c r="B85" s="11" t="s">
        <v>153</v>
      </c>
      <c r="C85" s="11" t="s">
        <v>154</v>
      </c>
      <c r="D85" s="11" t="s">
        <v>155</v>
      </c>
      <c r="E85" s="11" t="s">
        <v>156</v>
      </c>
      <c r="F85" s="11" t="s">
        <v>157</v>
      </c>
      <c r="G85" s="11" t="s">
        <v>158</v>
      </c>
      <c r="H85" s="11" t="s">
        <v>159</v>
      </c>
      <c r="I85" s="11" t="s">
        <v>160</v>
      </c>
      <c r="J85" s="11" t="s">
        <v>161</v>
      </c>
      <c r="K85" s="11" t="s">
        <v>162</v>
      </c>
      <c r="L85" s="11" t="s">
        <v>163</v>
      </c>
      <c r="M85" s="11" t="s">
        <v>164</v>
      </c>
      <c r="N85" s="11" t="s">
        <v>165</v>
      </c>
      <c r="O85" s="11" t="s">
        <v>166</v>
      </c>
      <c r="P85" s="11" t="s">
        <v>167</v>
      </c>
      <c r="Q85" s="11" t="s">
        <v>168</v>
      </c>
      <c r="R85" s="11" t="s">
        <v>169</v>
      </c>
      <c r="S85" s="11" t="s">
        <v>170</v>
      </c>
      <c r="T85" s="11" t="s">
        <v>171</v>
      </c>
      <c r="U85" s="11" t="s">
        <v>172</v>
      </c>
      <c r="V85" s="11" t="s">
        <v>173</v>
      </c>
      <c r="W85" s="11" t="s">
        <v>174</v>
      </c>
      <c r="X85" s="11" t="s">
        <v>175</v>
      </c>
      <c r="Y85" s="11" t="s">
        <v>176</v>
      </c>
      <c r="Z85" s="11" t="s">
        <v>177</v>
      </c>
      <c r="AA85" s="11" t="s">
        <v>178</v>
      </c>
      <c r="AB85" s="11" t="s">
        <v>179</v>
      </c>
    </row>
    <row r="86">
      <c r="A86" s="14">
        <v>350.0</v>
      </c>
      <c r="B86" s="14">
        <v>226450.0</v>
      </c>
      <c r="C86" s="14">
        <v>61000.0</v>
      </c>
      <c r="D86" s="14">
        <v>287450.0</v>
      </c>
      <c r="E86" s="221">
        <v>0.2671</v>
      </c>
      <c r="F86" s="221">
        <v>-0.7309</v>
      </c>
      <c r="G86" s="14">
        <v>35000.0</v>
      </c>
      <c r="H86" s="14">
        <v>0.0</v>
      </c>
      <c r="I86" s="14">
        <v>0.0</v>
      </c>
      <c r="J86" s="14">
        <v>0.0</v>
      </c>
      <c r="K86" s="14">
        <v>0.0</v>
      </c>
      <c r="L86" s="14">
        <v>0.0</v>
      </c>
      <c r="M86" s="14">
        <v>0.0</v>
      </c>
      <c r="N86" s="14">
        <v>0.0</v>
      </c>
      <c r="O86" s="14">
        <v>0.0</v>
      </c>
      <c r="P86" s="14">
        <v>0.0</v>
      </c>
      <c r="Q86" s="14">
        <v>26000.0</v>
      </c>
      <c r="R86" s="221">
        <v>-0.1228</v>
      </c>
      <c r="S86" s="221">
        <v>-1.0</v>
      </c>
      <c r="T86" s="221">
        <v>-1.0</v>
      </c>
      <c r="U86" s="221">
        <v>-1.0</v>
      </c>
      <c r="V86" s="221">
        <v>-1.0</v>
      </c>
      <c r="W86" s="221">
        <v>-1.0</v>
      </c>
      <c r="X86" s="221">
        <v>-1.0</v>
      </c>
      <c r="Y86" s="221">
        <v>-1.0</v>
      </c>
      <c r="Z86" s="221">
        <v>-1.0</v>
      </c>
      <c r="AA86" s="221">
        <v>-1.0</v>
      </c>
      <c r="AB86" s="221">
        <v>0.2829</v>
      </c>
    </row>
    <row r="87">
      <c r="A87" s="14">
        <v>355.0</v>
      </c>
      <c r="B87" s="14">
        <v>229685.0</v>
      </c>
      <c r="C87" s="14">
        <v>72500.0</v>
      </c>
      <c r="D87" s="14">
        <v>302185.0</v>
      </c>
      <c r="E87" s="221">
        <v>0.2852</v>
      </c>
      <c r="F87" s="221">
        <v>-0.6802</v>
      </c>
      <c r="G87" s="14">
        <v>38500.0</v>
      </c>
      <c r="H87" s="14">
        <v>500.0</v>
      </c>
      <c r="I87" s="14">
        <v>3500.0</v>
      </c>
      <c r="J87" s="14">
        <v>4000.0</v>
      </c>
      <c r="K87" s="14">
        <v>0.0</v>
      </c>
      <c r="L87" s="14">
        <v>0.0</v>
      </c>
      <c r="M87" s="14">
        <v>0.0</v>
      </c>
      <c r="N87" s="14">
        <v>0.0</v>
      </c>
      <c r="O87" s="14">
        <v>0.0</v>
      </c>
      <c r="P87" s="14">
        <v>0.0</v>
      </c>
      <c r="Q87" s="14">
        <v>26000.0</v>
      </c>
      <c r="R87" s="221">
        <v>-0.0351</v>
      </c>
      <c r="S87" s="221">
        <v>-0.8789</v>
      </c>
      <c r="T87" s="221">
        <v>-0.8649</v>
      </c>
      <c r="U87" s="221">
        <v>-0.9231</v>
      </c>
      <c r="V87" s="221">
        <v>-1.0</v>
      </c>
      <c r="W87" s="221">
        <v>-1.0</v>
      </c>
      <c r="X87" s="221">
        <v>-1.0</v>
      </c>
      <c r="Y87" s="221">
        <v>-1.0</v>
      </c>
      <c r="Z87" s="221">
        <v>-1.0</v>
      </c>
      <c r="AA87" s="221">
        <v>-1.0</v>
      </c>
      <c r="AB87" s="221">
        <v>0.2829</v>
      </c>
    </row>
    <row r="88">
      <c r="A88" s="14">
        <v>360.0</v>
      </c>
      <c r="B88" s="14">
        <v>232920.0</v>
      </c>
      <c r="C88" s="14">
        <v>84000.0</v>
      </c>
      <c r="D88" s="14">
        <v>316920.0</v>
      </c>
      <c r="E88" s="221">
        <v>0.3033</v>
      </c>
      <c r="F88" s="221">
        <v>-0.6295</v>
      </c>
      <c r="G88" s="14">
        <v>42000.0</v>
      </c>
      <c r="H88" s="14">
        <v>1000.0</v>
      </c>
      <c r="I88" s="14">
        <v>7000.0</v>
      </c>
      <c r="J88" s="14">
        <v>8000.0</v>
      </c>
      <c r="K88" s="14">
        <v>0.0</v>
      </c>
      <c r="L88" s="14">
        <v>0.0</v>
      </c>
      <c r="M88" s="14">
        <v>0.0</v>
      </c>
      <c r="N88" s="14">
        <v>0.0</v>
      </c>
      <c r="O88" s="14">
        <v>0.0</v>
      </c>
      <c r="P88" s="14">
        <v>0.0</v>
      </c>
      <c r="Q88" s="14">
        <v>26000.0</v>
      </c>
      <c r="R88" s="221">
        <v>0.0526</v>
      </c>
      <c r="S88" s="221">
        <v>-0.7578</v>
      </c>
      <c r="T88" s="221">
        <v>-0.7297</v>
      </c>
      <c r="U88" s="221">
        <v>-0.8462</v>
      </c>
      <c r="V88" s="221">
        <v>-1.0</v>
      </c>
      <c r="W88" s="221">
        <v>-1.0</v>
      </c>
      <c r="X88" s="221">
        <v>-1.0</v>
      </c>
      <c r="Y88" s="221">
        <v>-1.0</v>
      </c>
      <c r="Z88" s="221">
        <v>-1.0</v>
      </c>
      <c r="AA88" s="221">
        <v>-1.0</v>
      </c>
      <c r="AB88" s="221">
        <v>0.2829</v>
      </c>
    </row>
    <row r="89">
      <c r="A89" s="14">
        <v>365.0</v>
      </c>
      <c r="B89" s="14">
        <v>236155.0</v>
      </c>
      <c r="C89" s="14">
        <v>95500.0</v>
      </c>
      <c r="D89" s="14">
        <v>331655.0</v>
      </c>
      <c r="E89" s="221">
        <v>0.3214</v>
      </c>
      <c r="F89" s="221">
        <v>-0.5788</v>
      </c>
      <c r="G89" s="14">
        <v>45500.0</v>
      </c>
      <c r="H89" s="14">
        <v>1500.0</v>
      </c>
      <c r="I89" s="14">
        <v>10500.0</v>
      </c>
      <c r="J89" s="14">
        <v>12000.0</v>
      </c>
      <c r="K89" s="14">
        <v>0.0</v>
      </c>
      <c r="L89" s="14">
        <v>0.0</v>
      </c>
      <c r="M89" s="14">
        <v>0.0</v>
      </c>
      <c r="N89" s="14">
        <v>0.0</v>
      </c>
      <c r="O89" s="14">
        <v>0.0</v>
      </c>
      <c r="P89" s="14">
        <v>0.0</v>
      </c>
      <c r="Q89" s="14">
        <v>26000.0</v>
      </c>
      <c r="R89" s="221">
        <v>0.1404</v>
      </c>
      <c r="S89" s="221">
        <v>-0.6367</v>
      </c>
      <c r="T89" s="221">
        <v>-0.5946</v>
      </c>
      <c r="U89" s="221">
        <v>-0.7692</v>
      </c>
      <c r="V89" s="221">
        <v>-1.0</v>
      </c>
      <c r="W89" s="221">
        <v>-1.0</v>
      </c>
      <c r="X89" s="221">
        <v>-1.0</v>
      </c>
      <c r="Y89" s="221">
        <v>-1.0</v>
      </c>
      <c r="Z89" s="221">
        <v>-1.0</v>
      </c>
      <c r="AA89" s="221">
        <v>-1.0</v>
      </c>
      <c r="AB89" s="221">
        <v>0.2829</v>
      </c>
    </row>
    <row r="90">
      <c r="A90" s="14">
        <v>370.0</v>
      </c>
      <c r="B90" s="14">
        <v>239390.0</v>
      </c>
      <c r="C90" s="14">
        <v>107000.0</v>
      </c>
      <c r="D90" s="14">
        <v>346390.0</v>
      </c>
      <c r="E90" s="221">
        <v>0.3395</v>
      </c>
      <c r="F90" s="221">
        <v>-0.528</v>
      </c>
      <c r="G90" s="14">
        <v>49000.0</v>
      </c>
      <c r="H90" s="14">
        <v>2000.0</v>
      </c>
      <c r="I90" s="14">
        <v>14000.0</v>
      </c>
      <c r="J90" s="14">
        <v>16000.0</v>
      </c>
      <c r="K90" s="14">
        <v>0.0</v>
      </c>
      <c r="L90" s="14">
        <v>0.0</v>
      </c>
      <c r="M90" s="14">
        <v>0.0</v>
      </c>
      <c r="N90" s="14">
        <v>0.0</v>
      </c>
      <c r="O90" s="14">
        <v>0.0</v>
      </c>
      <c r="P90" s="14">
        <v>0.0</v>
      </c>
      <c r="Q90" s="14">
        <v>26000.0</v>
      </c>
      <c r="R90" s="221">
        <v>0.2281</v>
      </c>
      <c r="S90" s="221">
        <v>-0.5156</v>
      </c>
      <c r="T90" s="221">
        <v>-0.4595</v>
      </c>
      <c r="U90" s="221">
        <v>-0.6923</v>
      </c>
      <c r="V90" s="221">
        <v>-1.0</v>
      </c>
      <c r="W90" s="221">
        <v>-1.0</v>
      </c>
      <c r="X90" s="221">
        <v>-1.0</v>
      </c>
      <c r="Y90" s="221">
        <v>-1.0</v>
      </c>
      <c r="Z90" s="221">
        <v>-1.0</v>
      </c>
      <c r="AA90" s="221">
        <v>-1.0</v>
      </c>
      <c r="AB90" s="221">
        <v>0.2829</v>
      </c>
    </row>
    <row r="91">
      <c r="A91" s="14">
        <v>375.0</v>
      </c>
      <c r="B91" s="14">
        <v>242625.0</v>
      </c>
      <c r="C91" s="14">
        <v>118500.0</v>
      </c>
      <c r="D91" s="14">
        <v>361125.0</v>
      </c>
      <c r="E91" s="221">
        <v>0.3576</v>
      </c>
      <c r="F91" s="221">
        <v>-0.4773</v>
      </c>
      <c r="G91" s="14">
        <v>52500.0</v>
      </c>
      <c r="H91" s="14">
        <v>2500.0</v>
      </c>
      <c r="I91" s="14">
        <v>17500.0</v>
      </c>
      <c r="J91" s="14">
        <v>20000.0</v>
      </c>
      <c r="K91" s="14">
        <v>0.0</v>
      </c>
      <c r="L91" s="14">
        <v>0.0</v>
      </c>
      <c r="M91" s="14">
        <v>0.0</v>
      </c>
      <c r="N91" s="14">
        <v>0.0</v>
      </c>
      <c r="O91" s="14">
        <v>0.0</v>
      </c>
      <c r="P91" s="14">
        <v>0.0</v>
      </c>
      <c r="Q91" s="14">
        <v>26000.0</v>
      </c>
      <c r="R91" s="221">
        <v>0.3158</v>
      </c>
      <c r="S91" s="221">
        <v>-0.3945</v>
      </c>
      <c r="T91" s="221">
        <v>-0.3243</v>
      </c>
      <c r="U91" s="221">
        <v>-0.6154</v>
      </c>
      <c r="V91" s="221">
        <v>-1.0</v>
      </c>
      <c r="W91" s="221">
        <v>-1.0</v>
      </c>
      <c r="X91" s="221">
        <v>-1.0</v>
      </c>
      <c r="Y91" s="221">
        <v>-1.0</v>
      </c>
      <c r="Z91" s="221">
        <v>-1.0</v>
      </c>
      <c r="AA91" s="221">
        <v>-1.0</v>
      </c>
      <c r="AB91" s="221">
        <v>0.2829</v>
      </c>
    </row>
    <row r="92">
      <c r="A92" s="14">
        <v>380.0</v>
      </c>
      <c r="B92" s="14">
        <v>245860.0</v>
      </c>
      <c r="C92" s="14">
        <v>130000.0</v>
      </c>
      <c r="D92" s="14">
        <v>375860.0</v>
      </c>
      <c r="E92" s="221">
        <v>0.3757</v>
      </c>
      <c r="F92" s="221">
        <v>-0.4266</v>
      </c>
      <c r="G92" s="14">
        <v>56000.0</v>
      </c>
      <c r="H92" s="14">
        <v>3000.0</v>
      </c>
      <c r="I92" s="14">
        <v>21000.0</v>
      </c>
      <c r="J92" s="14">
        <v>24000.0</v>
      </c>
      <c r="K92" s="14">
        <v>0.0</v>
      </c>
      <c r="L92" s="14">
        <v>0.0</v>
      </c>
      <c r="M92" s="14">
        <v>0.0</v>
      </c>
      <c r="N92" s="14">
        <v>0.0</v>
      </c>
      <c r="O92" s="14">
        <v>0.0</v>
      </c>
      <c r="P92" s="14">
        <v>0.0</v>
      </c>
      <c r="Q92" s="14">
        <v>26000.0</v>
      </c>
      <c r="R92" s="221">
        <v>0.4035</v>
      </c>
      <c r="S92" s="221">
        <v>-0.2734</v>
      </c>
      <c r="T92" s="221">
        <v>-0.1892</v>
      </c>
      <c r="U92" s="221">
        <v>-0.5385</v>
      </c>
      <c r="V92" s="221">
        <v>-1.0</v>
      </c>
      <c r="W92" s="221">
        <v>-1.0</v>
      </c>
      <c r="X92" s="221">
        <v>-1.0</v>
      </c>
      <c r="Y92" s="221">
        <v>-1.0</v>
      </c>
      <c r="Z92" s="221">
        <v>-1.0</v>
      </c>
      <c r="AA92" s="221">
        <v>-1.0</v>
      </c>
      <c r="AB92" s="221">
        <v>0.2829</v>
      </c>
    </row>
    <row r="93">
      <c r="A93" s="14">
        <v>385.0</v>
      </c>
      <c r="B93" s="14">
        <v>249095.0</v>
      </c>
      <c r="C93" s="14">
        <v>142500.0</v>
      </c>
      <c r="D93" s="14">
        <v>391595.0</v>
      </c>
      <c r="E93" s="221">
        <v>0.3938</v>
      </c>
      <c r="F93" s="221">
        <v>-0.3714</v>
      </c>
      <c r="G93" s="14">
        <v>59500.0</v>
      </c>
      <c r="H93" s="14">
        <v>3500.0</v>
      </c>
      <c r="I93" s="14">
        <v>24500.0</v>
      </c>
      <c r="J93" s="14">
        <v>28000.0</v>
      </c>
      <c r="K93" s="14">
        <v>0.0</v>
      </c>
      <c r="L93" s="14">
        <v>0.0</v>
      </c>
      <c r="M93" s="14">
        <v>0.0</v>
      </c>
      <c r="N93" s="14">
        <v>0.0</v>
      </c>
      <c r="O93" s="14">
        <v>0.0</v>
      </c>
      <c r="P93" s="14">
        <v>1000.0</v>
      </c>
      <c r="Q93" s="14">
        <v>26000.0</v>
      </c>
      <c r="R93" s="221">
        <v>0.4912</v>
      </c>
      <c r="S93" s="221">
        <v>-0.1523</v>
      </c>
      <c r="T93" s="221">
        <v>-0.0541</v>
      </c>
      <c r="U93" s="221">
        <v>-0.4615</v>
      </c>
      <c r="V93" s="221">
        <v>-1.0</v>
      </c>
      <c r="W93" s="221">
        <v>-1.0</v>
      </c>
      <c r="X93" s="221">
        <v>-1.0</v>
      </c>
      <c r="Y93" s="221">
        <v>-1.0</v>
      </c>
      <c r="Z93" s="221">
        <v>-1.0</v>
      </c>
      <c r="AA93" s="221">
        <v>-0.9084</v>
      </c>
      <c r="AB93" s="221">
        <v>0.2829</v>
      </c>
    </row>
    <row r="94">
      <c r="A94" s="14">
        <v>390.0</v>
      </c>
      <c r="B94" s="14">
        <v>252330.0</v>
      </c>
      <c r="C94" s="14">
        <v>155000.0</v>
      </c>
      <c r="D94" s="14">
        <v>407330.0</v>
      </c>
      <c r="E94" s="221">
        <v>0.4119</v>
      </c>
      <c r="F94" s="221">
        <v>-0.3163</v>
      </c>
      <c r="G94" s="14">
        <v>63000.0</v>
      </c>
      <c r="H94" s="14">
        <v>4000.0</v>
      </c>
      <c r="I94" s="14">
        <v>28000.0</v>
      </c>
      <c r="J94" s="14">
        <v>32000.0</v>
      </c>
      <c r="K94" s="14">
        <v>0.0</v>
      </c>
      <c r="L94" s="14">
        <v>0.0</v>
      </c>
      <c r="M94" s="14">
        <v>0.0</v>
      </c>
      <c r="N94" s="14">
        <v>0.0</v>
      </c>
      <c r="O94" s="14">
        <v>0.0</v>
      </c>
      <c r="P94" s="14">
        <v>2000.0</v>
      </c>
      <c r="Q94" s="14">
        <v>26000.0</v>
      </c>
      <c r="R94" s="221">
        <v>0.5789</v>
      </c>
      <c r="S94" s="221">
        <v>-0.0312</v>
      </c>
      <c r="T94" s="221">
        <v>0.0811</v>
      </c>
      <c r="U94" s="221">
        <v>-0.3846</v>
      </c>
      <c r="V94" s="221">
        <v>-1.0</v>
      </c>
      <c r="W94" s="221">
        <v>-1.0</v>
      </c>
      <c r="X94" s="221">
        <v>-1.0</v>
      </c>
      <c r="Y94" s="221">
        <v>-1.0</v>
      </c>
      <c r="Z94" s="221">
        <v>-1.0</v>
      </c>
      <c r="AA94" s="221">
        <v>-0.8167</v>
      </c>
      <c r="AB94" s="221">
        <v>0.2829</v>
      </c>
    </row>
    <row r="95">
      <c r="A95" s="14">
        <v>395.0</v>
      </c>
      <c r="B95" s="14">
        <v>255565.0</v>
      </c>
      <c r="C95" s="14">
        <v>167500.0</v>
      </c>
      <c r="D95" s="14">
        <v>423065.0</v>
      </c>
      <c r="E95" s="221">
        <v>0.43</v>
      </c>
      <c r="F95" s="221">
        <v>-0.2612</v>
      </c>
      <c r="G95" s="14">
        <v>66500.0</v>
      </c>
      <c r="H95" s="14">
        <v>4500.0</v>
      </c>
      <c r="I95" s="14">
        <v>31500.0</v>
      </c>
      <c r="J95" s="14">
        <v>36000.0</v>
      </c>
      <c r="K95" s="14">
        <v>0.0</v>
      </c>
      <c r="L95" s="14">
        <v>0.0</v>
      </c>
      <c r="M95" s="14">
        <v>0.0</v>
      </c>
      <c r="N95" s="14">
        <v>0.0</v>
      </c>
      <c r="O95" s="14">
        <v>0.0</v>
      </c>
      <c r="P95" s="14">
        <v>3000.0</v>
      </c>
      <c r="Q95" s="14">
        <v>26000.0</v>
      </c>
      <c r="R95" s="221">
        <v>0.6667</v>
      </c>
      <c r="S95" s="221">
        <v>0.0899</v>
      </c>
      <c r="T95" s="221">
        <v>0.2162</v>
      </c>
      <c r="U95" s="221">
        <v>-0.3077</v>
      </c>
      <c r="V95" s="221">
        <v>-1.0</v>
      </c>
      <c r="W95" s="221">
        <v>-1.0</v>
      </c>
      <c r="X95" s="221">
        <v>-1.0</v>
      </c>
      <c r="Y95" s="221">
        <v>-1.0</v>
      </c>
      <c r="Z95" s="221">
        <v>-1.0</v>
      </c>
      <c r="AA95" s="221">
        <v>-0.7251</v>
      </c>
      <c r="AB95" s="221">
        <v>0.2829</v>
      </c>
    </row>
    <row r="96">
      <c r="A96" s="14">
        <v>400.0</v>
      </c>
      <c r="B96" s="14">
        <v>258800.0</v>
      </c>
      <c r="C96" s="14">
        <v>180000.0</v>
      </c>
      <c r="D96" s="14">
        <v>438800.0</v>
      </c>
      <c r="E96" s="221">
        <v>0.4481</v>
      </c>
      <c r="F96" s="221">
        <v>-0.206</v>
      </c>
      <c r="G96" s="14">
        <v>70000.0</v>
      </c>
      <c r="H96" s="14">
        <v>5000.0</v>
      </c>
      <c r="I96" s="14">
        <v>35000.0</v>
      </c>
      <c r="J96" s="14">
        <v>40000.0</v>
      </c>
      <c r="K96" s="14">
        <v>0.0</v>
      </c>
      <c r="L96" s="14">
        <v>0.0</v>
      </c>
      <c r="M96" s="14">
        <v>0.0</v>
      </c>
      <c r="N96" s="14">
        <v>0.0</v>
      </c>
      <c r="O96" s="14">
        <v>0.0</v>
      </c>
      <c r="P96" s="14">
        <v>4000.0</v>
      </c>
      <c r="Q96" s="14">
        <v>26000.0</v>
      </c>
      <c r="R96" s="221">
        <v>0.7544</v>
      </c>
      <c r="S96" s="221">
        <v>0.2109</v>
      </c>
      <c r="T96" s="221">
        <v>0.3514</v>
      </c>
      <c r="U96" s="221">
        <v>-0.2308</v>
      </c>
      <c r="V96" s="221">
        <v>-1.0</v>
      </c>
      <c r="W96" s="221">
        <v>-1.0</v>
      </c>
      <c r="X96" s="221">
        <v>-1.0</v>
      </c>
      <c r="Y96" s="221">
        <v>-1.0</v>
      </c>
      <c r="Z96" s="221">
        <v>-1.0</v>
      </c>
      <c r="AA96" s="221">
        <v>-0.6335</v>
      </c>
      <c r="AB96" s="221">
        <v>0.2829</v>
      </c>
    </row>
    <row r="97">
      <c r="A97" s="14">
        <v>405.0</v>
      </c>
      <c r="B97" s="14">
        <v>262035.0</v>
      </c>
      <c r="C97" s="14">
        <v>201000.0</v>
      </c>
      <c r="D97" s="14">
        <v>463035.0</v>
      </c>
      <c r="E97" s="221">
        <v>0.4662</v>
      </c>
      <c r="F97" s="221">
        <v>-0.1134</v>
      </c>
      <c r="G97" s="14">
        <v>73500.0</v>
      </c>
      <c r="H97" s="14">
        <v>5500.0</v>
      </c>
      <c r="I97" s="14">
        <v>38500.0</v>
      </c>
      <c r="J97" s="14">
        <v>44000.0</v>
      </c>
      <c r="K97" s="14">
        <v>4000.0</v>
      </c>
      <c r="L97" s="14">
        <v>2000.0</v>
      </c>
      <c r="M97" s="14">
        <v>2500.0</v>
      </c>
      <c r="N97" s="14">
        <v>0.0</v>
      </c>
      <c r="O97" s="14">
        <v>0.0</v>
      </c>
      <c r="P97" s="14">
        <v>5000.0</v>
      </c>
      <c r="Q97" s="14">
        <v>26000.0</v>
      </c>
      <c r="R97" s="221">
        <v>0.8421</v>
      </c>
      <c r="S97" s="221">
        <v>0.332</v>
      </c>
      <c r="T97" s="221">
        <v>0.4865</v>
      </c>
      <c r="U97" s="221">
        <v>-0.1538</v>
      </c>
      <c r="V97" s="221">
        <v>-0.7222</v>
      </c>
      <c r="W97" s="221">
        <v>-0.8936</v>
      </c>
      <c r="X97" s="221">
        <v>-0.8889</v>
      </c>
      <c r="Y97" s="221">
        <v>-1.0</v>
      </c>
      <c r="Z97" s="221">
        <v>-1.0</v>
      </c>
      <c r="AA97" s="221">
        <v>-0.5418</v>
      </c>
      <c r="AB97" s="221">
        <v>0.2829</v>
      </c>
    </row>
    <row r="98">
      <c r="A98" s="14">
        <v>410.0</v>
      </c>
      <c r="B98" s="14">
        <v>265270.0</v>
      </c>
      <c r="C98" s="14">
        <v>222000.0</v>
      </c>
      <c r="D98" s="14">
        <v>487270.0</v>
      </c>
      <c r="E98" s="221">
        <v>0.4843</v>
      </c>
      <c r="F98" s="221">
        <v>-0.0208</v>
      </c>
      <c r="G98" s="14">
        <v>77000.0</v>
      </c>
      <c r="H98" s="14">
        <v>6000.0</v>
      </c>
      <c r="I98" s="14">
        <v>42000.0</v>
      </c>
      <c r="J98" s="14">
        <v>48000.0</v>
      </c>
      <c r="K98" s="14">
        <v>8000.0</v>
      </c>
      <c r="L98" s="14">
        <v>4000.0</v>
      </c>
      <c r="M98" s="14">
        <v>5000.0</v>
      </c>
      <c r="N98" s="14">
        <v>0.0</v>
      </c>
      <c r="O98" s="14">
        <v>0.0</v>
      </c>
      <c r="P98" s="14">
        <v>6000.0</v>
      </c>
      <c r="Q98" s="14">
        <v>26000.0</v>
      </c>
      <c r="R98" s="221">
        <v>0.9298</v>
      </c>
      <c r="S98" s="221">
        <v>0.4531</v>
      </c>
      <c r="T98" s="221">
        <v>0.6216</v>
      </c>
      <c r="U98" s="221">
        <v>-0.0769</v>
      </c>
      <c r="V98" s="221">
        <v>-0.4444</v>
      </c>
      <c r="W98" s="221">
        <v>-0.7872</v>
      </c>
      <c r="X98" s="221">
        <v>-0.7778</v>
      </c>
      <c r="Y98" s="221">
        <v>-1.0</v>
      </c>
      <c r="Z98" s="221">
        <v>-1.0</v>
      </c>
      <c r="AA98" s="221">
        <v>-0.4502</v>
      </c>
      <c r="AB98" s="221">
        <v>0.2829</v>
      </c>
    </row>
    <row r="99">
      <c r="A99" s="14">
        <v>415.0</v>
      </c>
      <c r="B99" s="14">
        <v>268505.0</v>
      </c>
      <c r="C99" s="14">
        <v>243000.0</v>
      </c>
      <c r="D99" s="14">
        <v>511505.0</v>
      </c>
      <c r="E99" s="221">
        <v>0.5024</v>
      </c>
      <c r="F99" s="221">
        <v>0.0719</v>
      </c>
      <c r="G99" s="14">
        <v>80500.0</v>
      </c>
      <c r="H99" s="14">
        <v>6500.0</v>
      </c>
      <c r="I99" s="14">
        <v>45500.0</v>
      </c>
      <c r="J99" s="14">
        <v>52000.0</v>
      </c>
      <c r="K99" s="14">
        <v>12000.0</v>
      </c>
      <c r="L99" s="14">
        <v>6000.0</v>
      </c>
      <c r="M99" s="14">
        <v>7500.0</v>
      </c>
      <c r="N99" s="14">
        <v>0.0</v>
      </c>
      <c r="O99" s="14">
        <v>0.0</v>
      </c>
      <c r="P99" s="14">
        <v>7000.0</v>
      </c>
      <c r="Q99" s="14">
        <v>26000.0</v>
      </c>
      <c r="R99" s="221">
        <v>1.0175</v>
      </c>
      <c r="S99" s="221">
        <v>0.5742</v>
      </c>
      <c r="T99" s="221">
        <v>0.7568</v>
      </c>
      <c r="U99" s="221">
        <v>0.0</v>
      </c>
      <c r="V99" s="221">
        <v>-0.1667</v>
      </c>
      <c r="W99" s="221">
        <v>-0.6809</v>
      </c>
      <c r="X99" s="221">
        <v>-0.6667</v>
      </c>
      <c r="Y99" s="221">
        <v>-1.0</v>
      </c>
      <c r="Z99" s="221">
        <v>-1.0</v>
      </c>
      <c r="AA99" s="221">
        <v>-0.3586</v>
      </c>
      <c r="AB99" s="221">
        <v>0.2829</v>
      </c>
    </row>
    <row r="100">
      <c r="A100" s="14">
        <v>420.0</v>
      </c>
      <c r="B100" s="14">
        <v>271740.0</v>
      </c>
      <c r="C100" s="14">
        <v>264000.0</v>
      </c>
      <c r="D100" s="14">
        <v>535740.0</v>
      </c>
      <c r="E100" s="221">
        <v>0.5205</v>
      </c>
      <c r="F100" s="221">
        <v>0.1645</v>
      </c>
      <c r="G100" s="14">
        <v>84000.0</v>
      </c>
      <c r="H100" s="14">
        <v>7000.0</v>
      </c>
      <c r="I100" s="14">
        <v>49000.0</v>
      </c>
      <c r="J100" s="14">
        <v>56000.0</v>
      </c>
      <c r="K100" s="14">
        <v>16000.0</v>
      </c>
      <c r="L100" s="14">
        <v>8000.0</v>
      </c>
      <c r="M100" s="14">
        <v>10000.0</v>
      </c>
      <c r="N100" s="14">
        <v>0.0</v>
      </c>
      <c r="O100" s="14">
        <v>0.0</v>
      </c>
      <c r="P100" s="14">
        <v>8000.0</v>
      </c>
      <c r="Q100" s="14">
        <v>26000.0</v>
      </c>
      <c r="R100" s="221">
        <v>1.1053</v>
      </c>
      <c r="S100" s="221">
        <v>0.6953</v>
      </c>
      <c r="T100" s="221">
        <v>0.8919</v>
      </c>
      <c r="U100" s="221">
        <v>0.0769</v>
      </c>
      <c r="V100" s="221">
        <v>0.1111</v>
      </c>
      <c r="W100" s="221">
        <v>-0.5745</v>
      </c>
      <c r="X100" s="221">
        <v>-0.5556</v>
      </c>
      <c r="Y100" s="221">
        <v>-1.0</v>
      </c>
      <c r="Z100" s="221">
        <v>-1.0</v>
      </c>
      <c r="AA100" s="221">
        <v>-0.2669</v>
      </c>
      <c r="AB100" s="221">
        <v>0.2829</v>
      </c>
    </row>
    <row r="101">
      <c r="A101" s="14">
        <v>425.0</v>
      </c>
      <c r="B101" s="14">
        <v>274975.0</v>
      </c>
      <c r="C101" s="14">
        <v>285000.0</v>
      </c>
      <c r="D101" s="14">
        <v>559975.0</v>
      </c>
      <c r="E101" s="221">
        <v>0.5386</v>
      </c>
      <c r="F101" s="221">
        <v>0.2571</v>
      </c>
      <c r="G101" s="14">
        <v>87500.0</v>
      </c>
      <c r="H101" s="14">
        <v>7500.0</v>
      </c>
      <c r="I101" s="14">
        <v>52500.0</v>
      </c>
      <c r="J101" s="14">
        <v>60000.0</v>
      </c>
      <c r="K101" s="14">
        <v>20000.0</v>
      </c>
      <c r="L101" s="14">
        <v>10000.0</v>
      </c>
      <c r="M101" s="14">
        <v>12500.0</v>
      </c>
      <c r="N101" s="14">
        <v>0.0</v>
      </c>
      <c r="O101" s="14">
        <v>0.0</v>
      </c>
      <c r="P101" s="14">
        <v>9000.0</v>
      </c>
      <c r="Q101" s="14">
        <v>26000.0</v>
      </c>
      <c r="R101" s="221">
        <v>1.193</v>
      </c>
      <c r="S101" s="221">
        <v>0.8164</v>
      </c>
      <c r="T101" s="221">
        <v>1.027</v>
      </c>
      <c r="U101" s="221">
        <v>0.1538</v>
      </c>
      <c r="V101" s="221">
        <v>0.3889</v>
      </c>
      <c r="W101" s="221">
        <v>-0.4681</v>
      </c>
      <c r="X101" s="221">
        <v>-0.4444</v>
      </c>
      <c r="Y101" s="221">
        <v>-1.0</v>
      </c>
      <c r="Z101" s="221">
        <v>-1.0</v>
      </c>
      <c r="AA101" s="221">
        <v>-0.1753</v>
      </c>
      <c r="AB101" s="221">
        <v>0.2829</v>
      </c>
    </row>
    <row r="102">
      <c r="A102" s="14">
        <v>430.0</v>
      </c>
      <c r="B102" s="14">
        <v>278210.0</v>
      </c>
      <c r="C102" s="14">
        <v>306000.0</v>
      </c>
      <c r="D102" s="14">
        <v>584210.0</v>
      </c>
      <c r="E102" s="221">
        <v>0.5567</v>
      </c>
      <c r="F102" s="221">
        <v>0.3497</v>
      </c>
      <c r="G102" s="14">
        <v>91000.0</v>
      </c>
      <c r="H102" s="14">
        <v>8000.0</v>
      </c>
      <c r="I102" s="14">
        <v>56000.0</v>
      </c>
      <c r="J102" s="14">
        <v>64000.0</v>
      </c>
      <c r="K102" s="14">
        <v>24000.0</v>
      </c>
      <c r="L102" s="14">
        <v>12000.0</v>
      </c>
      <c r="M102" s="14">
        <v>15000.0</v>
      </c>
      <c r="N102" s="14">
        <v>0.0</v>
      </c>
      <c r="O102" s="14">
        <v>0.0</v>
      </c>
      <c r="P102" s="14">
        <v>10000.0</v>
      </c>
      <c r="Q102" s="14">
        <v>26000.0</v>
      </c>
      <c r="R102" s="221">
        <v>1.2807</v>
      </c>
      <c r="S102" s="221">
        <v>0.9375</v>
      </c>
      <c r="T102" s="221">
        <v>1.1622</v>
      </c>
      <c r="U102" s="221">
        <v>0.2308</v>
      </c>
      <c r="V102" s="221">
        <v>0.6667</v>
      </c>
      <c r="W102" s="221">
        <v>-0.3617</v>
      </c>
      <c r="X102" s="221">
        <v>-0.3333</v>
      </c>
      <c r="Y102" s="221">
        <v>-1.0</v>
      </c>
      <c r="Z102" s="221">
        <v>-1.0</v>
      </c>
      <c r="AA102" s="221">
        <v>-0.0837</v>
      </c>
      <c r="AB102" s="221">
        <v>0.2829</v>
      </c>
    </row>
    <row r="103">
      <c r="A103" s="14">
        <v>435.0</v>
      </c>
      <c r="B103" s="14">
        <v>281445.0</v>
      </c>
      <c r="C103" s="14">
        <v>327000.0</v>
      </c>
      <c r="D103" s="14">
        <v>608445.0</v>
      </c>
      <c r="E103" s="221">
        <v>0.5748</v>
      </c>
      <c r="F103" s="221">
        <v>0.4424</v>
      </c>
      <c r="G103" s="14">
        <v>94500.0</v>
      </c>
      <c r="H103" s="14">
        <v>8500.0</v>
      </c>
      <c r="I103" s="14">
        <v>59500.0</v>
      </c>
      <c r="J103" s="14">
        <v>68000.0</v>
      </c>
      <c r="K103" s="14">
        <v>28000.0</v>
      </c>
      <c r="L103" s="14">
        <v>14000.0</v>
      </c>
      <c r="M103" s="14">
        <v>17500.0</v>
      </c>
      <c r="N103" s="14">
        <v>0.0</v>
      </c>
      <c r="O103" s="14">
        <v>0.0</v>
      </c>
      <c r="P103" s="14">
        <v>11000.0</v>
      </c>
      <c r="Q103" s="14">
        <v>26000.0</v>
      </c>
      <c r="R103" s="221">
        <v>1.3684</v>
      </c>
      <c r="S103" s="221">
        <v>1.0586</v>
      </c>
      <c r="T103" s="221">
        <v>1.2973</v>
      </c>
      <c r="U103" s="221">
        <v>0.3077</v>
      </c>
      <c r="V103" s="221">
        <v>0.9444</v>
      </c>
      <c r="W103" s="221">
        <v>-0.2553</v>
      </c>
      <c r="X103" s="221">
        <v>-0.2222</v>
      </c>
      <c r="Y103" s="221">
        <v>-1.0</v>
      </c>
      <c r="Z103" s="221">
        <v>-1.0</v>
      </c>
      <c r="AA103" s="221">
        <v>0.008</v>
      </c>
      <c r="AB103" s="221">
        <v>0.2829</v>
      </c>
    </row>
    <row r="104">
      <c r="A104" s="14">
        <v>440.0</v>
      </c>
      <c r="B104" s="14">
        <v>284680.0</v>
      </c>
      <c r="C104" s="14">
        <v>348000.0</v>
      </c>
      <c r="D104" s="14">
        <v>632680.0</v>
      </c>
      <c r="E104" s="221">
        <v>0.5929</v>
      </c>
      <c r="F104" s="221">
        <v>0.535</v>
      </c>
      <c r="G104" s="14">
        <v>98000.0</v>
      </c>
      <c r="H104" s="14">
        <v>9000.0</v>
      </c>
      <c r="I104" s="14">
        <v>63000.0</v>
      </c>
      <c r="J104" s="14">
        <v>72000.0</v>
      </c>
      <c r="K104" s="14">
        <v>32000.0</v>
      </c>
      <c r="L104" s="14">
        <v>16000.0</v>
      </c>
      <c r="M104" s="14">
        <v>20000.0</v>
      </c>
      <c r="N104" s="14">
        <v>0.0</v>
      </c>
      <c r="O104" s="14">
        <v>0.0</v>
      </c>
      <c r="P104" s="14">
        <v>12000.0</v>
      </c>
      <c r="Q104" s="14">
        <v>26000.0</v>
      </c>
      <c r="R104" s="221">
        <v>1.4561</v>
      </c>
      <c r="S104" s="221">
        <v>1.1797</v>
      </c>
      <c r="T104" s="221">
        <v>1.4324</v>
      </c>
      <c r="U104" s="221">
        <v>0.3846</v>
      </c>
      <c r="V104" s="221">
        <v>1.2222</v>
      </c>
      <c r="W104" s="221">
        <v>-0.1489</v>
      </c>
      <c r="X104" s="221">
        <v>-0.1111</v>
      </c>
      <c r="Y104" s="221">
        <v>-1.0</v>
      </c>
      <c r="Z104" s="221">
        <v>-1.0</v>
      </c>
      <c r="AA104" s="221">
        <v>0.0996</v>
      </c>
      <c r="AB104" s="221">
        <v>0.2829</v>
      </c>
    </row>
    <row r="105">
      <c r="A105" s="14">
        <v>445.0</v>
      </c>
      <c r="B105" s="14">
        <v>287915.0</v>
      </c>
      <c r="C105" s="14">
        <v>365500.0</v>
      </c>
      <c r="D105" s="14">
        <v>653415.0</v>
      </c>
      <c r="E105" s="221">
        <v>0.611</v>
      </c>
      <c r="F105" s="221">
        <v>0.6122</v>
      </c>
      <c r="G105" s="14">
        <v>98000.0</v>
      </c>
      <c r="H105" s="14">
        <v>9500.0</v>
      </c>
      <c r="I105" s="14">
        <v>66500.0</v>
      </c>
      <c r="J105" s="14">
        <v>76000.0</v>
      </c>
      <c r="K105" s="14">
        <v>36000.0</v>
      </c>
      <c r="L105" s="14">
        <v>18000.0</v>
      </c>
      <c r="M105" s="14">
        <v>22500.0</v>
      </c>
      <c r="N105" s="14">
        <v>0.0</v>
      </c>
      <c r="O105" s="14">
        <v>0.0</v>
      </c>
      <c r="P105" s="14">
        <v>13000.0</v>
      </c>
      <c r="Q105" s="14">
        <v>26000.0</v>
      </c>
      <c r="R105" s="221">
        <v>1.4561</v>
      </c>
      <c r="S105" s="221">
        <v>1.3008</v>
      </c>
      <c r="T105" s="221">
        <v>1.5676</v>
      </c>
      <c r="U105" s="221">
        <v>0.4615</v>
      </c>
      <c r="V105" s="221">
        <v>1.5</v>
      </c>
      <c r="W105" s="221">
        <v>-0.0426</v>
      </c>
      <c r="X105" s="221">
        <v>0.0</v>
      </c>
      <c r="Y105" s="221">
        <v>-1.0</v>
      </c>
      <c r="Z105" s="221">
        <v>-1.0</v>
      </c>
      <c r="AA105" s="221">
        <v>0.1912</v>
      </c>
      <c r="AB105" s="221">
        <v>0.2829</v>
      </c>
    </row>
    <row r="106">
      <c r="A106" s="14">
        <v>450.0</v>
      </c>
      <c r="B106" s="14">
        <v>291150.0</v>
      </c>
      <c r="C106" s="14">
        <v>383000.0</v>
      </c>
      <c r="D106" s="14">
        <v>674150.0</v>
      </c>
      <c r="E106" s="221">
        <v>0.6292</v>
      </c>
      <c r="F106" s="221">
        <v>0.6894</v>
      </c>
      <c r="G106" s="14">
        <v>98000.0</v>
      </c>
      <c r="H106" s="14">
        <v>10000.0</v>
      </c>
      <c r="I106" s="14">
        <v>70000.0</v>
      </c>
      <c r="J106" s="14">
        <v>80000.0</v>
      </c>
      <c r="K106" s="14">
        <v>40000.0</v>
      </c>
      <c r="L106" s="14">
        <v>20000.0</v>
      </c>
      <c r="M106" s="14">
        <v>25000.0</v>
      </c>
      <c r="N106" s="14">
        <v>0.0</v>
      </c>
      <c r="O106" s="14">
        <v>0.0</v>
      </c>
      <c r="P106" s="14">
        <v>14000.0</v>
      </c>
      <c r="Q106" s="14">
        <v>26000.0</v>
      </c>
      <c r="R106" s="221">
        <v>1.4561</v>
      </c>
      <c r="S106" s="221">
        <v>1.4219</v>
      </c>
      <c r="T106" s="221">
        <v>1.7027</v>
      </c>
      <c r="U106" s="221">
        <v>0.5385</v>
      </c>
      <c r="V106" s="221">
        <v>1.7778</v>
      </c>
      <c r="W106" s="221">
        <v>0.0638</v>
      </c>
      <c r="X106" s="221">
        <v>0.1111</v>
      </c>
      <c r="Y106" s="221">
        <v>-1.0</v>
      </c>
      <c r="Z106" s="221">
        <v>-1.0</v>
      </c>
      <c r="AA106" s="221">
        <v>0.2829</v>
      </c>
      <c r="AB106" s="221">
        <v>0.2829</v>
      </c>
    </row>
    <row r="107">
      <c r="A107" s="14">
        <v>455.0</v>
      </c>
      <c r="B107" s="14">
        <v>294385.0</v>
      </c>
      <c r="C107" s="14">
        <v>390500.0</v>
      </c>
      <c r="D107" s="14">
        <v>684885.0</v>
      </c>
      <c r="E107" s="221">
        <v>0.6473</v>
      </c>
      <c r="F107" s="221">
        <v>0.7225</v>
      </c>
      <c r="G107" s="14">
        <v>98000.0</v>
      </c>
      <c r="H107" s="14">
        <v>10000.0</v>
      </c>
      <c r="I107" s="14">
        <v>70000.0</v>
      </c>
      <c r="J107" s="14">
        <v>84000.0</v>
      </c>
      <c r="K107" s="14">
        <v>40000.0</v>
      </c>
      <c r="L107" s="14">
        <v>22000.0</v>
      </c>
      <c r="M107" s="14">
        <v>27500.0</v>
      </c>
      <c r="N107" s="14">
        <v>0.0</v>
      </c>
      <c r="O107" s="14">
        <v>0.0</v>
      </c>
      <c r="P107" s="14">
        <v>14000.0</v>
      </c>
      <c r="Q107" s="14">
        <v>25000.0</v>
      </c>
      <c r="R107" s="221">
        <v>1.4561</v>
      </c>
      <c r="S107" s="221">
        <v>1.4219</v>
      </c>
      <c r="T107" s="221">
        <v>1.7027</v>
      </c>
      <c r="U107" s="221">
        <v>0.6154</v>
      </c>
      <c r="V107" s="221">
        <v>1.7778</v>
      </c>
      <c r="W107" s="221">
        <v>0.1702</v>
      </c>
      <c r="X107" s="221">
        <v>0.2222</v>
      </c>
      <c r="Y107" s="221">
        <v>-1.0</v>
      </c>
      <c r="Z107" s="221">
        <v>-1.0</v>
      </c>
      <c r="AA107" s="221">
        <v>0.2829</v>
      </c>
      <c r="AB107" s="221">
        <v>0.2335</v>
      </c>
    </row>
    <row r="108">
      <c r="A108" s="14">
        <v>460.0</v>
      </c>
      <c r="B108" s="14">
        <v>297620.0</v>
      </c>
      <c r="C108" s="14">
        <v>398000.0</v>
      </c>
      <c r="D108" s="14">
        <v>695620.0</v>
      </c>
      <c r="E108" s="221">
        <v>0.6654</v>
      </c>
      <c r="F108" s="221">
        <v>0.7556</v>
      </c>
      <c r="G108" s="14">
        <v>98000.0</v>
      </c>
      <c r="H108" s="14">
        <v>10000.0</v>
      </c>
      <c r="I108" s="14">
        <v>70000.0</v>
      </c>
      <c r="J108" s="14">
        <v>88000.0</v>
      </c>
      <c r="K108" s="14">
        <v>40000.0</v>
      </c>
      <c r="L108" s="14">
        <v>24000.0</v>
      </c>
      <c r="M108" s="14">
        <v>30000.0</v>
      </c>
      <c r="N108" s="14">
        <v>0.0</v>
      </c>
      <c r="O108" s="14">
        <v>0.0</v>
      </c>
      <c r="P108" s="14">
        <v>14000.0</v>
      </c>
      <c r="Q108" s="14">
        <v>24000.0</v>
      </c>
      <c r="R108" s="221">
        <v>1.4561</v>
      </c>
      <c r="S108" s="221">
        <v>1.4219</v>
      </c>
      <c r="T108" s="221">
        <v>1.7027</v>
      </c>
      <c r="U108" s="221">
        <v>0.6923</v>
      </c>
      <c r="V108" s="221">
        <v>1.7778</v>
      </c>
      <c r="W108" s="221">
        <v>0.2766</v>
      </c>
      <c r="X108" s="221">
        <v>0.3333</v>
      </c>
      <c r="Y108" s="221">
        <v>-1.0</v>
      </c>
      <c r="Z108" s="221">
        <v>-1.0</v>
      </c>
      <c r="AA108" s="221">
        <v>0.2829</v>
      </c>
      <c r="AB108" s="221">
        <v>0.1842</v>
      </c>
    </row>
    <row r="109">
      <c r="A109" s="14">
        <v>465.0</v>
      </c>
      <c r="B109" s="14">
        <v>300855.0</v>
      </c>
      <c r="C109" s="14">
        <v>405500.0</v>
      </c>
      <c r="D109" s="14">
        <v>706355.0</v>
      </c>
      <c r="E109" s="221">
        <v>0.6835</v>
      </c>
      <c r="F109" s="221">
        <v>0.7886</v>
      </c>
      <c r="G109" s="14">
        <v>98000.0</v>
      </c>
      <c r="H109" s="14">
        <v>10000.0</v>
      </c>
      <c r="I109" s="14">
        <v>70000.0</v>
      </c>
      <c r="J109" s="14">
        <v>92000.0</v>
      </c>
      <c r="K109" s="14">
        <v>40000.0</v>
      </c>
      <c r="L109" s="14">
        <v>26000.0</v>
      </c>
      <c r="M109" s="14">
        <v>32500.0</v>
      </c>
      <c r="N109" s="14">
        <v>0.0</v>
      </c>
      <c r="O109" s="14">
        <v>0.0</v>
      </c>
      <c r="P109" s="14">
        <v>14000.0</v>
      </c>
      <c r="Q109" s="14">
        <v>23000.0</v>
      </c>
      <c r="R109" s="221">
        <v>1.4561</v>
      </c>
      <c r="S109" s="221">
        <v>1.4219</v>
      </c>
      <c r="T109" s="221">
        <v>1.7027</v>
      </c>
      <c r="U109" s="221">
        <v>0.7692</v>
      </c>
      <c r="V109" s="221">
        <v>1.7778</v>
      </c>
      <c r="W109" s="221">
        <v>0.383</v>
      </c>
      <c r="X109" s="221">
        <v>0.4444</v>
      </c>
      <c r="Y109" s="221">
        <v>-1.0</v>
      </c>
      <c r="Z109" s="221">
        <v>-1.0</v>
      </c>
      <c r="AA109" s="221">
        <v>0.2829</v>
      </c>
      <c r="AB109" s="221">
        <v>0.1348</v>
      </c>
    </row>
    <row r="110">
      <c r="A110" s="14">
        <v>470.0</v>
      </c>
      <c r="B110" s="14">
        <v>304090.0</v>
      </c>
      <c r="C110" s="14">
        <v>413000.0</v>
      </c>
      <c r="D110" s="14">
        <v>717090.0</v>
      </c>
      <c r="E110" s="221">
        <v>0.7016</v>
      </c>
      <c r="F110" s="221">
        <v>0.8217</v>
      </c>
      <c r="G110" s="14">
        <v>98000.0</v>
      </c>
      <c r="H110" s="14">
        <v>10000.0</v>
      </c>
      <c r="I110" s="14">
        <v>70000.0</v>
      </c>
      <c r="J110" s="14">
        <v>96000.0</v>
      </c>
      <c r="K110" s="14">
        <v>40000.0</v>
      </c>
      <c r="L110" s="14">
        <v>28000.0</v>
      </c>
      <c r="M110" s="14">
        <v>35000.0</v>
      </c>
      <c r="N110" s="14">
        <v>0.0</v>
      </c>
      <c r="O110" s="14">
        <v>0.0</v>
      </c>
      <c r="P110" s="14">
        <v>14000.0</v>
      </c>
      <c r="Q110" s="14">
        <v>22000.0</v>
      </c>
      <c r="R110" s="221">
        <v>1.4561</v>
      </c>
      <c r="S110" s="221">
        <v>1.4219</v>
      </c>
      <c r="T110" s="221">
        <v>1.7027</v>
      </c>
      <c r="U110" s="221">
        <v>0.8462</v>
      </c>
      <c r="V110" s="221">
        <v>1.7778</v>
      </c>
      <c r="W110" s="221">
        <v>0.4894</v>
      </c>
      <c r="X110" s="221">
        <v>0.5556</v>
      </c>
      <c r="Y110" s="221">
        <v>-1.0</v>
      </c>
      <c r="Z110" s="221">
        <v>-1.0</v>
      </c>
      <c r="AA110" s="221">
        <v>0.2829</v>
      </c>
      <c r="AB110" s="221">
        <v>0.0855</v>
      </c>
    </row>
    <row r="111">
      <c r="A111" s="14">
        <v>475.0</v>
      </c>
      <c r="B111" s="14">
        <v>307325.0</v>
      </c>
      <c r="C111" s="14">
        <v>420500.0</v>
      </c>
      <c r="D111" s="14">
        <v>727825.0</v>
      </c>
      <c r="E111" s="221">
        <v>0.7197</v>
      </c>
      <c r="F111" s="221">
        <v>0.8548</v>
      </c>
      <c r="G111" s="14">
        <v>98000.0</v>
      </c>
      <c r="H111" s="14">
        <v>10000.0</v>
      </c>
      <c r="I111" s="14">
        <v>70000.0</v>
      </c>
      <c r="J111" s="14">
        <v>100000.0</v>
      </c>
      <c r="K111" s="14">
        <v>40000.0</v>
      </c>
      <c r="L111" s="14">
        <v>30000.0</v>
      </c>
      <c r="M111" s="14">
        <v>37500.0</v>
      </c>
      <c r="N111" s="14">
        <v>0.0</v>
      </c>
      <c r="O111" s="14">
        <v>0.0</v>
      </c>
      <c r="P111" s="14">
        <v>14000.0</v>
      </c>
      <c r="Q111" s="14">
        <v>21000.0</v>
      </c>
      <c r="R111" s="221">
        <v>1.4561</v>
      </c>
      <c r="S111" s="221">
        <v>1.4219</v>
      </c>
      <c r="T111" s="221">
        <v>1.7027</v>
      </c>
      <c r="U111" s="221">
        <v>0.9231</v>
      </c>
      <c r="V111" s="221">
        <v>1.7778</v>
      </c>
      <c r="W111" s="221">
        <v>0.5957</v>
      </c>
      <c r="X111" s="221">
        <v>0.6667</v>
      </c>
      <c r="Y111" s="221">
        <v>-1.0</v>
      </c>
      <c r="Z111" s="221">
        <v>-1.0</v>
      </c>
      <c r="AA111" s="221">
        <v>0.2829</v>
      </c>
      <c r="AB111" s="221">
        <v>0.0362</v>
      </c>
    </row>
    <row r="112">
      <c r="A112" s="14">
        <v>480.0</v>
      </c>
      <c r="B112" s="14">
        <v>310560.0</v>
      </c>
      <c r="C112" s="14">
        <v>428000.0</v>
      </c>
      <c r="D112" s="14">
        <v>738560.0</v>
      </c>
      <c r="E112" s="221">
        <v>0.7378</v>
      </c>
      <c r="F112" s="221">
        <v>0.8879</v>
      </c>
      <c r="G112" s="14">
        <v>98000.0</v>
      </c>
      <c r="H112" s="14">
        <v>10000.0</v>
      </c>
      <c r="I112" s="14">
        <v>70000.0</v>
      </c>
      <c r="J112" s="14">
        <v>104000.0</v>
      </c>
      <c r="K112" s="14">
        <v>40000.0</v>
      </c>
      <c r="L112" s="14">
        <v>32000.0</v>
      </c>
      <c r="M112" s="14">
        <v>40000.0</v>
      </c>
      <c r="N112" s="14">
        <v>0.0</v>
      </c>
      <c r="O112" s="14">
        <v>0.0</v>
      </c>
      <c r="P112" s="14">
        <v>14000.0</v>
      </c>
      <c r="Q112" s="14">
        <v>20000.0</v>
      </c>
      <c r="R112" s="221">
        <v>1.4561</v>
      </c>
      <c r="S112" s="221">
        <v>1.4219</v>
      </c>
      <c r="T112" s="221">
        <v>1.7027</v>
      </c>
      <c r="U112" s="221">
        <v>1.0</v>
      </c>
      <c r="V112" s="221">
        <v>1.7778</v>
      </c>
      <c r="W112" s="221">
        <v>0.7021</v>
      </c>
      <c r="X112" s="221">
        <v>0.7778</v>
      </c>
      <c r="Y112" s="221">
        <v>-1.0</v>
      </c>
      <c r="Z112" s="221">
        <v>-1.0</v>
      </c>
      <c r="AA112" s="221">
        <v>0.2829</v>
      </c>
      <c r="AB112" s="221">
        <v>-0.0132</v>
      </c>
    </row>
    <row r="113">
      <c r="A113" s="14">
        <v>485.0</v>
      </c>
      <c r="B113" s="14">
        <v>313795.0</v>
      </c>
      <c r="C113" s="14">
        <v>435500.0</v>
      </c>
      <c r="D113" s="14">
        <v>749295.0</v>
      </c>
      <c r="E113" s="221">
        <v>0.7559</v>
      </c>
      <c r="F113" s="221">
        <v>0.921</v>
      </c>
      <c r="G113" s="14">
        <v>98000.0</v>
      </c>
      <c r="H113" s="14">
        <v>10000.0</v>
      </c>
      <c r="I113" s="14">
        <v>70000.0</v>
      </c>
      <c r="J113" s="14">
        <v>108000.0</v>
      </c>
      <c r="K113" s="14">
        <v>40000.0</v>
      </c>
      <c r="L113" s="14">
        <v>34000.0</v>
      </c>
      <c r="M113" s="14">
        <v>42500.0</v>
      </c>
      <c r="N113" s="14">
        <v>0.0</v>
      </c>
      <c r="O113" s="14">
        <v>0.0</v>
      </c>
      <c r="P113" s="14">
        <v>14000.0</v>
      </c>
      <c r="Q113" s="14">
        <v>19000.0</v>
      </c>
      <c r="R113" s="221">
        <v>1.4561</v>
      </c>
      <c r="S113" s="221">
        <v>1.4219</v>
      </c>
      <c r="T113" s="221">
        <v>1.7027</v>
      </c>
      <c r="U113" s="221">
        <v>1.0769</v>
      </c>
      <c r="V113" s="221">
        <v>1.7778</v>
      </c>
      <c r="W113" s="221">
        <v>0.8085</v>
      </c>
      <c r="X113" s="221">
        <v>0.8889</v>
      </c>
      <c r="Y113" s="221">
        <v>-1.0</v>
      </c>
      <c r="Z113" s="221">
        <v>-1.0</v>
      </c>
      <c r="AA113" s="221">
        <v>0.2829</v>
      </c>
      <c r="AB113" s="221">
        <v>-0.0625</v>
      </c>
    </row>
    <row r="114">
      <c r="A114" s="14">
        <v>490.0</v>
      </c>
      <c r="B114" s="14">
        <v>317030.0</v>
      </c>
      <c r="C114" s="14">
        <v>443000.0</v>
      </c>
      <c r="D114" s="14">
        <v>760030.0</v>
      </c>
      <c r="E114" s="221">
        <v>0.774</v>
      </c>
      <c r="F114" s="221">
        <v>0.954</v>
      </c>
      <c r="G114" s="14">
        <v>98000.0</v>
      </c>
      <c r="H114" s="14">
        <v>10000.0</v>
      </c>
      <c r="I114" s="14">
        <v>70000.0</v>
      </c>
      <c r="J114" s="14">
        <v>112000.0</v>
      </c>
      <c r="K114" s="14">
        <v>40000.0</v>
      </c>
      <c r="L114" s="14">
        <v>36000.0</v>
      </c>
      <c r="M114" s="14">
        <v>45000.0</v>
      </c>
      <c r="N114" s="14">
        <v>0.0</v>
      </c>
      <c r="O114" s="14">
        <v>0.0</v>
      </c>
      <c r="P114" s="14">
        <v>14000.0</v>
      </c>
      <c r="Q114" s="14">
        <v>18000.0</v>
      </c>
      <c r="R114" s="221">
        <v>1.4561</v>
      </c>
      <c r="S114" s="221">
        <v>1.4219</v>
      </c>
      <c r="T114" s="221">
        <v>1.7027</v>
      </c>
      <c r="U114" s="221">
        <v>1.1538</v>
      </c>
      <c r="V114" s="221">
        <v>1.7778</v>
      </c>
      <c r="W114" s="221">
        <v>0.9149</v>
      </c>
      <c r="X114" s="221">
        <v>1.0</v>
      </c>
      <c r="Y114" s="221">
        <v>-1.0</v>
      </c>
      <c r="Z114" s="221">
        <v>-1.0</v>
      </c>
      <c r="AA114" s="221">
        <v>0.2829</v>
      </c>
      <c r="AB114" s="221">
        <v>-0.1119</v>
      </c>
    </row>
    <row r="115">
      <c r="A115" s="14">
        <v>495.0</v>
      </c>
      <c r="B115" s="14">
        <v>320265.0</v>
      </c>
      <c r="C115" s="14">
        <v>450500.0</v>
      </c>
      <c r="D115" s="14">
        <v>770765.0</v>
      </c>
      <c r="E115" s="221">
        <v>0.7921</v>
      </c>
      <c r="F115" s="221">
        <v>0.9871</v>
      </c>
      <c r="G115" s="14">
        <v>98000.0</v>
      </c>
      <c r="H115" s="14">
        <v>10000.0</v>
      </c>
      <c r="I115" s="14">
        <v>70000.0</v>
      </c>
      <c r="J115" s="14">
        <v>116000.0</v>
      </c>
      <c r="K115" s="14">
        <v>40000.0</v>
      </c>
      <c r="L115" s="14">
        <v>38000.0</v>
      </c>
      <c r="M115" s="14">
        <v>47500.0</v>
      </c>
      <c r="N115" s="14">
        <v>0.0</v>
      </c>
      <c r="O115" s="14">
        <v>0.0</v>
      </c>
      <c r="P115" s="14">
        <v>14000.0</v>
      </c>
      <c r="Q115" s="14">
        <v>17000.0</v>
      </c>
      <c r="R115" s="221">
        <v>1.4561</v>
      </c>
      <c r="S115" s="221">
        <v>1.4219</v>
      </c>
      <c r="T115" s="221">
        <v>1.7027</v>
      </c>
      <c r="U115" s="221">
        <v>1.2308</v>
      </c>
      <c r="V115" s="221">
        <v>1.7778</v>
      </c>
      <c r="W115" s="221">
        <v>1.0213</v>
      </c>
      <c r="X115" s="221">
        <v>1.1111</v>
      </c>
      <c r="Y115" s="221">
        <v>-1.0</v>
      </c>
      <c r="Z115" s="221">
        <v>-1.0</v>
      </c>
      <c r="AA115" s="221">
        <v>0.2829</v>
      </c>
      <c r="AB115" s="221">
        <v>-0.1612</v>
      </c>
    </row>
    <row r="116">
      <c r="A116" s="14">
        <v>500.0</v>
      </c>
      <c r="B116" s="14">
        <v>323500.0</v>
      </c>
      <c r="C116" s="14">
        <v>458000.0</v>
      </c>
      <c r="D116" s="14">
        <v>781500.0</v>
      </c>
      <c r="E116" s="221">
        <v>0.8102</v>
      </c>
      <c r="F116" s="221">
        <v>1.0202</v>
      </c>
      <c r="G116" s="14">
        <v>98000.0</v>
      </c>
      <c r="H116" s="14">
        <v>10000.0</v>
      </c>
      <c r="I116" s="14">
        <v>70000.0</v>
      </c>
      <c r="J116" s="14">
        <v>120000.0</v>
      </c>
      <c r="K116" s="14">
        <v>40000.0</v>
      </c>
      <c r="L116" s="14">
        <v>40000.0</v>
      </c>
      <c r="M116" s="14">
        <v>50000.0</v>
      </c>
      <c r="N116" s="14">
        <v>0.0</v>
      </c>
      <c r="O116" s="14">
        <v>0.0</v>
      </c>
      <c r="P116" s="14">
        <v>14000.0</v>
      </c>
      <c r="Q116" s="14">
        <v>16000.0</v>
      </c>
      <c r="R116" s="221">
        <v>1.4561</v>
      </c>
      <c r="S116" s="221">
        <v>1.4219</v>
      </c>
      <c r="T116" s="221">
        <v>1.7027</v>
      </c>
      <c r="U116" s="221">
        <v>1.3077</v>
      </c>
      <c r="V116" s="221">
        <v>1.7778</v>
      </c>
      <c r="W116" s="221">
        <v>1.1277</v>
      </c>
      <c r="X116" s="221">
        <v>1.2222</v>
      </c>
      <c r="Y116" s="221">
        <v>-1.0</v>
      </c>
      <c r="Z116" s="221">
        <v>-1.0</v>
      </c>
      <c r="AA116" s="221">
        <v>0.2829</v>
      </c>
      <c r="AB116" s="221">
        <v>-0.2105</v>
      </c>
    </row>
    <row r="117">
      <c r="A117" s="14">
        <v>505.0</v>
      </c>
      <c r="B117" s="14">
        <v>326735.0</v>
      </c>
      <c r="C117" s="14">
        <v>467500.0</v>
      </c>
      <c r="D117" s="14">
        <v>794235.0</v>
      </c>
      <c r="E117" s="221">
        <v>0.8283</v>
      </c>
      <c r="F117" s="221">
        <v>1.0621</v>
      </c>
      <c r="G117" s="14">
        <v>98000.0</v>
      </c>
      <c r="H117" s="14">
        <v>10000.0</v>
      </c>
      <c r="I117" s="14">
        <v>70000.0</v>
      </c>
      <c r="J117" s="14">
        <v>124000.0</v>
      </c>
      <c r="K117" s="14">
        <v>40000.0</v>
      </c>
      <c r="L117" s="14">
        <v>42000.0</v>
      </c>
      <c r="M117" s="14">
        <v>52500.0</v>
      </c>
      <c r="N117" s="14">
        <v>1000.0</v>
      </c>
      <c r="O117" s="14">
        <v>1000.0</v>
      </c>
      <c r="P117" s="14">
        <v>14000.0</v>
      </c>
      <c r="Q117" s="14">
        <v>15000.0</v>
      </c>
      <c r="R117" s="221">
        <v>1.4561</v>
      </c>
      <c r="S117" s="221">
        <v>1.4219</v>
      </c>
      <c r="T117" s="221">
        <v>1.7027</v>
      </c>
      <c r="U117" s="221">
        <v>1.3846</v>
      </c>
      <c r="V117" s="221">
        <v>1.7778</v>
      </c>
      <c r="W117" s="221">
        <v>1.234</v>
      </c>
      <c r="X117" s="221">
        <v>1.3333</v>
      </c>
      <c r="Y117" s="221">
        <v>-0.8901</v>
      </c>
      <c r="Z117" s="221">
        <v>-0.8864</v>
      </c>
      <c r="AA117" s="221">
        <v>0.2829</v>
      </c>
      <c r="AB117" s="221">
        <v>-0.2599</v>
      </c>
    </row>
    <row r="118">
      <c r="A118" s="14">
        <v>510.0</v>
      </c>
      <c r="B118" s="14">
        <v>329970.0</v>
      </c>
      <c r="C118" s="14">
        <v>477000.0</v>
      </c>
      <c r="D118" s="14">
        <v>806970.0</v>
      </c>
      <c r="E118" s="221">
        <v>0.8464</v>
      </c>
      <c r="F118" s="221">
        <v>1.104</v>
      </c>
      <c r="G118" s="14">
        <v>98000.0</v>
      </c>
      <c r="H118" s="14">
        <v>10000.0</v>
      </c>
      <c r="I118" s="14">
        <v>70000.0</v>
      </c>
      <c r="J118" s="14">
        <v>128000.0</v>
      </c>
      <c r="K118" s="14">
        <v>40000.0</v>
      </c>
      <c r="L118" s="14">
        <v>44000.0</v>
      </c>
      <c r="M118" s="14">
        <v>55000.0</v>
      </c>
      <c r="N118" s="14">
        <v>2000.0</v>
      </c>
      <c r="O118" s="14">
        <v>2000.0</v>
      </c>
      <c r="P118" s="14">
        <v>14000.0</v>
      </c>
      <c r="Q118" s="14">
        <v>14000.0</v>
      </c>
      <c r="R118" s="221">
        <v>1.4561</v>
      </c>
      <c r="S118" s="221">
        <v>1.4219</v>
      </c>
      <c r="T118" s="221">
        <v>1.7027</v>
      </c>
      <c r="U118" s="221">
        <v>1.4615</v>
      </c>
      <c r="V118" s="221">
        <v>1.7778</v>
      </c>
      <c r="W118" s="221">
        <v>1.3404</v>
      </c>
      <c r="X118" s="221">
        <v>1.4444</v>
      </c>
      <c r="Y118" s="221">
        <v>-0.7802</v>
      </c>
      <c r="Z118" s="221">
        <v>-0.7727</v>
      </c>
      <c r="AA118" s="221">
        <v>0.2829</v>
      </c>
      <c r="AB118" s="221">
        <v>-0.3092</v>
      </c>
    </row>
    <row r="119">
      <c r="A119" s="14">
        <v>515.0</v>
      </c>
      <c r="B119" s="14">
        <v>333205.0</v>
      </c>
      <c r="C119" s="14">
        <v>486500.0</v>
      </c>
      <c r="D119" s="14">
        <v>819705.0</v>
      </c>
      <c r="E119" s="221">
        <v>0.8645</v>
      </c>
      <c r="F119" s="221">
        <v>1.1459</v>
      </c>
      <c r="G119" s="14">
        <v>98000.0</v>
      </c>
      <c r="H119" s="14">
        <v>10000.0</v>
      </c>
      <c r="I119" s="14">
        <v>70000.0</v>
      </c>
      <c r="J119" s="14">
        <v>132000.0</v>
      </c>
      <c r="K119" s="14">
        <v>40000.0</v>
      </c>
      <c r="L119" s="14">
        <v>46000.0</v>
      </c>
      <c r="M119" s="14">
        <v>57500.0</v>
      </c>
      <c r="N119" s="14">
        <v>3000.0</v>
      </c>
      <c r="O119" s="14">
        <v>3000.0</v>
      </c>
      <c r="P119" s="14">
        <v>14000.0</v>
      </c>
      <c r="Q119" s="14">
        <v>13000.0</v>
      </c>
      <c r="R119" s="221">
        <v>1.4561</v>
      </c>
      <c r="S119" s="221">
        <v>1.4219</v>
      </c>
      <c r="T119" s="221">
        <v>1.7027</v>
      </c>
      <c r="U119" s="221">
        <v>1.5385</v>
      </c>
      <c r="V119" s="221">
        <v>1.7778</v>
      </c>
      <c r="W119" s="221">
        <v>1.4468</v>
      </c>
      <c r="X119" s="221">
        <v>1.5556</v>
      </c>
      <c r="Y119" s="221">
        <v>-0.6703</v>
      </c>
      <c r="Z119" s="221">
        <v>-0.6591</v>
      </c>
      <c r="AA119" s="221">
        <v>0.2829</v>
      </c>
      <c r="AB119" s="221">
        <v>-0.3586</v>
      </c>
    </row>
    <row r="120">
      <c r="A120" s="14">
        <v>520.0</v>
      </c>
      <c r="B120" s="14">
        <v>336440.0</v>
      </c>
      <c r="C120" s="14">
        <v>496000.0</v>
      </c>
      <c r="D120" s="14">
        <v>832440.0</v>
      </c>
      <c r="E120" s="221">
        <v>0.8826</v>
      </c>
      <c r="F120" s="221">
        <v>1.1878</v>
      </c>
      <c r="G120" s="14">
        <v>98000.0</v>
      </c>
      <c r="H120" s="14">
        <v>10000.0</v>
      </c>
      <c r="I120" s="14">
        <v>70000.0</v>
      </c>
      <c r="J120" s="14">
        <v>136000.0</v>
      </c>
      <c r="K120" s="14">
        <v>40000.0</v>
      </c>
      <c r="L120" s="14">
        <v>48000.0</v>
      </c>
      <c r="M120" s="14">
        <v>60000.0</v>
      </c>
      <c r="N120" s="14">
        <v>4000.0</v>
      </c>
      <c r="O120" s="14">
        <v>4000.0</v>
      </c>
      <c r="P120" s="14">
        <v>14000.0</v>
      </c>
      <c r="Q120" s="14">
        <v>12000.0</v>
      </c>
      <c r="R120" s="221">
        <v>1.4561</v>
      </c>
      <c r="S120" s="221">
        <v>1.4219</v>
      </c>
      <c r="T120" s="221">
        <v>1.7027</v>
      </c>
      <c r="U120" s="221">
        <v>1.6154</v>
      </c>
      <c r="V120" s="221">
        <v>1.7778</v>
      </c>
      <c r="W120" s="221">
        <v>1.5532</v>
      </c>
      <c r="X120" s="221">
        <v>1.6667</v>
      </c>
      <c r="Y120" s="221">
        <v>-0.5604</v>
      </c>
      <c r="Z120" s="221">
        <v>-0.5455</v>
      </c>
      <c r="AA120" s="221">
        <v>0.2829</v>
      </c>
      <c r="AB120" s="221">
        <v>-0.4079</v>
      </c>
    </row>
    <row r="121">
      <c r="A121" s="14">
        <v>525.0</v>
      </c>
      <c r="B121" s="14">
        <v>339675.0</v>
      </c>
      <c r="C121" s="14">
        <v>505500.0</v>
      </c>
      <c r="D121" s="14">
        <v>845175.0</v>
      </c>
      <c r="E121" s="221">
        <v>0.9007</v>
      </c>
      <c r="F121" s="221">
        <v>1.2297</v>
      </c>
      <c r="G121" s="14">
        <v>98000.0</v>
      </c>
      <c r="H121" s="14">
        <v>10000.0</v>
      </c>
      <c r="I121" s="14">
        <v>70000.0</v>
      </c>
      <c r="J121" s="14">
        <v>140000.0</v>
      </c>
      <c r="K121" s="14">
        <v>40000.0</v>
      </c>
      <c r="L121" s="14">
        <v>50000.0</v>
      </c>
      <c r="M121" s="14">
        <v>62500.0</v>
      </c>
      <c r="N121" s="14">
        <v>5000.0</v>
      </c>
      <c r="O121" s="14">
        <v>5000.0</v>
      </c>
      <c r="P121" s="14">
        <v>14000.0</v>
      </c>
      <c r="Q121" s="14">
        <v>11000.0</v>
      </c>
      <c r="R121" s="221">
        <v>1.4561</v>
      </c>
      <c r="S121" s="221">
        <v>1.4219</v>
      </c>
      <c r="T121" s="221">
        <v>1.7027</v>
      </c>
      <c r="U121" s="221">
        <v>1.6923</v>
      </c>
      <c r="V121" s="221">
        <v>1.7778</v>
      </c>
      <c r="W121" s="221">
        <v>1.6596</v>
      </c>
      <c r="X121" s="221">
        <v>1.7778</v>
      </c>
      <c r="Y121" s="221">
        <v>-0.4505</v>
      </c>
      <c r="Z121" s="221">
        <v>-0.4318</v>
      </c>
      <c r="AA121" s="221">
        <v>0.2829</v>
      </c>
      <c r="AB121" s="221">
        <v>-0.4572</v>
      </c>
    </row>
    <row r="122">
      <c r="A122" s="14">
        <v>530.0</v>
      </c>
      <c r="B122" s="14">
        <v>342910.0</v>
      </c>
      <c r="C122" s="14">
        <v>515000.0</v>
      </c>
      <c r="D122" s="14">
        <v>857910.0</v>
      </c>
      <c r="E122" s="221">
        <v>0.9188</v>
      </c>
      <c r="F122" s="221">
        <v>1.2716</v>
      </c>
      <c r="G122" s="14">
        <v>98000.0</v>
      </c>
      <c r="H122" s="14">
        <v>10000.0</v>
      </c>
      <c r="I122" s="14">
        <v>70000.0</v>
      </c>
      <c r="J122" s="14">
        <v>144000.0</v>
      </c>
      <c r="K122" s="14">
        <v>40000.0</v>
      </c>
      <c r="L122" s="14">
        <v>52000.0</v>
      </c>
      <c r="M122" s="14">
        <v>65000.0</v>
      </c>
      <c r="N122" s="14">
        <v>6000.0</v>
      </c>
      <c r="O122" s="14">
        <v>6000.0</v>
      </c>
      <c r="P122" s="14">
        <v>14000.0</v>
      </c>
      <c r="Q122" s="14">
        <v>10000.0</v>
      </c>
      <c r="R122" s="221">
        <v>1.4561</v>
      </c>
      <c r="S122" s="221">
        <v>1.4219</v>
      </c>
      <c r="T122" s="221">
        <v>1.7027</v>
      </c>
      <c r="U122" s="221">
        <v>1.7692</v>
      </c>
      <c r="V122" s="221">
        <v>1.7778</v>
      </c>
      <c r="W122" s="221">
        <v>1.766</v>
      </c>
      <c r="X122" s="221">
        <v>1.8889</v>
      </c>
      <c r="Y122" s="221">
        <v>-0.3407</v>
      </c>
      <c r="Z122" s="221">
        <v>-0.3182</v>
      </c>
      <c r="AA122" s="221">
        <v>0.2829</v>
      </c>
      <c r="AB122" s="221">
        <v>-0.5066</v>
      </c>
    </row>
    <row r="123">
      <c r="A123" s="14">
        <v>535.0</v>
      </c>
      <c r="B123" s="14">
        <v>346145.0</v>
      </c>
      <c r="C123" s="14">
        <v>524500.0</v>
      </c>
      <c r="D123" s="14">
        <v>870645.0</v>
      </c>
      <c r="E123" s="221">
        <v>0.9369</v>
      </c>
      <c r="F123" s="221">
        <v>1.3135</v>
      </c>
      <c r="G123" s="14">
        <v>98000.0</v>
      </c>
      <c r="H123" s="14">
        <v>10000.0</v>
      </c>
      <c r="I123" s="14">
        <v>70000.0</v>
      </c>
      <c r="J123" s="14">
        <v>148000.0</v>
      </c>
      <c r="K123" s="14">
        <v>40000.0</v>
      </c>
      <c r="L123" s="14">
        <v>54000.0</v>
      </c>
      <c r="M123" s="14">
        <v>67500.0</v>
      </c>
      <c r="N123" s="14">
        <v>7000.0</v>
      </c>
      <c r="O123" s="14">
        <v>7000.0</v>
      </c>
      <c r="P123" s="14">
        <v>14000.0</v>
      </c>
      <c r="Q123" s="14">
        <v>9000.0</v>
      </c>
      <c r="R123" s="221">
        <v>1.4561</v>
      </c>
      <c r="S123" s="221">
        <v>1.4219</v>
      </c>
      <c r="T123" s="221">
        <v>1.7027</v>
      </c>
      <c r="U123" s="221">
        <v>1.8462</v>
      </c>
      <c r="V123" s="221">
        <v>1.7778</v>
      </c>
      <c r="W123" s="221">
        <v>1.8723</v>
      </c>
      <c r="X123" s="221">
        <v>2.0</v>
      </c>
      <c r="Y123" s="221">
        <v>-0.2308</v>
      </c>
      <c r="Z123" s="221">
        <v>-0.2045</v>
      </c>
      <c r="AA123" s="221">
        <v>0.2829</v>
      </c>
      <c r="AB123" s="221">
        <v>-0.5559</v>
      </c>
    </row>
    <row r="124">
      <c r="A124" s="14">
        <v>540.0</v>
      </c>
      <c r="B124" s="14">
        <v>349380.0</v>
      </c>
      <c r="C124" s="14">
        <v>534000.0</v>
      </c>
      <c r="D124" s="14">
        <v>883380.0</v>
      </c>
      <c r="E124" s="221">
        <v>0.955</v>
      </c>
      <c r="F124" s="221">
        <v>1.3554</v>
      </c>
      <c r="G124" s="14">
        <v>98000.0</v>
      </c>
      <c r="H124" s="14">
        <v>10000.0</v>
      </c>
      <c r="I124" s="14">
        <v>70000.0</v>
      </c>
      <c r="J124" s="14">
        <v>152000.0</v>
      </c>
      <c r="K124" s="14">
        <v>40000.0</v>
      </c>
      <c r="L124" s="14">
        <v>56000.0</v>
      </c>
      <c r="M124" s="14">
        <v>70000.0</v>
      </c>
      <c r="N124" s="14">
        <v>8000.0</v>
      </c>
      <c r="O124" s="14">
        <v>8000.0</v>
      </c>
      <c r="P124" s="14">
        <v>14000.0</v>
      </c>
      <c r="Q124" s="14">
        <v>8000.0</v>
      </c>
      <c r="R124" s="221">
        <v>1.4561</v>
      </c>
      <c r="S124" s="221">
        <v>1.4219</v>
      </c>
      <c r="T124" s="221">
        <v>1.7027</v>
      </c>
      <c r="U124" s="221">
        <v>1.9231</v>
      </c>
      <c r="V124" s="221">
        <v>1.7778</v>
      </c>
      <c r="W124" s="221">
        <v>1.9787</v>
      </c>
      <c r="X124" s="221">
        <v>2.1111</v>
      </c>
      <c r="Y124" s="221">
        <v>-0.1209</v>
      </c>
      <c r="Z124" s="221">
        <v>-0.0909</v>
      </c>
      <c r="AA124" s="221">
        <v>0.2829</v>
      </c>
      <c r="AB124" s="221">
        <v>-0.6053</v>
      </c>
    </row>
    <row r="125">
      <c r="A125" s="14">
        <v>545.0</v>
      </c>
      <c r="B125" s="14">
        <v>352615.0</v>
      </c>
      <c r="C125" s="14">
        <v>543500.0</v>
      </c>
      <c r="D125" s="14">
        <v>896115.0</v>
      </c>
      <c r="E125" s="221">
        <v>0.9731</v>
      </c>
      <c r="F125" s="221">
        <v>1.3973</v>
      </c>
      <c r="G125" s="14">
        <v>98000.0</v>
      </c>
      <c r="H125" s="14">
        <v>10000.0</v>
      </c>
      <c r="I125" s="14">
        <v>70000.0</v>
      </c>
      <c r="J125" s="14">
        <v>156000.0</v>
      </c>
      <c r="K125" s="14">
        <v>40000.0</v>
      </c>
      <c r="L125" s="14">
        <v>58000.0</v>
      </c>
      <c r="M125" s="14">
        <v>72500.0</v>
      </c>
      <c r="N125" s="14">
        <v>9000.0</v>
      </c>
      <c r="O125" s="14">
        <v>9000.0</v>
      </c>
      <c r="P125" s="14">
        <v>14000.0</v>
      </c>
      <c r="Q125" s="14">
        <v>7000.0</v>
      </c>
      <c r="R125" s="221">
        <v>1.4561</v>
      </c>
      <c r="S125" s="221">
        <v>1.4219</v>
      </c>
      <c r="T125" s="221">
        <v>1.7027</v>
      </c>
      <c r="U125" s="221">
        <v>2.0</v>
      </c>
      <c r="V125" s="221">
        <v>1.7778</v>
      </c>
      <c r="W125" s="221">
        <v>2.0851</v>
      </c>
      <c r="X125" s="221">
        <v>2.2222</v>
      </c>
      <c r="Y125" s="221">
        <v>-0.011</v>
      </c>
      <c r="Z125" s="221">
        <v>0.0227</v>
      </c>
      <c r="AA125" s="221">
        <v>0.2829</v>
      </c>
      <c r="AB125" s="221">
        <v>-0.6546</v>
      </c>
    </row>
    <row r="126">
      <c r="A126" s="14">
        <v>550.0</v>
      </c>
      <c r="B126" s="14">
        <v>355850.0</v>
      </c>
      <c r="C126" s="14">
        <v>553000.0</v>
      </c>
      <c r="D126" s="14">
        <v>908850.0</v>
      </c>
      <c r="E126" s="221">
        <v>0.9912</v>
      </c>
      <c r="F126" s="221">
        <v>1.4393</v>
      </c>
      <c r="G126" s="14">
        <v>98000.0</v>
      </c>
      <c r="H126" s="14">
        <v>10000.0</v>
      </c>
      <c r="I126" s="14">
        <v>70000.0</v>
      </c>
      <c r="J126" s="14">
        <v>160000.0</v>
      </c>
      <c r="K126" s="14">
        <v>40000.0</v>
      </c>
      <c r="L126" s="14">
        <v>60000.0</v>
      </c>
      <c r="M126" s="14">
        <v>75000.0</v>
      </c>
      <c r="N126" s="14">
        <v>10000.0</v>
      </c>
      <c r="O126" s="14">
        <v>10000.0</v>
      </c>
      <c r="P126" s="14">
        <v>14000.0</v>
      </c>
      <c r="Q126" s="14">
        <v>6000.0</v>
      </c>
      <c r="R126" s="221">
        <v>1.4561</v>
      </c>
      <c r="S126" s="221">
        <v>1.4219</v>
      </c>
      <c r="T126" s="221">
        <v>1.7027</v>
      </c>
      <c r="U126" s="221">
        <v>2.0769</v>
      </c>
      <c r="V126" s="221">
        <v>1.7778</v>
      </c>
      <c r="W126" s="221">
        <v>2.1915</v>
      </c>
      <c r="X126" s="221">
        <v>2.3333</v>
      </c>
      <c r="Y126" s="221">
        <v>0.0989</v>
      </c>
      <c r="Z126" s="221">
        <v>0.1364</v>
      </c>
      <c r="AA126" s="221">
        <v>0.2829</v>
      </c>
      <c r="AB126" s="221">
        <v>-0.704</v>
      </c>
    </row>
    <row r="127">
      <c r="A127" s="14">
        <v>555.0</v>
      </c>
      <c r="B127" s="14">
        <v>359085.0</v>
      </c>
      <c r="C127" s="14">
        <v>554000.0</v>
      </c>
      <c r="D127" s="14">
        <v>913085.0</v>
      </c>
      <c r="E127" s="221">
        <v>1.0093</v>
      </c>
      <c r="F127" s="221">
        <v>1.4437</v>
      </c>
      <c r="G127" s="14">
        <v>98000.0</v>
      </c>
      <c r="H127" s="14">
        <v>10000.0</v>
      </c>
      <c r="I127" s="14">
        <v>70000.0</v>
      </c>
      <c r="J127" s="14">
        <v>160000.0</v>
      </c>
      <c r="K127" s="14">
        <v>40000.0</v>
      </c>
      <c r="L127" s="14">
        <v>60000.0</v>
      </c>
      <c r="M127" s="14">
        <v>75000.0</v>
      </c>
      <c r="N127" s="14">
        <v>11000.0</v>
      </c>
      <c r="O127" s="14">
        <v>11000.0</v>
      </c>
      <c r="P127" s="14">
        <v>14000.0</v>
      </c>
      <c r="Q127" s="14">
        <v>5000.0</v>
      </c>
      <c r="R127" s="221">
        <v>1.4561</v>
      </c>
      <c r="S127" s="221">
        <v>1.4219</v>
      </c>
      <c r="T127" s="221">
        <v>1.7027</v>
      </c>
      <c r="U127" s="221">
        <v>2.0769</v>
      </c>
      <c r="V127" s="221">
        <v>1.7778</v>
      </c>
      <c r="W127" s="221">
        <v>2.1915</v>
      </c>
      <c r="X127" s="221">
        <v>2.3333</v>
      </c>
      <c r="Y127" s="221">
        <v>0.2088</v>
      </c>
      <c r="Z127" s="221">
        <v>0.25</v>
      </c>
      <c r="AA127" s="221">
        <v>0.2829</v>
      </c>
      <c r="AB127" s="221">
        <v>-0.7533</v>
      </c>
    </row>
    <row r="128">
      <c r="A128" s="14">
        <v>560.0</v>
      </c>
      <c r="B128" s="14">
        <v>362320.0</v>
      </c>
      <c r="C128" s="14">
        <v>555000.0</v>
      </c>
      <c r="D128" s="14">
        <v>917320.0</v>
      </c>
      <c r="E128" s="221">
        <v>1.0274</v>
      </c>
      <c r="F128" s="221">
        <v>1.4481</v>
      </c>
      <c r="G128" s="14">
        <v>98000.0</v>
      </c>
      <c r="H128" s="14">
        <v>10000.0</v>
      </c>
      <c r="I128" s="14">
        <v>70000.0</v>
      </c>
      <c r="J128" s="14">
        <v>160000.0</v>
      </c>
      <c r="K128" s="14">
        <v>40000.0</v>
      </c>
      <c r="L128" s="14">
        <v>60000.0</v>
      </c>
      <c r="M128" s="14">
        <v>75000.0</v>
      </c>
      <c r="N128" s="14">
        <v>12000.0</v>
      </c>
      <c r="O128" s="14">
        <v>12000.0</v>
      </c>
      <c r="P128" s="14">
        <v>14000.0</v>
      </c>
      <c r="Q128" s="14">
        <v>4000.0</v>
      </c>
      <c r="R128" s="221">
        <v>1.4561</v>
      </c>
      <c r="S128" s="221">
        <v>1.4219</v>
      </c>
      <c r="T128" s="221">
        <v>1.7027</v>
      </c>
      <c r="U128" s="221">
        <v>2.0769</v>
      </c>
      <c r="V128" s="221">
        <v>1.7778</v>
      </c>
      <c r="W128" s="221">
        <v>2.1915</v>
      </c>
      <c r="X128" s="221">
        <v>2.3333</v>
      </c>
      <c r="Y128" s="221">
        <v>0.3187</v>
      </c>
      <c r="Z128" s="221">
        <v>0.3636</v>
      </c>
      <c r="AA128" s="221">
        <v>0.2829</v>
      </c>
      <c r="AB128" s="221">
        <v>-0.8026</v>
      </c>
    </row>
    <row r="129">
      <c r="A129" s="14">
        <v>565.0</v>
      </c>
      <c r="B129" s="14">
        <v>365555.0</v>
      </c>
      <c r="C129" s="14">
        <v>556000.0</v>
      </c>
      <c r="D129" s="14">
        <v>921555.0</v>
      </c>
      <c r="E129" s="221">
        <v>1.0455</v>
      </c>
      <c r="F129" s="221">
        <v>1.4525</v>
      </c>
      <c r="G129" s="14">
        <v>98000.0</v>
      </c>
      <c r="H129" s="14">
        <v>10000.0</v>
      </c>
      <c r="I129" s="14">
        <v>70000.0</v>
      </c>
      <c r="J129" s="14">
        <v>160000.0</v>
      </c>
      <c r="K129" s="14">
        <v>40000.0</v>
      </c>
      <c r="L129" s="14">
        <v>60000.0</v>
      </c>
      <c r="M129" s="14">
        <v>75000.0</v>
      </c>
      <c r="N129" s="14">
        <v>13000.0</v>
      </c>
      <c r="O129" s="14">
        <v>13000.0</v>
      </c>
      <c r="P129" s="14">
        <v>14000.0</v>
      </c>
      <c r="Q129" s="14">
        <v>3000.0</v>
      </c>
      <c r="R129" s="221">
        <v>1.4561</v>
      </c>
      <c r="S129" s="221">
        <v>1.4219</v>
      </c>
      <c r="T129" s="221">
        <v>1.7027</v>
      </c>
      <c r="U129" s="221">
        <v>2.0769</v>
      </c>
      <c r="V129" s="221">
        <v>1.7778</v>
      </c>
      <c r="W129" s="221">
        <v>2.1915</v>
      </c>
      <c r="X129" s="221">
        <v>2.3333</v>
      </c>
      <c r="Y129" s="221">
        <v>0.4286</v>
      </c>
      <c r="Z129" s="221">
        <v>0.4773</v>
      </c>
      <c r="AA129" s="221">
        <v>0.2829</v>
      </c>
      <c r="AB129" s="221">
        <v>-0.852</v>
      </c>
    </row>
    <row r="130">
      <c r="A130" s="14">
        <v>570.0</v>
      </c>
      <c r="B130" s="14">
        <v>368790.0</v>
      </c>
      <c r="C130" s="14">
        <v>557000.0</v>
      </c>
      <c r="D130" s="14">
        <v>925790.0</v>
      </c>
      <c r="E130" s="221">
        <v>1.0636</v>
      </c>
      <c r="F130" s="221">
        <v>1.4569</v>
      </c>
      <c r="G130" s="14">
        <v>98000.0</v>
      </c>
      <c r="H130" s="14">
        <v>10000.0</v>
      </c>
      <c r="I130" s="14">
        <v>70000.0</v>
      </c>
      <c r="J130" s="14">
        <v>160000.0</v>
      </c>
      <c r="K130" s="14">
        <v>40000.0</v>
      </c>
      <c r="L130" s="14">
        <v>60000.0</v>
      </c>
      <c r="M130" s="14">
        <v>75000.0</v>
      </c>
      <c r="N130" s="14">
        <v>14000.0</v>
      </c>
      <c r="O130" s="14">
        <v>14000.0</v>
      </c>
      <c r="P130" s="14">
        <v>14000.0</v>
      </c>
      <c r="Q130" s="14">
        <v>2000.0</v>
      </c>
      <c r="R130" s="221">
        <v>1.4561</v>
      </c>
      <c r="S130" s="221">
        <v>1.4219</v>
      </c>
      <c r="T130" s="221">
        <v>1.7027</v>
      </c>
      <c r="U130" s="221">
        <v>2.0769</v>
      </c>
      <c r="V130" s="221">
        <v>1.7778</v>
      </c>
      <c r="W130" s="221">
        <v>2.1915</v>
      </c>
      <c r="X130" s="221">
        <v>2.3333</v>
      </c>
      <c r="Y130" s="221">
        <v>0.5385</v>
      </c>
      <c r="Z130" s="221">
        <v>0.5909</v>
      </c>
      <c r="AA130" s="221">
        <v>0.2829</v>
      </c>
      <c r="AB130" s="221">
        <v>-0.9013</v>
      </c>
    </row>
    <row r="131">
      <c r="A131" s="14">
        <v>575.0</v>
      </c>
      <c r="B131" s="14">
        <v>372025.0</v>
      </c>
      <c r="C131" s="14">
        <v>558000.0</v>
      </c>
      <c r="D131" s="14">
        <v>930025.0</v>
      </c>
      <c r="E131" s="221">
        <v>1.0817</v>
      </c>
      <c r="F131" s="221">
        <v>1.4613</v>
      </c>
      <c r="G131" s="14">
        <v>98000.0</v>
      </c>
      <c r="H131" s="14">
        <v>10000.0</v>
      </c>
      <c r="I131" s="14">
        <v>70000.0</v>
      </c>
      <c r="J131" s="14">
        <v>160000.0</v>
      </c>
      <c r="K131" s="14">
        <v>40000.0</v>
      </c>
      <c r="L131" s="14">
        <v>60000.0</v>
      </c>
      <c r="M131" s="14">
        <v>75000.0</v>
      </c>
      <c r="N131" s="14">
        <v>15000.0</v>
      </c>
      <c r="O131" s="14">
        <v>15000.0</v>
      </c>
      <c r="P131" s="14">
        <v>14000.0</v>
      </c>
      <c r="Q131" s="14">
        <v>1000.0</v>
      </c>
      <c r="R131" s="221">
        <v>1.4561</v>
      </c>
      <c r="S131" s="221">
        <v>1.4219</v>
      </c>
      <c r="T131" s="221">
        <v>1.7027</v>
      </c>
      <c r="U131" s="221">
        <v>2.0769</v>
      </c>
      <c r="V131" s="221">
        <v>1.7778</v>
      </c>
      <c r="W131" s="221">
        <v>2.1915</v>
      </c>
      <c r="X131" s="221">
        <v>2.3333</v>
      </c>
      <c r="Y131" s="221">
        <v>0.6484</v>
      </c>
      <c r="Z131" s="221">
        <v>0.7045</v>
      </c>
      <c r="AA131" s="221">
        <v>0.2829</v>
      </c>
      <c r="AB131" s="221">
        <v>-0.9507</v>
      </c>
    </row>
    <row r="132">
      <c r="A132" s="14">
        <v>580.0</v>
      </c>
      <c r="B132" s="14">
        <v>375260.0</v>
      </c>
      <c r="C132" s="14">
        <v>559000.0</v>
      </c>
      <c r="D132" s="14">
        <v>934260.0</v>
      </c>
      <c r="E132" s="221">
        <v>1.0998</v>
      </c>
      <c r="F132" s="221">
        <v>1.4657</v>
      </c>
      <c r="G132" s="14">
        <v>98000.0</v>
      </c>
      <c r="H132" s="14">
        <v>10000.0</v>
      </c>
      <c r="I132" s="14">
        <v>70000.0</v>
      </c>
      <c r="J132" s="14">
        <v>160000.0</v>
      </c>
      <c r="K132" s="14">
        <v>40000.0</v>
      </c>
      <c r="L132" s="14">
        <v>60000.0</v>
      </c>
      <c r="M132" s="14">
        <v>75000.0</v>
      </c>
      <c r="N132" s="14">
        <v>16000.0</v>
      </c>
      <c r="O132" s="14">
        <v>16000.0</v>
      </c>
      <c r="P132" s="14">
        <v>14000.0</v>
      </c>
      <c r="Q132" s="14">
        <v>0.0</v>
      </c>
      <c r="R132" s="221">
        <v>1.4561</v>
      </c>
      <c r="S132" s="221">
        <v>1.4219</v>
      </c>
      <c r="T132" s="221">
        <v>1.7027</v>
      </c>
      <c r="U132" s="221">
        <v>2.0769</v>
      </c>
      <c r="V132" s="221">
        <v>1.7778</v>
      </c>
      <c r="W132" s="221">
        <v>2.1915</v>
      </c>
      <c r="X132" s="221">
        <v>2.3333</v>
      </c>
      <c r="Y132" s="221">
        <v>0.7582</v>
      </c>
      <c r="Z132" s="221">
        <v>0.8182</v>
      </c>
      <c r="AA132" s="221">
        <v>0.2829</v>
      </c>
      <c r="AB132" s="221">
        <v>-1.0</v>
      </c>
    </row>
    <row r="133">
      <c r="A133" s="14">
        <v>585.0</v>
      </c>
      <c r="B133" s="14">
        <v>378495.0</v>
      </c>
      <c r="C133" s="14">
        <v>561000.0</v>
      </c>
      <c r="D133" s="14">
        <v>939495.0</v>
      </c>
      <c r="E133" s="221">
        <v>1.1179</v>
      </c>
      <c r="F133" s="221">
        <v>1.4745</v>
      </c>
      <c r="G133" s="14">
        <v>98000.0</v>
      </c>
      <c r="H133" s="14">
        <v>10000.0</v>
      </c>
      <c r="I133" s="14">
        <v>70000.0</v>
      </c>
      <c r="J133" s="14">
        <v>160000.0</v>
      </c>
      <c r="K133" s="14">
        <v>40000.0</v>
      </c>
      <c r="L133" s="14">
        <v>60000.0</v>
      </c>
      <c r="M133" s="14">
        <v>75000.0</v>
      </c>
      <c r="N133" s="14">
        <v>17000.0</v>
      </c>
      <c r="O133" s="14">
        <v>17000.0</v>
      </c>
      <c r="P133" s="14">
        <v>14000.0</v>
      </c>
      <c r="Q133" s="14">
        <v>0.0</v>
      </c>
      <c r="R133" s="221">
        <v>1.4561</v>
      </c>
      <c r="S133" s="221">
        <v>1.4219</v>
      </c>
      <c r="T133" s="221">
        <v>1.7027</v>
      </c>
      <c r="U133" s="221">
        <v>2.0769</v>
      </c>
      <c r="V133" s="221">
        <v>1.7778</v>
      </c>
      <c r="W133" s="221">
        <v>2.1915</v>
      </c>
      <c r="X133" s="221">
        <v>2.3333</v>
      </c>
      <c r="Y133" s="221">
        <v>0.8681</v>
      </c>
      <c r="Z133" s="221">
        <v>0.9318</v>
      </c>
      <c r="AA133" s="221">
        <v>0.2829</v>
      </c>
      <c r="AB133" s="221">
        <v>-1.0</v>
      </c>
    </row>
    <row r="134">
      <c r="A134" s="14">
        <v>590.0</v>
      </c>
      <c r="B134" s="14">
        <v>381730.0</v>
      </c>
      <c r="C134" s="14">
        <v>563000.0</v>
      </c>
      <c r="D134" s="14">
        <v>944730.0</v>
      </c>
      <c r="E134" s="221">
        <v>1.136</v>
      </c>
      <c r="F134" s="221">
        <v>1.4834</v>
      </c>
      <c r="G134" s="14">
        <v>98000.0</v>
      </c>
      <c r="H134" s="14">
        <v>10000.0</v>
      </c>
      <c r="I134" s="14">
        <v>70000.0</v>
      </c>
      <c r="J134" s="14">
        <v>160000.0</v>
      </c>
      <c r="K134" s="14">
        <v>40000.0</v>
      </c>
      <c r="L134" s="14">
        <v>60000.0</v>
      </c>
      <c r="M134" s="14">
        <v>75000.0</v>
      </c>
      <c r="N134" s="14">
        <v>18000.0</v>
      </c>
      <c r="O134" s="14">
        <v>18000.0</v>
      </c>
      <c r="P134" s="14">
        <v>14000.0</v>
      </c>
      <c r="Q134" s="14">
        <v>0.0</v>
      </c>
      <c r="R134" s="221">
        <v>1.4561</v>
      </c>
      <c r="S134" s="221">
        <v>1.4219</v>
      </c>
      <c r="T134" s="221">
        <v>1.7027</v>
      </c>
      <c r="U134" s="221">
        <v>2.0769</v>
      </c>
      <c r="V134" s="221">
        <v>1.7778</v>
      </c>
      <c r="W134" s="221">
        <v>2.1915</v>
      </c>
      <c r="X134" s="221">
        <v>2.3333</v>
      </c>
      <c r="Y134" s="221">
        <v>0.978</v>
      </c>
      <c r="Z134" s="221">
        <v>1.0455</v>
      </c>
      <c r="AA134" s="221">
        <v>0.2829</v>
      </c>
      <c r="AB134" s="221">
        <v>-1.0</v>
      </c>
    </row>
    <row r="135">
      <c r="A135" s="14">
        <v>595.0</v>
      </c>
      <c r="B135" s="14">
        <v>384965.0</v>
      </c>
      <c r="C135" s="14">
        <v>565000.0</v>
      </c>
      <c r="D135" s="14">
        <v>949965.0</v>
      </c>
      <c r="E135" s="221">
        <v>1.1541</v>
      </c>
      <c r="F135" s="221">
        <v>1.4922</v>
      </c>
      <c r="G135" s="14">
        <v>98000.0</v>
      </c>
      <c r="H135" s="14">
        <v>10000.0</v>
      </c>
      <c r="I135" s="14">
        <v>70000.0</v>
      </c>
      <c r="J135" s="14">
        <v>160000.0</v>
      </c>
      <c r="K135" s="14">
        <v>40000.0</v>
      </c>
      <c r="L135" s="14">
        <v>60000.0</v>
      </c>
      <c r="M135" s="14">
        <v>75000.0</v>
      </c>
      <c r="N135" s="14">
        <v>19000.0</v>
      </c>
      <c r="O135" s="14">
        <v>19000.0</v>
      </c>
      <c r="P135" s="14">
        <v>14000.0</v>
      </c>
      <c r="Q135" s="14">
        <v>0.0</v>
      </c>
      <c r="R135" s="221">
        <v>1.4561</v>
      </c>
      <c r="S135" s="221">
        <v>1.4219</v>
      </c>
      <c r="T135" s="221">
        <v>1.7027</v>
      </c>
      <c r="U135" s="221">
        <v>2.0769</v>
      </c>
      <c r="V135" s="221">
        <v>1.7778</v>
      </c>
      <c r="W135" s="221">
        <v>2.1915</v>
      </c>
      <c r="X135" s="221">
        <v>2.3333</v>
      </c>
      <c r="Y135" s="221">
        <v>1.0879</v>
      </c>
      <c r="Z135" s="221">
        <v>1.1591</v>
      </c>
      <c r="AA135" s="221">
        <v>0.2829</v>
      </c>
      <c r="AB135" s="221">
        <v>-1.0</v>
      </c>
    </row>
    <row r="136">
      <c r="A136" s="14">
        <v>600.0</v>
      </c>
      <c r="B136" s="14">
        <v>388200.0</v>
      </c>
      <c r="C136" s="14">
        <v>567000.0</v>
      </c>
      <c r="D136" s="14">
        <v>955200.0</v>
      </c>
      <c r="E136" s="221">
        <v>1.1722</v>
      </c>
      <c r="F136" s="221">
        <v>1.501</v>
      </c>
      <c r="G136" s="14">
        <v>98000.0</v>
      </c>
      <c r="H136" s="14">
        <v>10000.0</v>
      </c>
      <c r="I136" s="14">
        <v>70000.0</v>
      </c>
      <c r="J136" s="14">
        <v>160000.0</v>
      </c>
      <c r="K136" s="14">
        <v>40000.0</v>
      </c>
      <c r="L136" s="14">
        <v>60000.0</v>
      </c>
      <c r="M136" s="14">
        <v>75000.0</v>
      </c>
      <c r="N136" s="14">
        <v>20000.0</v>
      </c>
      <c r="O136" s="14">
        <v>20000.0</v>
      </c>
      <c r="P136" s="14">
        <v>14000.0</v>
      </c>
      <c r="Q136" s="14">
        <v>0.0</v>
      </c>
      <c r="R136" s="221">
        <v>1.4561</v>
      </c>
      <c r="S136" s="221">
        <v>1.4219</v>
      </c>
      <c r="T136" s="221">
        <v>1.7027</v>
      </c>
      <c r="U136" s="221">
        <v>2.0769</v>
      </c>
      <c r="V136" s="221">
        <v>1.7778</v>
      </c>
      <c r="W136" s="221">
        <v>2.1915</v>
      </c>
      <c r="X136" s="221">
        <v>2.3333</v>
      </c>
      <c r="Y136" s="221">
        <v>1.1978</v>
      </c>
      <c r="Z136" s="221">
        <v>1.2727</v>
      </c>
      <c r="AA136" s="221">
        <v>0.2829</v>
      </c>
      <c r="AB136" s="221">
        <v>-1.0</v>
      </c>
    </row>
    <row r="137">
      <c r="A137" s="14">
        <v>605.0</v>
      </c>
      <c r="B137" s="14">
        <v>391435.0</v>
      </c>
      <c r="C137" s="14">
        <v>569000.0</v>
      </c>
      <c r="D137" s="14">
        <v>960435.0</v>
      </c>
      <c r="E137" s="221">
        <v>1.1903</v>
      </c>
      <c r="F137" s="221">
        <v>1.5098</v>
      </c>
      <c r="G137" s="14">
        <v>98000.0</v>
      </c>
      <c r="H137" s="14">
        <v>10000.0</v>
      </c>
      <c r="I137" s="14">
        <v>70000.0</v>
      </c>
      <c r="J137" s="14">
        <v>160000.0</v>
      </c>
      <c r="K137" s="14">
        <v>40000.0</v>
      </c>
      <c r="L137" s="14">
        <v>60000.0</v>
      </c>
      <c r="M137" s="14">
        <v>75000.0</v>
      </c>
      <c r="N137" s="14">
        <v>21000.0</v>
      </c>
      <c r="O137" s="14">
        <v>21000.0</v>
      </c>
      <c r="P137" s="14">
        <v>14000.0</v>
      </c>
      <c r="Q137" s="14">
        <v>0.0</v>
      </c>
      <c r="R137" s="221">
        <v>1.4561</v>
      </c>
      <c r="S137" s="221">
        <v>1.4219</v>
      </c>
      <c r="T137" s="221">
        <v>1.7027</v>
      </c>
      <c r="U137" s="221">
        <v>2.0769</v>
      </c>
      <c r="V137" s="221">
        <v>1.7778</v>
      </c>
      <c r="W137" s="221">
        <v>2.1915</v>
      </c>
      <c r="X137" s="221">
        <v>2.3333</v>
      </c>
      <c r="Y137" s="221">
        <v>1.3077</v>
      </c>
      <c r="Z137" s="221">
        <v>1.3864</v>
      </c>
      <c r="AA137" s="221">
        <v>0.2829</v>
      </c>
      <c r="AB137" s="221">
        <v>-1.0</v>
      </c>
    </row>
    <row r="138">
      <c r="A138" s="14">
        <v>610.0</v>
      </c>
      <c r="B138" s="14">
        <v>394670.0</v>
      </c>
      <c r="C138" s="14">
        <v>571000.0</v>
      </c>
      <c r="D138" s="14">
        <v>965670.0</v>
      </c>
      <c r="E138" s="221">
        <v>1.2084</v>
      </c>
      <c r="F138" s="221">
        <v>1.5186</v>
      </c>
      <c r="G138" s="14">
        <v>98000.0</v>
      </c>
      <c r="H138" s="14">
        <v>10000.0</v>
      </c>
      <c r="I138" s="14">
        <v>70000.0</v>
      </c>
      <c r="J138" s="14">
        <v>160000.0</v>
      </c>
      <c r="K138" s="14">
        <v>40000.0</v>
      </c>
      <c r="L138" s="14">
        <v>60000.0</v>
      </c>
      <c r="M138" s="14">
        <v>75000.0</v>
      </c>
      <c r="N138" s="14">
        <v>22000.0</v>
      </c>
      <c r="O138" s="14">
        <v>22000.0</v>
      </c>
      <c r="P138" s="14">
        <v>14000.0</v>
      </c>
      <c r="Q138" s="14">
        <v>0.0</v>
      </c>
      <c r="R138" s="221">
        <v>1.4561</v>
      </c>
      <c r="S138" s="221">
        <v>1.4219</v>
      </c>
      <c r="T138" s="221">
        <v>1.7027</v>
      </c>
      <c r="U138" s="221">
        <v>2.0769</v>
      </c>
      <c r="V138" s="221">
        <v>1.7778</v>
      </c>
      <c r="W138" s="221">
        <v>2.1915</v>
      </c>
      <c r="X138" s="221">
        <v>2.3333</v>
      </c>
      <c r="Y138" s="221">
        <v>1.4176</v>
      </c>
      <c r="Z138" s="221">
        <v>1.5</v>
      </c>
      <c r="AA138" s="221">
        <v>0.2829</v>
      </c>
      <c r="AB138" s="221">
        <v>-1.0</v>
      </c>
    </row>
    <row r="139">
      <c r="A139" s="14">
        <v>615.0</v>
      </c>
      <c r="B139" s="14">
        <v>397905.0</v>
      </c>
      <c r="C139" s="14">
        <v>573000.0</v>
      </c>
      <c r="D139" s="14">
        <v>970905.0</v>
      </c>
      <c r="E139" s="221">
        <v>1.2265</v>
      </c>
      <c r="F139" s="221">
        <v>1.5275</v>
      </c>
      <c r="G139" s="14">
        <v>98000.0</v>
      </c>
      <c r="H139" s="14">
        <v>10000.0</v>
      </c>
      <c r="I139" s="14">
        <v>70000.0</v>
      </c>
      <c r="J139" s="14">
        <v>160000.0</v>
      </c>
      <c r="K139" s="14">
        <v>40000.0</v>
      </c>
      <c r="L139" s="14">
        <v>60000.0</v>
      </c>
      <c r="M139" s="14">
        <v>75000.0</v>
      </c>
      <c r="N139" s="14">
        <v>23000.0</v>
      </c>
      <c r="O139" s="14">
        <v>23000.0</v>
      </c>
      <c r="P139" s="14">
        <v>14000.0</v>
      </c>
      <c r="Q139" s="14">
        <v>0.0</v>
      </c>
      <c r="R139" s="221">
        <v>1.4561</v>
      </c>
      <c r="S139" s="221">
        <v>1.4219</v>
      </c>
      <c r="T139" s="221">
        <v>1.7027</v>
      </c>
      <c r="U139" s="221">
        <v>2.0769</v>
      </c>
      <c r="V139" s="221">
        <v>1.7778</v>
      </c>
      <c r="W139" s="221">
        <v>2.1915</v>
      </c>
      <c r="X139" s="221">
        <v>2.3333</v>
      </c>
      <c r="Y139" s="221">
        <v>1.5275</v>
      </c>
      <c r="Z139" s="221">
        <v>1.6136</v>
      </c>
      <c r="AA139" s="221">
        <v>0.2829</v>
      </c>
      <c r="AB139" s="221">
        <v>-1.0</v>
      </c>
    </row>
    <row r="140">
      <c r="A140" s="14">
        <v>620.0</v>
      </c>
      <c r="B140" s="14">
        <v>401140.0</v>
      </c>
      <c r="C140" s="14">
        <v>575000.0</v>
      </c>
      <c r="D140" s="14">
        <v>976140.0</v>
      </c>
      <c r="E140" s="221">
        <v>1.2446</v>
      </c>
      <c r="F140" s="221">
        <v>1.5363</v>
      </c>
      <c r="G140" s="14">
        <v>98000.0</v>
      </c>
      <c r="H140" s="14">
        <v>10000.0</v>
      </c>
      <c r="I140" s="14">
        <v>70000.0</v>
      </c>
      <c r="J140" s="14">
        <v>160000.0</v>
      </c>
      <c r="K140" s="14">
        <v>40000.0</v>
      </c>
      <c r="L140" s="14">
        <v>60000.0</v>
      </c>
      <c r="M140" s="14">
        <v>75000.0</v>
      </c>
      <c r="N140" s="14">
        <v>24000.0</v>
      </c>
      <c r="O140" s="14">
        <v>24000.0</v>
      </c>
      <c r="P140" s="14">
        <v>14000.0</v>
      </c>
      <c r="Q140" s="14">
        <v>0.0</v>
      </c>
      <c r="R140" s="221">
        <v>1.4561</v>
      </c>
      <c r="S140" s="221">
        <v>1.4219</v>
      </c>
      <c r="T140" s="221">
        <v>1.7027</v>
      </c>
      <c r="U140" s="221">
        <v>2.0769</v>
      </c>
      <c r="V140" s="221">
        <v>1.7778</v>
      </c>
      <c r="W140" s="221">
        <v>2.1915</v>
      </c>
      <c r="X140" s="221">
        <v>2.3333</v>
      </c>
      <c r="Y140" s="221">
        <v>1.6374</v>
      </c>
      <c r="Z140" s="221">
        <v>1.7273</v>
      </c>
      <c r="AA140" s="221">
        <v>0.2829</v>
      </c>
      <c r="AB140" s="221">
        <v>-1.0</v>
      </c>
    </row>
    <row r="141">
      <c r="A141" s="14">
        <v>625.0</v>
      </c>
      <c r="B141" s="14">
        <v>404375.0</v>
      </c>
      <c r="C141" s="14">
        <v>577000.0</v>
      </c>
      <c r="D141" s="14">
        <v>981375.0</v>
      </c>
      <c r="E141" s="221">
        <v>1.2627</v>
      </c>
      <c r="F141" s="221">
        <v>1.5451</v>
      </c>
      <c r="G141" s="14">
        <v>98000.0</v>
      </c>
      <c r="H141" s="14">
        <v>10000.0</v>
      </c>
      <c r="I141" s="14">
        <v>70000.0</v>
      </c>
      <c r="J141" s="14">
        <v>160000.0</v>
      </c>
      <c r="K141" s="14">
        <v>40000.0</v>
      </c>
      <c r="L141" s="14">
        <v>60000.0</v>
      </c>
      <c r="M141" s="14">
        <v>75000.0</v>
      </c>
      <c r="N141" s="14">
        <v>25000.0</v>
      </c>
      <c r="O141" s="14">
        <v>25000.0</v>
      </c>
      <c r="P141" s="14">
        <v>14000.0</v>
      </c>
      <c r="Q141" s="14">
        <v>0.0</v>
      </c>
      <c r="R141" s="221">
        <v>1.4561</v>
      </c>
      <c r="S141" s="221">
        <v>1.4219</v>
      </c>
      <c r="T141" s="221">
        <v>1.7027</v>
      </c>
      <c r="U141" s="221">
        <v>2.0769</v>
      </c>
      <c r="V141" s="221">
        <v>1.7778</v>
      </c>
      <c r="W141" s="221">
        <v>2.1915</v>
      </c>
      <c r="X141" s="221">
        <v>2.3333</v>
      </c>
      <c r="Y141" s="221">
        <v>1.7473</v>
      </c>
      <c r="Z141" s="221">
        <v>1.8409</v>
      </c>
      <c r="AA141" s="221">
        <v>0.2829</v>
      </c>
      <c r="AB141" s="221">
        <v>-1.0</v>
      </c>
    </row>
    <row r="142">
      <c r="A142" s="14">
        <v>630.0</v>
      </c>
      <c r="B142" s="14">
        <v>407610.0</v>
      </c>
      <c r="C142" s="14">
        <v>579000.0</v>
      </c>
      <c r="D142" s="14">
        <v>986610.0</v>
      </c>
      <c r="E142" s="221">
        <v>1.2808</v>
      </c>
      <c r="F142" s="221">
        <v>1.5539</v>
      </c>
      <c r="G142" s="14">
        <v>98000.0</v>
      </c>
      <c r="H142" s="14">
        <v>10000.0</v>
      </c>
      <c r="I142" s="14">
        <v>70000.0</v>
      </c>
      <c r="J142" s="14">
        <v>160000.0</v>
      </c>
      <c r="K142" s="14">
        <v>40000.0</v>
      </c>
      <c r="L142" s="14">
        <v>60000.0</v>
      </c>
      <c r="M142" s="14">
        <v>75000.0</v>
      </c>
      <c r="N142" s="14">
        <v>26000.0</v>
      </c>
      <c r="O142" s="14">
        <v>26000.0</v>
      </c>
      <c r="P142" s="14">
        <v>14000.0</v>
      </c>
      <c r="Q142" s="14">
        <v>0.0</v>
      </c>
      <c r="R142" s="221">
        <v>1.4561</v>
      </c>
      <c r="S142" s="221">
        <v>1.4219</v>
      </c>
      <c r="T142" s="221">
        <v>1.7027</v>
      </c>
      <c r="U142" s="221">
        <v>2.0769</v>
      </c>
      <c r="V142" s="221">
        <v>1.7778</v>
      </c>
      <c r="W142" s="221">
        <v>2.1915</v>
      </c>
      <c r="X142" s="221">
        <v>2.3333</v>
      </c>
      <c r="Y142" s="221">
        <v>1.8571</v>
      </c>
      <c r="Z142" s="221">
        <v>1.9545</v>
      </c>
      <c r="AA142" s="221">
        <v>0.2829</v>
      </c>
      <c r="AB142" s="221">
        <v>-1.0</v>
      </c>
    </row>
    <row r="143">
      <c r="A143" s="14">
        <v>635.0</v>
      </c>
      <c r="B143" s="14">
        <v>410845.0</v>
      </c>
      <c r="C143" s="14">
        <v>581000.0</v>
      </c>
      <c r="D143" s="14">
        <v>991845.0</v>
      </c>
      <c r="E143" s="221">
        <v>1.2989</v>
      </c>
      <c r="F143" s="221">
        <v>1.5628</v>
      </c>
      <c r="G143" s="14">
        <v>98000.0</v>
      </c>
      <c r="H143" s="14">
        <v>10000.0</v>
      </c>
      <c r="I143" s="14">
        <v>70000.0</v>
      </c>
      <c r="J143" s="14">
        <v>160000.0</v>
      </c>
      <c r="K143" s="14">
        <v>40000.0</v>
      </c>
      <c r="L143" s="14">
        <v>60000.0</v>
      </c>
      <c r="M143" s="14">
        <v>75000.0</v>
      </c>
      <c r="N143" s="14">
        <v>27000.0</v>
      </c>
      <c r="O143" s="14">
        <v>27000.0</v>
      </c>
      <c r="P143" s="14">
        <v>14000.0</v>
      </c>
      <c r="Q143" s="14">
        <v>0.0</v>
      </c>
      <c r="R143" s="221">
        <v>1.4561</v>
      </c>
      <c r="S143" s="221">
        <v>1.4219</v>
      </c>
      <c r="T143" s="221">
        <v>1.7027</v>
      </c>
      <c r="U143" s="221">
        <v>2.0769</v>
      </c>
      <c r="V143" s="221">
        <v>1.7778</v>
      </c>
      <c r="W143" s="221">
        <v>2.1915</v>
      </c>
      <c r="X143" s="221">
        <v>2.3333</v>
      </c>
      <c r="Y143" s="221">
        <v>1.967</v>
      </c>
      <c r="Z143" s="221">
        <v>2.0682</v>
      </c>
      <c r="AA143" s="221">
        <v>0.2829</v>
      </c>
      <c r="AB143" s="221">
        <v>-1.0</v>
      </c>
    </row>
    <row r="144">
      <c r="A144" s="14">
        <v>640.0</v>
      </c>
      <c r="B144" s="14">
        <v>414080.0</v>
      </c>
      <c r="C144" s="14">
        <v>583000.0</v>
      </c>
      <c r="D144" s="14">
        <v>997080.0</v>
      </c>
      <c r="E144" s="221">
        <v>1.317</v>
      </c>
      <c r="F144" s="221">
        <v>1.5716</v>
      </c>
      <c r="G144" s="14">
        <v>98000.0</v>
      </c>
      <c r="H144" s="14">
        <v>10000.0</v>
      </c>
      <c r="I144" s="14">
        <v>70000.0</v>
      </c>
      <c r="J144" s="14">
        <v>160000.0</v>
      </c>
      <c r="K144" s="14">
        <v>40000.0</v>
      </c>
      <c r="L144" s="14">
        <v>60000.0</v>
      </c>
      <c r="M144" s="14">
        <v>75000.0</v>
      </c>
      <c r="N144" s="14">
        <v>28000.0</v>
      </c>
      <c r="O144" s="14">
        <v>28000.0</v>
      </c>
      <c r="P144" s="14">
        <v>14000.0</v>
      </c>
      <c r="Q144" s="14">
        <v>0.0</v>
      </c>
      <c r="R144" s="221">
        <v>1.4561</v>
      </c>
      <c r="S144" s="221">
        <v>1.4219</v>
      </c>
      <c r="T144" s="221">
        <v>1.7027</v>
      </c>
      <c r="U144" s="221">
        <v>2.0769</v>
      </c>
      <c r="V144" s="221">
        <v>1.7778</v>
      </c>
      <c r="W144" s="221">
        <v>2.1915</v>
      </c>
      <c r="X144" s="221">
        <v>2.3333</v>
      </c>
      <c r="Y144" s="221">
        <v>2.0769</v>
      </c>
      <c r="Z144" s="221">
        <v>2.1818</v>
      </c>
      <c r="AA144" s="221">
        <v>0.2829</v>
      </c>
      <c r="AB144" s="221">
        <v>-1.0</v>
      </c>
    </row>
    <row r="145">
      <c r="A145" s="14">
        <v>645.0</v>
      </c>
      <c r="B145" s="14">
        <v>417315.0</v>
      </c>
      <c r="C145" s="14">
        <v>585000.0</v>
      </c>
      <c r="D145" s="14">
        <v>1002315.0</v>
      </c>
      <c r="E145" s="221">
        <v>1.3351</v>
      </c>
      <c r="F145" s="221">
        <v>1.5804</v>
      </c>
      <c r="G145" s="14">
        <v>98000.0</v>
      </c>
      <c r="H145" s="14">
        <v>10000.0</v>
      </c>
      <c r="I145" s="14">
        <v>70000.0</v>
      </c>
      <c r="J145" s="14">
        <v>160000.0</v>
      </c>
      <c r="K145" s="14">
        <v>40000.0</v>
      </c>
      <c r="L145" s="14">
        <v>60000.0</v>
      </c>
      <c r="M145" s="14">
        <v>75000.0</v>
      </c>
      <c r="N145" s="14">
        <v>29000.0</v>
      </c>
      <c r="O145" s="14">
        <v>29000.0</v>
      </c>
      <c r="P145" s="14">
        <v>14000.0</v>
      </c>
      <c r="Q145" s="14">
        <v>0.0</v>
      </c>
      <c r="R145" s="221">
        <v>1.4561</v>
      </c>
      <c r="S145" s="221">
        <v>1.4219</v>
      </c>
      <c r="T145" s="221">
        <v>1.7027</v>
      </c>
      <c r="U145" s="221">
        <v>2.0769</v>
      </c>
      <c r="V145" s="221">
        <v>1.7778</v>
      </c>
      <c r="W145" s="221">
        <v>2.1915</v>
      </c>
      <c r="X145" s="221">
        <v>2.3333</v>
      </c>
      <c r="Y145" s="221">
        <v>2.1868</v>
      </c>
      <c r="Z145" s="221">
        <v>2.2955</v>
      </c>
      <c r="AA145" s="221">
        <v>0.2829</v>
      </c>
      <c r="AB145" s="221">
        <v>-1.0</v>
      </c>
    </row>
    <row r="146">
      <c r="A146" s="14">
        <v>650.0</v>
      </c>
      <c r="B146" s="14">
        <v>420550.0</v>
      </c>
      <c r="C146" s="14">
        <v>587000.0</v>
      </c>
      <c r="D146" s="14">
        <v>1007550.0</v>
      </c>
      <c r="E146" s="221">
        <v>1.3532</v>
      </c>
      <c r="F146" s="221">
        <v>1.5892</v>
      </c>
      <c r="G146" s="14">
        <v>98000.0</v>
      </c>
      <c r="H146" s="14">
        <v>10000.0</v>
      </c>
      <c r="I146" s="14">
        <v>70000.0</v>
      </c>
      <c r="J146" s="14">
        <v>160000.0</v>
      </c>
      <c r="K146" s="14">
        <v>40000.0</v>
      </c>
      <c r="L146" s="14">
        <v>60000.0</v>
      </c>
      <c r="M146" s="14">
        <v>75000.0</v>
      </c>
      <c r="N146" s="14">
        <v>30000.0</v>
      </c>
      <c r="O146" s="14">
        <v>30000.0</v>
      </c>
      <c r="P146" s="14">
        <v>14000.0</v>
      </c>
      <c r="Q146" s="14">
        <v>0.0</v>
      </c>
      <c r="R146" s="221">
        <v>1.4561</v>
      </c>
      <c r="S146" s="221">
        <v>1.4219</v>
      </c>
      <c r="T146" s="221">
        <v>1.7027</v>
      </c>
      <c r="U146" s="221">
        <v>2.0769</v>
      </c>
      <c r="V146" s="221">
        <v>1.7778</v>
      </c>
      <c r="W146" s="221">
        <v>2.1915</v>
      </c>
      <c r="X146" s="221">
        <v>2.3333</v>
      </c>
      <c r="Y146" s="221">
        <v>2.2967</v>
      </c>
      <c r="Z146" s="221">
        <v>2.4091</v>
      </c>
      <c r="AA146" s="221">
        <v>0.2829</v>
      </c>
      <c r="AB146" s="221">
        <v>-1.0</v>
      </c>
    </row>
    <row r="147">
      <c r="A147" s="14">
        <v>655.0</v>
      </c>
      <c r="B147" s="14">
        <v>423785.0</v>
      </c>
      <c r="C147" s="14">
        <v>589000.0</v>
      </c>
      <c r="D147" s="14">
        <v>1012785.0</v>
      </c>
      <c r="E147" s="221">
        <v>1.3713</v>
      </c>
      <c r="F147" s="221">
        <v>1.598</v>
      </c>
      <c r="G147" s="14">
        <v>98000.0</v>
      </c>
      <c r="H147" s="14">
        <v>10000.0</v>
      </c>
      <c r="I147" s="14">
        <v>70000.0</v>
      </c>
      <c r="J147" s="14">
        <v>160000.0</v>
      </c>
      <c r="K147" s="14">
        <v>40000.0</v>
      </c>
      <c r="L147" s="14">
        <v>60000.0</v>
      </c>
      <c r="M147" s="14">
        <v>75000.0</v>
      </c>
      <c r="N147" s="14">
        <v>31000.0</v>
      </c>
      <c r="O147" s="14">
        <v>31000.0</v>
      </c>
      <c r="P147" s="14">
        <v>14000.0</v>
      </c>
      <c r="Q147" s="14">
        <v>0.0</v>
      </c>
      <c r="R147" s="221">
        <v>1.4561</v>
      </c>
      <c r="S147" s="221">
        <v>1.4219</v>
      </c>
      <c r="T147" s="221">
        <v>1.7027</v>
      </c>
      <c r="U147" s="221">
        <v>2.0769</v>
      </c>
      <c r="V147" s="221">
        <v>1.7778</v>
      </c>
      <c r="W147" s="221">
        <v>2.1915</v>
      </c>
      <c r="X147" s="221">
        <v>2.3333</v>
      </c>
      <c r="Y147" s="221">
        <v>2.4066</v>
      </c>
      <c r="Z147" s="221">
        <v>2.5227</v>
      </c>
      <c r="AA147" s="221">
        <v>0.2829</v>
      </c>
      <c r="AB147" s="221">
        <v>-1.0</v>
      </c>
    </row>
    <row r="148">
      <c r="A148" s="14">
        <v>660.0</v>
      </c>
      <c r="B148" s="14">
        <v>427020.0</v>
      </c>
      <c r="C148" s="14">
        <v>591000.0</v>
      </c>
      <c r="D148" s="14">
        <v>1018020.0</v>
      </c>
      <c r="E148" s="221">
        <v>1.3894</v>
      </c>
      <c r="F148" s="221">
        <v>1.6069</v>
      </c>
      <c r="G148" s="14">
        <v>98000.0</v>
      </c>
      <c r="H148" s="14">
        <v>10000.0</v>
      </c>
      <c r="I148" s="14">
        <v>70000.0</v>
      </c>
      <c r="J148" s="14">
        <v>160000.0</v>
      </c>
      <c r="K148" s="14">
        <v>40000.0</v>
      </c>
      <c r="L148" s="14">
        <v>60000.0</v>
      </c>
      <c r="M148" s="14">
        <v>75000.0</v>
      </c>
      <c r="N148" s="14">
        <v>32000.0</v>
      </c>
      <c r="O148" s="14">
        <v>32000.0</v>
      </c>
      <c r="P148" s="14">
        <v>14000.0</v>
      </c>
      <c r="Q148" s="14">
        <v>0.0</v>
      </c>
      <c r="R148" s="221">
        <v>1.4561</v>
      </c>
      <c r="S148" s="221">
        <v>1.4219</v>
      </c>
      <c r="T148" s="221">
        <v>1.7027</v>
      </c>
      <c r="U148" s="221">
        <v>2.0769</v>
      </c>
      <c r="V148" s="221">
        <v>1.7778</v>
      </c>
      <c r="W148" s="221">
        <v>2.1915</v>
      </c>
      <c r="X148" s="221">
        <v>2.3333</v>
      </c>
      <c r="Y148" s="221">
        <v>2.5165</v>
      </c>
      <c r="Z148" s="221">
        <v>2.6364</v>
      </c>
      <c r="AA148" s="221">
        <v>0.2829</v>
      </c>
      <c r="AB148" s="221">
        <v>-1.0</v>
      </c>
    </row>
    <row r="149">
      <c r="A149" s="14">
        <v>665.0</v>
      </c>
      <c r="B149" s="14">
        <v>430255.0</v>
      </c>
      <c r="C149" s="14">
        <v>593000.0</v>
      </c>
      <c r="D149" s="14">
        <v>1023255.0</v>
      </c>
      <c r="E149" s="221">
        <v>1.4075</v>
      </c>
      <c r="F149" s="221">
        <v>1.6157</v>
      </c>
      <c r="G149" s="14">
        <v>98000.0</v>
      </c>
      <c r="H149" s="14">
        <v>10000.0</v>
      </c>
      <c r="I149" s="14">
        <v>70000.0</v>
      </c>
      <c r="J149" s="14">
        <v>160000.0</v>
      </c>
      <c r="K149" s="14">
        <v>40000.0</v>
      </c>
      <c r="L149" s="14">
        <v>60000.0</v>
      </c>
      <c r="M149" s="14">
        <v>75000.0</v>
      </c>
      <c r="N149" s="14">
        <v>33000.0</v>
      </c>
      <c r="O149" s="14">
        <v>33000.0</v>
      </c>
      <c r="P149" s="14">
        <v>14000.0</v>
      </c>
      <c r="Q149" s="14">
        <v>0.0</v>
      </c>
      <c r="R149" s="221">
        <v>1.4561</v>
      </c>
      <c r="S149" s="221">
        <v>1.4219</v>
      </c>
      <c r="T149" s="221">
        <v>1.7027</v>
      </c>
      <c r="U149" s="221">
        <v>2.0769</v>
      </c>
      <c r="V149" s="221">
        <v>1.7778</v>
      </c>
      <c r="W149" s="221">
        <v>2.1915</v>
      </c>
      <c r="X149" s="221">
        <v>2.3333</v>
      </c>
      <c r="Y149" s="221">
        <v>2.6264</v>
      </c>
      <c r="Z149" s="221">
        <v>2.75</v>
      </c>
      <c r="AA149" s="221">
        <v>0.2829</v>
      </c>
      <c r="AB149" s="221">
        <v>-1.0</v>
      </c>
    </row>
    <row r="150">
      <c r="A150" s="14">
        <v>670.0</v>
      </c>
      <c r="B150" s="14">
        <v>433490.0</v>
      </c>
      <c r="C150" s="14">
        <v>595000.0</v>
      </c>
      <c r="D150" s="14">
        <v>1028490.0</v>
      </c>
      <c r="E150" s="221">
        <v>1.4256</v>
      </c>
      <c r="F150" s="221">
        <v>1.6245</v>
      </c>
      <c r="G150" s="14">
        <v>98000.0</v>
      </c>
      <c r="H150" s="14">
        <v>10000.0</v>
      </c>
      <c r="I150" s="14">
        <v>70000.0</v>
      </c>
      <c r="J150" s="14">
        <v>160000.0</v>
      </c>
      <c r="K150" s="14">
        <v>40000.0</v>
      </c>
      <c r="L150" s="14">
        <v>60000.0</v>
      </c>
      <c r="M150" s="14">
        <v>75000.0</v>
      </c>
      <c r="N150" s="14">
        <v>34000.0</v>
      </c>
      <c r="O150" s="14">
        <v>34000.0</v>
      </c>
      <c r="P150" s="14">
        <v>14000.0</v>
      </c>
      <c r="Q150" s="14">
        <v>0.0</v>
      </c>
      <c r="R150" s="221">
        <v>1.4561</v>
      </c>
      <c r="S150" s="221">
        <v>1.4219</v>
      </c>
      <c r="T150" s="221">
        <v>1.7027</v>
      </c>
      <c r="U150" s="221">
        <v>2.0769</v>
      </c>
      <c r="V150" s="221">
        <v>1.7778</v>
      </c>
      <c r="W150" s="221">
        <v>2.1915</v>
      </c>
      <c r="X150" s="221">
        <v>2.3333</v>
      </c>
      <c r="Y150" s="221">
        <v>2.7363</v>
      </c>
      <c r="Z150" s="221">
        <v>2.8636</v>
      </c>
      <c r="AA150" s="221">
        <v>0.2829</v>
      </c>
      <c r="AB150" s="221">
        <v>-1.0</v>
      </c>
    </row>
    <row r="151">
      <c r="A151" s="14">
        <v>675.0</v>
      </c>
      <c r="B151" s="14">
        <v>436725.0</v>
      </c>
      <c r="C151" s="14">
        <v>597000.0</v>
      </c>
      <c r="D151" s="14">
        <v>1033725.0</v>
      </c>
      <c r="E151" s="221">
        <v>1.4437</v>
      </c>
      <c r="F151" s="221">
        <v>1.6333</v>
      </c>
      <c r="G151" s="14">
        <v>98000.0</v>
      </c>
      <c r="H151" s="14">
        <v>10000.0</v>
      </c>
      <c r="I151" s="14">
        <v>70000.0</v>
      </c>
      <c r="J151" s="14">
        <v>160000.0</v>
      </c>
      <c r="K151" s="14">
        <v>40000.0</v>
      </c>
      <c r="L151" s="14">
        <v>60000.0</v>
      </c>
      <c r="M151" s="14">
        <v>75000.0</v>
      </c>
      <c r="N151" s="14">
        <v>35000.0</v>
      </c>
      <c r="O151" s="14">
        <v>35000.0</v>
      </c>
      <c r="P151" s="14">
        <v>14000.0</v>
      </c>
      <c r="Q151" s="14">
        <v>0.0</v>
      </c>
      <c r="R151" s="221">
        <v>1.4561</v>
      </c>
      <c r="S151" s="221">
        <v>1.4219</v>
      </c>
      <c r="T151" s="221">
        <v>1.7027</v>
      </c>
      <c r="U151" s="221">
        <v>2.0769</v>
      </c>
      <c r="V151" s="221">
        <v>1.7778</v>
      </c>
      <c r="W151" s="221">
        <v>2.1915</v>
      </c>
      <c r="X151" s="221">
        <v>2.3333</v>
      </c>
      <c r="Y151" s="221">
        <v>2.8462</v>
      </c>
      <c r="Z151" s="221">
        <v>2.9773</v>
      </c>
      <c r="AA151" s="221">
        <v>0.2829</v>
      </c>
      <c r="AB151" s="221">
        <v>-1.0</v>
      </c>
    </row>
    <row r="152">
      <c r="A152" s="14">
        <v>680.0</v>
      </c>
      <c r="B152" s="14">
        <v>439960.0</v>
      </c>
      <c r="C152" s="14">
        <v>599000.0</v>
      </c>
      <c r="D152" s="14">
        <v>1038960.0</v>
      </c>
      <c r="E152" s="221">
        <v>1.4618</v>
      </c>
      <c r="F152" s="221">
        <v>1.6422</v>
      </c>
      <c r="G152" s="14">
        <v>98000.0</v>
      </c>
      <c r="H152" s="14">
        <v>10000.0</v>
      </c>
      <c r="I152" s="14">
        <v>70000.0</v>
      </c>
      <c r="J152" s="14">
        <v>160000.0</v>
      </c>
      <c r="K152" s="14">
        <v>40000.0</v>
      </c>
      <c r="L152" s="14">
        <v>60000.0</v>
      </c>
      <c r="M152" s="14">
        <v>75000.0</v>
      </c>
      <c r="N152" s="14">
        <v>36000.0</v>
      </c>
      <c r="O152" s="14">
        <v>36000.0</v>
      </c>
      <c r="P152" s="14">
        <v>14000.0</v>
      </c>
      <c r="Q152" s="14">
        <v>0.0</v>
      </c>
      <c r="R152" s="221">
        <v>1.4561</v>
      </c>
      <c r="S152" s="221">
        <v>1.4219</v>
      </c>
      <c r="T152" s="221">
        <v>1.7027</v>
      </c>
      <c r="U152" s="221">
        <v>2.0769</v>
      </c>
      <c r="V152" s="221">
        <v>1.7778</v>
      </c>
      <c r="W152" s="221">
        <v>2.1915</v>
      </c>
      <c r="X152" s="221">
        <v>2.3333</v>
      </c>
      <c r="Y152" s="221">
        <v>2.956</v>
      </c>
      <c r="Z152" s="221">
        <v>3.0909</v>
      </c>
      <c r="AA152" s="221">
        <v>0.2829</v>
      </c>
      <c r="AB152" s="221">
        <v>-1.0</v>
      </c>
    </row>
    <row r="153">
      <c r="A153" s="14">
        <v>685.0</v>
      </c>
      <c r="B153" s="14">
        <v>443195.0</v>
      </c>
      <c r="C153" s="14">
        <v>601000.0</v>
      </c>
      <c r="D153" s="14">
        <v>1044195.0</v>
      </c>
      <c r="E153" s="221">
        <v>1.4799</v>
      </c>
      <c r="F153" s="221">
        <v>1.651</v>
      </c>
      <c r="G153" s="14">
        <v>98000.0</v>
      </c>
      <c r="H153" s="14">
        <v>10000.0</v>
      </c>
      <c r="I153" s="14">
        <v>70000.0</v>
      </c>
      <c r="J153" s="14">
        <v>160000.0</v>
      </c>
      <c r="K153" s="14">
        <v>40000.0</v>
      </c>
      <c r="L153" s="14">
        <v>60000.0</v>
      </c>
      <c r="M153" s="14">
        <v>75000.0</v>
      </c>
      <c r="N153" s="14">
        <v>37000.0</v>
      </c>
      <c r="O153" s="14">
        <v>37000.0</v>
      </c>
      <c r="P153" s="14">
        <v>14000.0</v>
      </c>
      <c r="Q153" s="14">
        <v>0.0</v>
      </c>
      <c r="R153" s="221">
        <v>1.4561</v>
      </c>
      <c r="S153" s="221">
        <v>1.4219</v>
      </c>
      <c r="T153" s="221">
        <v>1.7027</v>
      </c>
      <c r="U153" s="221">
        <v>2.0769</v>
      </c>
      <c r="V153" s="221">
        <v>1.7778</v>
      </c>
      <c r="W153" s="221">
        <v>2.1915</v>
      </c>
      <c r="X153" s="221">
        <v>2.3333</v>
      </c>
      <c r="Y153" s="221">
        <v>3.0659</v>
      </c>
      <c r="Z153" s="221">
        <v>3.2045</v>
      </c>
      <c r="AA153" s="221">
        <v>0.2829</v>
      </c>
      <c r="AB153" s="221">
        <v>-1.0</v>
      </c>
    </row>
    <row r="154">
      <c r="A154" s="14">
        <v>690.0</v>
      </c>
      <c r="B154" s="14">
        <v>446430.0</v>
      </c>
      <c r="C154" s="14">
        <v>603000.0</v>
      </c>
      <c r="D154" s="14">
        <v>1049430.0</v>
      </c>
      <c r="E154" s="221">
        <v>1.498</v>
      </c>
      <c r="F154" s="221">
        <v>1.6598</v>
      </c>
      <c r="G154" s="14">
        <v>98000.0</v>
      </c>
      <c r="H154" s="14">
        <v>10000.0</v>
      </c>
      <c r="I154" s="14">
        <v>70000.0</v>
      </c>
      <c r="J154" s="14">
        <v>160000.0</v>
      </c>
      <c r="K154" s="14">
        <v>40000.0</v>
      </c>
      <c r="L154" s="14">
        <v>60000.0</v>
      </c>
      <c r="M154" s="14">
        <v>75000.0</v>
      </c>
      <c r="N154" s="14">
        <v>38000.0</v>
      </c>
      <c r="O154" s="14">
        <v>38000.0</v>
      </c>
      <c r="P154" s="14">
        <v>14000.0</v>
      </c>
      <c r="Q154" s="14">
        <v>0.0</v>
      </c>
      <c r="R154" s="221">
        <v>1.4561</v>
      </c>
      <c r="S154" s="221">
        <v>1.4219</v>
      </c>
      <c r="T154" s="221">
        <v>1.7027</v>
      </c>
      <c r="U154" s="221">
        <v>2.0769</v>
      </c>
      <c r="V154" s="221">
        <v>1.7778</v>
      </c>
      <c r="W154" s="221">
        <v>2.1915</v>
      </c>
      <c r="X154" s="221">
        <v>2.3333</v>
      </c>
      <c r="Y154" s="221">
        <v>3.1758</v>
      </c>
      <c r="Z154" s="221">
        <v>3.3182</v>
      </c>
      <c r="AA154" s="221">
        <v>0.2829</v>
      </c>
      <c r="AB154" s="221">
        <v>-1.0</v>
      </c>
    </row>
    <row r="155">
      <c r="A155" s="14">
        <v>695.0</v>
      </c>
      <c r="B155" s="14">
        <v>449665.0</v>
      </c>
      <c r="C155" s="14">
        <v>605000.0</v>
      </c>
      <c r="D155" s="14">
        <v>1054665.0</v>
      </c>
      <c r="E155" s="221">
        <v>1.5161</v>
      </c>
      <c r="F155" s="221">
        <v>1.6686</v>
      </c>
      <c r="G155" s="14">
        <v>98000.0</v>
      </c>
      <c r="H155" s="14">
        <v>10000.0</v>
      </c>
      <c r="I155" s="14">
        <v>70000.0</v>
      </c>
      <c r="J155" s="14">
        <v>160000.0</v>
      </c>
      <c r="K155" s="14">
        <v>40000.0</v>
      </c>
      <c r="L155" s="14">
        <v>60000.0</v>
      </c>
      <c r="M155" s="14">
        <v>75000.0</v>
      </c>
      <c r="N155" s="14">
        <v>39000.0</v>
      </c>
      <c r="O155" s="14">
        <v>39000.0</v>
      </c>
      <c r="P155" s="14">
        <v>14000.0</v>
      </c>
      <c r="Q155" s="14">
        <v>0.0</v>
      </c>
      <c r="R155" s="221">
        <v>1.4561</v>
      </c>
      <c r="S155" s="221">
        <v>1.4219</v>
      </c>
      <c r="T155" s="221">
        <v>1.7027</v>
      </c>
      <c r="U155" s="221">
        <v>2.0769</v>
      </c>
      <c r="V155" s="221">
        <v>1.7778</v>
      </c>
      <c r="W155" s="221">
        <v>2.1915</v>
      </c>
      <c r="X155" s="221">
        <v>2.3333</v>
      </c>
      <c r="Y155" s="221">
        <v>3.2857</v>
      </c>
      <c r="Z155" s="221">
        <v>3.4318</v>
      </c>
      <c r="AA155" s="221">
        <v>0.2829</v>
      </c>
      <c r="AB155" s="221">
        <v>-1.0</v>
      </c>
    </row>
    <row r="156">
      <c r="A156" s="14">
        <v>700.0</v>
      </c>
      <c r="B156" s="14">
        <v>452900.0</v>
      </c>
      <c r="C156" s="14">
        <v>607000.0</v>
      </c>
      <c r="D156" s="14">
        <v>1059900.0</v>
      </c>
      <c r="E156" s="221">
        <v>1.5342</v>
      </c>
      <c r="F156" s="221">
        <v>1.6774</v>
      </c>
      <c r="G156" s="14">
        <v>98000.0</v>
      </c>
      <c r="H156" s="14">
        <v>10000.0</v>
      </c>
      <c r="I156" s="14">
        <v>70000.0</v>
      </c>
      <c r="J156" s="14">
        <v>160000.0</v>
      </c>
      <c r="K156" s="14">
        <v>40000.0</v>
      </c>
      <c r="L156" s="14">
        <v>60000.0</v>
      </c>
      <c r="M156" s="14">
        <v>75000.0</v>
      </c>
      <c r="N156" s="14">
        <v>40000.0</v>
      </c>
      <c r="O156" s="14">
        <v>40000.0</v>
      </c>
      <c r="P156" s="14">
        <v>14000.0</v>
      </c>
      <c r="Q156" s="14">
        <v>0.0</v>
      </c>
      <c r="R156" s="221">
        <v>1.4561</v>
      </c>
      <c r="S156" s="221">
        <v>1.4219</v>
      </c>
      <c r="T156" s="221">
        <v>1.7027</v>
      </c>
      <c r="U156" s="221">
        <v>2.0769</v>
      </c>
      <c r="V156" s="221">
        <v>1.7778</v>
      </c>
      <c r="W156" s="221">
        <v>2.1915</v>
      </c>
      <c r="X156" s="221">
        <v>2.3333</v>
      </c>
      <c r="Y156" s="221">
        <v>3.3956</v>
      </c>
      <c r="Z156" s="221">
        <v>3.5455</v>
      </c>
      <c r="AA156" s="221">
        <v>0.2829</v>
      </c>
      <c r="AB156" s="221">
        <v>-1.0</v>
      </c>
    </row>
    <row r="157">
      <c r="A157" s="14">
        <v>705.0</v>
      </c>
      <c r="B157" s="14">
        <v>456135.0</v>
      </c>
      <c r="C157" s="14">
        <v>607000.0</v>
      </c>
      <c r="D157" s="14">
        <v>1063135.0</v>
      </c>
      <c r="E157" s="221">
        <v>1.5523</v>
      </c>
      <c r="F157" s="221">
        <v>1.6774</v>
      </c>
      <c r="G157" s="14">
        <v>98000.0</v>
      </c>
      <c r="H157" s="14">
        <v>10000.0</v>
      </c>
      <c r="I157" s="14">
        <v>70000.0</v>
      </c>
      <c r="J157" s="14">
        <v>160000.0</v>
      </c>
      <c r="K157" s="14">
        <v>40000.0</v>
      </c>
      <c r="L157" s="14">
        <v>60000.0</v>
      </c>
      <c r="M157" s="14">
        <v>75000.0</v>
      </c>
      <c r="N157" s="14">
        <v>40000.0</v>
      </c>
      <c r="O157" s="14">
        <v>40000.0</v>
      </c>
      <c r="P157" s="14">
        <v>14000.0</v>
      </c>
      <c r="Q157" s="14">
        <v>0.0</v>
      </c>
      <c r="R157" s="221">
        <v>1.4561</v>
      </c>
      <c r="S157" s="221">
        <v>1.4219</v>
      </c>
      <c r="T157" s="221">
        <v>1.7027</v>
      </c>
      <c r="U157" s="221">
        <v>2.0769</v>
      </c>
      <c r="V157" s="221">
        <v>1.7778</v>
      </c>
      <c r="W157" s="221">
        <v>2.1915</v>
      </c>
      <c r="X157" s="221">
        <v>2.3333</v>
      </c>
      <c r="Y157" s="221">
        <v>3.3956</v>
      </c>
      <c r="Z157" s="221">
        <v>3.5455</v>
      </c>
      <c r="AA157" s="221">
        <v>0.2829</v>
      </c>
      <c r="AB157" s="221">
        <v>-1.0</v>
      </c>
    </row>
    <row r="158">
      <c r="A158" s="14">
        <v>710.0</v>
      </c>
      <c r="B158" s="14">
        <v>459370.0</v>
      </c>
      <c r="C158" s="14">
        <v>607000.0</v>
      </c>
      <c r="D158" s="14">
        <v>1066370.0</v>
      </c>
      <c r="E158" s="221">
        <v>1.5704</v>
      </c>
      <c r="F158" s="221">
        <v>1.6774</v>
      </c>
      <c r="G158" s="14">
        <v>98000.0</v>
      </c>
      <c r="H158" s="14">
        <v>10000.0</v>
      </c>
      <c r="I158" s="14">
        <v>70000.0</v>
      </c>
      <c r="J158" s="14">
        <v>160000.0</v>
      </c>
      <c r="K158" s="14">
        <v>40000.0</v>
      </c>
      <c r="L158" s="14">
        <v>60000.0</v>
      </c>
      <c r="M158" s="14">
        <v>75000.0</v>
      </c>
      <c r="N158" s="14">
        <v>40000.0</v>
      </c>
      <c r="O158" s="14">
        <v>40000.0</v>
      </c>
      <c r="P158" s="14">
        <v>14000.0</v>
      </c>
      <c r="Q158" s="14">
        <v>0.0</v>
      </c>
      <c r="R158" s="221">
        <v>1.4561</v>
      </c>
      <c r="S158" s="221">
        <v>1.4219</v>
      </c>
      <c r="T158" s="221">
        <v>1.7027</v>
      </c>
      <c r="U158" s="221">
        <v>2.0769</v>
      </c>
      <c r="V158" s="221">
        <v>1.7778</v>
      </c>
      <c r="W158" s="221">
        <v>2.1915</v>
      </c>
      <c r="X158" s="221">
        <v>2.3333</v>
      </c>
      <c r="Y158" s="221">
        <v>3.3956</v>
      </c>
      <c r="Z158" s="221">
        <v>3.5455</v>
      </c>
      <c r="AA158" s="221">
        <v>0.2829</v>
      </c>
      <c r="AB158" s="221">
        <v>-1.0</v>
      </c>
    </row>
    <row r="159">
      <c r="A159" s="14">
        <v>715.0</v>
      </c>
      <c r="B159" s="14">
        <v>462605.0</v>
      </c>
      <c r="C159" s="14">
        <v>607000.0</v>
      </c>
      <c r="D159" s="14">
        <v>1069605.0</v>
      </c>
      <c r="E159" s="221">
        <v>1.5885</v>
      </c>
      <c r="F159" s="221">
        <v>1.6774</v>
      </c>
      <c r="G159" s="14">
        <v>98000.0</v>
      </c>
      <c r="H159" s="14">
        <v>10000.0</v>
      </c>
      <c r="I159" s="14">
        <v>70000.0</v>
      </c>
      <c r="J159" s="14">
        <v>160000.0</v>
      </c>
      <c r="K159" s="14">
        <v>40000.0</v>
      </c>
      <c r="L159" s="14">
        <v>60000.0</v>
      </c>
      <c r="M159" s="14">
        <v>75000.0</v>
      </c>
      <c r="N159" s="14">
        <v>40000.0</v>
      </c>
      <c r="O159" s="14">
        <v>40000.0</v>
      </c>
      <c r="P159" s="14">
        <v>14000.0</v>
      </c>
      <c r="Q159" s="14">
        <v>0.0</v>
      </c>
      <c r="R159" s="221">
        <v>1.4561</v>
      </c>
      <c r="S159" s="221">
        <v>1.4219</v>
      </c>
      <c r="T159" s="221">
        <v>1.7027</v>
      </c>
      <c r="U159" s="221">
        <v>2.0769</v>
      </c>
      <c r="V159" s="221">
        <v>1.7778</v>
      </c>
      <c r="W159" s="221">
        <v>2.1915</v>
      </c>
      <c r="X159" s="221">
        <v>2.3333</v>
      </c>
      <c r="Y159" s="221">
        <v>3.3956</v>
      </c>
      <c r="Z159" s="221">
        <v>3.5455</v>
      </c>
      <c r="AA159" s="221">
        <v>0.2829</v>
      </c>
      <c r="AB159" s="221">
        <v>-1.0</v>
      </c>
    </row>
    <row r="160">
      <c r="A160" s="14">
        <v>720.0</v>
      </c>
      <c r="B160" s="14">
        <v>465840.0</v>
      </c>
      <c r="C160" s="14">
        <v>607000.0</v>
      </c>
      <c r="D160" s="14">
        <v>1072840.0</v>
      </c>
      <c r="E160" s="221">
        <v>1.6066</v>
      </c>
      <c r="F160" s="221">
        <v>1.6774</v>
      </c>
      <c r="G160" s="14">
        <v>98000.0</v>
      </c>
      <c r="H160" s="14">
        <v>10000.0</v>
      </c>
      <c r="I160" s="14">
        <v>70000.0</v>
      </c>
      <c r="J160" s="14">
        <v>160000.0</v>
      </c>
      <c r="K160" s="14">
        <v>40000.0</v>
      </c>
      <c r="L160" s="14">
        <v>60000.0</v>
      </c>
      <c r="M160" s="14">
        <v>75000.0</v>
      </c>
      <c r="N160" s="14">
        <v>40000.0</v>
      </c>
      <c r="O160" s="14">
        <v>40000.0</v>
      </c>
      <c r="P160" s="14">
        <v>14000.0</v>
      </c>
      <c r="Q160" s="14">
        <v>0.0</v>
      </c>
      <c r="R160" s="221">
        <v>1.4561</v>
      </c>
      <c r="S160" s="221">
        <v>1.4219</v>
      </c>
      <c r="T160" s="221">
        <v>1.7027</v>
      </c>
      <c r="U160" s="221">
        <v>2.0769</v>
      </c>
      <c r="V160" s="221">
        <v>1.7778</v>
      </c>
      <c r="W160" s="221">
        <v>2.1915</v>
      </c>
      <c r="X160" s="221">
        <v>2.3333</v>
      </c>
      <c r="Y160" s="221">
        <v>3.3956</v>
      </c>
      <c r="Z160" s="221">
        <v>3.5455</v>
      </c>
      <c r="AA160" s="221">
        <v>0.2829</v>
      </c>
      <c r="AB160" s="221">
        <v>-1.0</v>
      </c>
    </row>
    <row r="161">
      <c r="A161" s="14">
        <v>725.0</v>
      </c>
      <c r="B161" s="14">
        <v>469075.0</v>
      </c>
      <c r="C161" s="14">
        <v>607000.0</v>
      </c>
      <c r="D161" s="14">
        <v>1076075.0</v>
      </c>
      <c r="E161" s="221">
        <v>1.6247</v>
      </c>
      <c r="F161" s="221">
        <v>1.6774</v>
      </c>
      <c r="G161" s="14">
        <v>98000.0</v>
      </c>
      <c r="H161" s="14">
        <v>10000.0</v>
      </c>
      <c r="I161" s="14">
        <v>70000.0</v>
      </c>
      <c r="J161" s="14">
        <v>160000.0</v>
      </c>
      <c r="K161" s="14">
        <v>40000.0</v>
      </c>
      <c r="L161" s="14">
        <v>60000.0</v>
      </c>
      <c r="M161" s="14">
        <v>75000.0</v>
      </c>
      <c r="N161" s="14">
        <v>40000.0</v>
      </c>
      <c r="O161" s="14">
        <v>40000.0</v>
      </c>
      <c r="P161" s="14">
        <v>14000.0</v>
      </c>
      <c r="Q161" s="14">
        <v>0.0</v>
      </c>
      <c r="R161" s="221">
        <v>1.4561</v>
      </c>
      <c r="S161" s="221">
        <v>1.4219</v>
      </c>
      <c r="T161" s="221">
        <v>1.7027</v>
      </c>
      <c r="U161" s="221">
        <v>2.0769</v>
      </c>
      <c r="V161" s="221">
        <v>1.7778</v>
      </c>
      <c r="W161" s="221">
        <v>2.1915</v>
      </c>
      <c r="X161" s="221">
        <v>2.3333</v>
      </c>
      <c r="Y161" s="221">
        <v>3.3956</v>
      </c>
      <c r="Z161" s="221">
        <v>3.5455</v>
      </c>
      <c r="AA161" s="221">
        <v>0.2829</v>
      </c>
      <c r="AB161" s="221">
        <v>-1.0</v>
      </c>
    </row>
    <row r="162">
      <c r="A162" s="14">
        <v>730.0</v>
      </c>
      <c r="B162" s="14">
        <v>472310.0</v>
      </c>
      <c r="C162" s="14">
        <v>607000.0</v>
      </c>
      <c r="D162" s="14">
        <v>1079310.0</v>
      </c>
      <c r="E162" s="221">
        <v>1.6428</v>
      </c>
      <c r="F162" s="221">
        <v>1.6774</v>
      </c>
      <c r="G162" s="14">
        <v>98000.0</v>
      </c>
      <c r="H162" s="14">
        <v>10000.0</v>
      </c>
      <c r="I162" s="14">
        <v>70000.0</v>
      </c>
      <c r="J162" s="14">
        <v>160000.0</v>
      </c>
      <c r="K162" s="14">
        <v>40000.0</v>
      </c>
      <c r="L162" s="14">
        <v>60000.0</v>
      </c>
      <c r="M162" s="14">
        <v>75000.0</v>
      </c>
      <c r="N162" s="14">
        <v>40000.0</v>
      </c>
      <c r="O162" s="14">
        <v>40000.0</v>
      </c>
      <c r="P162" s="14">
        <v>14000.0</v>
      </c>
      <c r="Q162" s="14">
        <v>0.0</v>
      </c>
      <c r="R162" s="221">
        <v>1.4561</v>
      </c>
      <c r="S162" s="221">
        <v>1.4219</v>
      </c>
      <c r="T162" s="221">
        <v>1.7027</v>
      </c>
      <c r="U162" s="221">
        <v>2.0769</v>
      </c>
      <c r="V162" s="221">
        <v>1.7778</v>
      </c>
      <c r="W162" s="221">
        <v>2.1915</v>
      </c>
      <c r="X162" s="221">
        <v>2.3333</v>
      </c>
      <c r="Y162" s="221">
        <v>3.3956</v>
      </c>
      <c r="Z162" s="221">
        <v>3.5455</v>
      </c>
      <c r="AA162" s="221">
        <v>0.2829</v>
      </c>
      <c r="AB162" s="221">
        <v>-1.0</v>
      </c>
    </row>
    <row r="163">
      <c r="A163" s="14">
        <v>735.0</v>
      </c>
      <c r="B163" s="14">
        <v>475545.0</v>
      </c>
      <c r="C163" s="14">
        <v>607000.0</v>
      </c>
      <c r="D163" s="14">
        <v>1082545.0</v>
      </c>
      <c r="E163" s="221">
        <v>1.6609</v>
      </c>
      <c r="F163" s="221">
        <v>1.6774</v>
      </c>
      <c r="G163" s="14">
        <v>98000.0</v>
      </c>
      <c r="H163" s="14">
        <v>10000.0</v>
      </c>
      <c r="I163" s="14">
        <v>70000.0</v>
      </c>
      <c r="J163" s="14">
        <v>160000.0</v>
      </c>
      <c r="K163" s="14">
        <v>40000.0</v>
      </c>
      <c r="L163" s="14">
        <v>60000.0</v>
      </c>
      <c r="M163" s="14">
        <v>75000.0</v>
      </c>
      <c r="N163" s="14">
        <v>40000.0</v>
      </c>
      <c r="O163" s="14">
        <v>40000.0</v>
      </c>
      <c r="P163" s="14">
        <v>14000.0</v>
      </c>
      <c r="Q163" s="14">
        <v>0.0</v>
      </c>
      <c r="R163" s="221">
        <v>1.4561</v>
      </c>
      <c r="S163" s="221">
        <v>1.4219</v>
      </c>
      <c r="T163" s="221">
        <v>1.7027</v>
      </c>
      <c r="U163" s="221">
        <v>2.0769</v>
      </c>
      <c r="V163" s="221">
        <v>1.7778</v>
      </c>
      <c r="W163" s="221">
        <v>2.1915</v>
      </c>
      <c r="X163" s="221">
        <v>2.3333</v>
      </c>
      <c r="Y163" s="221">
        <v>3.3956</v>
      </c>
      <c r="Z163" s="221">
        <v>3.5455</v>
      </c>
      <c r="AA163" s="221">
        <v>0.2829</v>
      </c>
      <c r="AB163" s="221">
        <v>-1.0</v>
      </c>
    </row>
    <row r="164">
      <c r="A164" s="14">
        <v>740.0</v>
      </c>
      <c r="B164" s="14">
        <v>478780.0</v>
      </c>
      <c r="C164" s="14">
        <v>607000.0</v>
      </c>
      <c r="D164" s="14">
        <v>1085780.0</v>
      </c>
      <c r="E164" s="221">
        <v>1.679</v>
      </c>
      <c r="F164" s="221">
        <v>1.6774</v>
      </c>
      <c r="G164" s="14">
        <v>98000.0</v>
      </c>
      <c r="H164" s="14">
        <v>10000.0</v>
      </c>
      <c r="I164" s="14">
        <v>70000.0</v>
      </c>
      <c r="J164" s="14">
        <v>160000.0</v>
      </c>
      <c r="K164" s="14">
        <v>40000.0</v>
      </c>
      <c r="L164" s="14">
        <v>60000.0</v>
      </c>
      <c r="M164" s="14">
        <v>75000.0</v>
      </c>
      <c r="N164" s="14">
        <v>40000.0</v>
      </c>
      <c r="O164" s="14">
        <v>40000.0</v>
      </c>
      <c r="P164" s="14">
        <v>14000.0</v>
      </c>
      <c r="Q164" s="14">
        <v>0.0</v>
      </c>
      <c r="R164" s="221">
        <v>1.4561</v>
      </c>
      <c r="S164" s="221">
        <v>1.4219</v>
      </c>
      <c r="T164" s="221">
        <v>1.7027</v>
      </c>
      <c r="U164" s="221">
        <v>2.0769</v>
      </c>
      <c r="V164" s="221">
        <v>1.7778</v>
      </c>
      <c r="W164" s="221">
        <v>2.1915</v>
      </c>
      <c r="X164" s="221">
        <v>2.3333</v>
      </c>
      <c r="Y164" s="221">
        <v>3.3956</v>
      </c>
      <c r="Z164" s="221">
        <v>3.5455</v>
      </c>
      <c r="AA164" s="221">
        <v>0.2829</v>
      </c>
      <c r="AB164" s="221">
        <v>-1.0</v>
      </c>
    </row>
    <row r="165">
      <c r="A165" s="14">
        <v>745.0</v>
      </c>
      <c r="B165" s="14">
        <v>482015.0</v>
      </c>
      <c r="C165" s="14">
        <v>607000.0</v>
      </c>
      <c r="D165" s="14">
        <v>1089015.0</v>
      </c>
      <c r="E165" s="221">
        <v>1.6972</v>
      </c>
      <c r="F165" s="221">
        <v>1.6774</v>
      </c>
      <c r="G165" s="14">
        <v>98000.0</v>
      </c>
      <c r="H165" s="14">
        <v>10000.0</v>
      </c>
      <c r="I165" s="14">
        <v>70000.0</v>
      </c>
      <c r="J165" s="14">
        <v>160000.0</v>
      </c>
      <c r="K165" s="14">
        <v>40000.0</v>
      </c>
      <c r="L165" s="14">
        <v>60000.0</v>
      </c>
      <c r="M165" s="14">
        <v>75000.0</v>
      </c>
      <c r="N165" s="14">
        <v>40000.0</v>
      </c>
      <c r="O165" s="14">
        <v>40000.0</v>
      </c>
      <c r="P165" s="14">
        <v>14000.0</v>
      </c>
      <c r="Q165" s="14">
        <v>0.0</v>
      </c>
      <c r="R165" s="221">
        <v>1.4561</v>
      </c>
      <c r="S165" s="221">
        <v>1.4219</v>
      </c>
      <c r="T165" s="221">
        <v>1.7027</v>
      </c>
      <c r="U165" s="221">
        <v>2.0769</v>
      </c>
      <c r="V165" s="221">
        <v>1.7778</v>
      </c>
      <c r="W165" s="221">
        <v>2.1915</v>
      </c>
      <c r="X165" s="221">
        <v>2.3333</v>
      </c>
      <c r="Y165" s="221">
        <v>3.3956</v>
      </c>
      <c r="Z165" s="221">
        <v>3.5455</v>
      </c>
      <c r="AA165" s="221">
        <v>0.2829</v>
      </c>
      <c r="AB165" s="221">
        <v>-1.0</v>
      </c>
    </row>
    <row r="166">
      <c r="A166" s="14">
        <v>750.0</v>
      </c>
      <c r="B166" s="14">
        <v>485250.0</v>
      </c>
      <c r="C166" s="14">
        <v>607000.0</v>
      </c>
      <c r="D166" s="14">
        <v>1092250.0</v>
      </c>
      <c r="E166" s="221">
        <v>1.7153</v>
      </c>
      <c r="F166" s="221">
        <v>1.6774</v>
      </c>
      <c r="G166" s="14">
        <v>98000.0</v>
      </c>
      <c r="H166" s="14">
        <v>10000.0</v>
      </c>
      <c r="I166" s="14">
        <v>70000.0</v>
      </c>
      <c r="J166" s="14">
        <v>160000.0</v>
      </c>
      <c r="K166" s="14">
        <v>40000.0</v>
      </c>
      <c r="L166" s="14">
        <v>60000.0</v>
      </c>
      <c r="M166" s="14">
        <v>75000.0</v>
      </c>
      <c r="N166" s="14">
        <v>40000.0</v>
      </c>
      <c r="O166" s="14">
        <v>40000.0</v>
      </c>
      <c r="P166" s="14">
        <v>14000.0</v>
      </c>
      <c r="Q166" s="14">
        <v>0.0</v>
      </c>
      <c r="R166" s="221">
        <v>1.4561</v>
      </c>
      <c r="S166" s="221">
        <v>1.4219</v>
      </c>
      <c r="T166" s="221">
        <v>1.7027</v>
      </c>
      <c r="U166" s="221">
        <v>2.0769</v>
      </c>
      <c r="V166" s="221">
        <v>1.7778</v>
      </c>
      <c r="W166" s="221">
        <v>2.1915</v>
      </c>
      <c r="X166" s="221">
        <v>2.3333</v>
      </c>
      <c r="Y166" s="221">
        <v>3.3956</v>
      </c>
      <c r="Z166" s="221">
        <v>3.5455</v>
      </c>
      <c r="AA166" s="221">
        <v>0.2829</v>
      </c>
      <c r="AB166" s="221">
        <v>-1.0</v>
      </c>
    </row>
    <row r="167">
      <c r="A167" s="14">
        <v>755.0</v>
      </c>
      <c r="B167" s="14">
        <v>488485.0</v>
      </c>
      <c r="C167" s="14">
        <v>607000.0</v>
      </c>
      <c r="D167" s="14">
        <v>1095485.0</v>
      </c>
      <c r="E167" s="221">
        <v>1.7334</v>
      </c>
      <c r="F167" s="221">
        <v>1.6774</v>
      </c>
      <c r="G167" s="14">
        <v>98000.0</v>
      </c>
      <c r="H167" s="14">
        <v>10000.0</v>
      </c>
      <c r="I167" s="14">
        <v>70000.0</v>
      </c>
      <c r="J167" s="14">
        <v>160000.0</v>
      </c>
      <c r="K167" s="14">
        <v>40000.0</v>
      </c>
      <c r="L167" s="14">
        <v>60000.0</v>
      </c>
      <c r="M167" s="14">
        <v>75000.0</v>
      </c>
      <c r="N167" s="14">
        <v>40000.0</v>
      </c>
      <c r="O167" s="14">
        <v>40000.0</v>
      </c>
      <c r="P167" s="14">
        <v>14000.0</v>
      </c>
      <c r="Q167" s="14">
        <v>0.0</v>
      </c>
      <c r="R167" s="221">
        <v>1.4561</v>
      </c>
      <c r="S167" s="221">
        <v>1.4219</v>
      </c>
      <c r="T167" s="221">
        <v>1.7027</v>
      </c>
      <c r="U167" s="221">
        <v>2.0769</v>
      </c>
      <c r="V167" s="221">
        <v>1.7778</v>
      </c>
      <c r="W167" s="221">
        <v>2.1915</v>
      </c>
      <c r="X167" s="221">
        <v>2.3333</v>
      </c>
      <c r="Y167" s="221">
        <v>3.3956</v>
      </c>
      <c r="Z167" s="221">
        <v>3.5455</v>
      </c>
      <c r="AA167" s="221">
        <v>0.2829</v>
      </c>
      <c r="AB167" s="221">
        <v>-1.0</v>
      </c>
    </row>
    <row r="168">
      <c r="A168" s="14">
        <v>760.0</v>
      </c>
      <c r="B168" s="14">
        <v>491720.0</v>
      </c>
      <c r="C168" s="14">
        <v>607000.0</v>
      </c>
      <c r="D168" s="14">
        <v>1098720.0</v>
      </c>
      <c r="E168" s="221">
        <v>1.7515</v>
      </c>
      <c r="F168" s="221">
        <v>1.6774</v>
      </c>
      <c r="G168" s="14">
        <v>98000.0</v>
      </c>
      <c r="H168" s="14">
        <v>10000.0</v>
      </c>
      <c r="I168" s="14">
        <v>70000.0</v>
      </c>
      <c r="J168" s="14">
        <v>160000.0</v>
      </c>
      <c r="K168" s="14">
        <v>40000.0</v>
      </c>
      <c r="L168" s="14">
        <v>60000.0</v>
      </c>
      <c r="M168" s="14">
        <v>75000.0</v>
      </c>
      <c r="N168" s="14">
        <v>40000.0</v>
      </c>
      <c r="O168" s="14">
        <v>40000.0</v>
      </c>
      <c r="P168" s="14">
        <v>14000.0</v>
      </c>
      <c r="Q168" s="14">
        <v>0.0</v>
      </c>
      <c r="R168" s="221">
        <v>1.4561</v>
      </c>
      <c r="S168" s="221">
        <v>1.4219</v>
      </c>
      <c r="T168" s="221">
        <v>1.7027</v>
      </c>
      <c r="U168" s="221">
        <v>2.0769</v>
      </c>
      <c r="V168" s="221">
        <v>1.7778</v>
      </c>
      <c r="W168" s="221">
        <v>2.1915</v>
      </c>
      <c r="X168" s="221">
        <v>2.3333</v>
      </c>
      <c r="Y168" s="221">
        <v>3.3956</v>
      </c>
      <c r="Z168" s="221">
        <v>3.5455</v>
      </c>
      <c r="AA168" s="221">
        <v>0.2829</v>
      </c>
      <c r="AB168" s="221">
        <v>-1.0</v>
      </c>
    </row>
    <row r="169">
      <c r="A169" s="14">
        <v>765.0</v>
      </c>
      <c r="B169" s="14">
        <v>494955.0</v>
      </c>
      <c r="C169" s="14">
        <v>607000.0</v>
      </c>
      <c r="D169" s="14">
        <v>1101955.0</v>
      </c>
      <c r="E169" s="221">
        <v>1.7696</v>
      </c>
      <c r="F169" s="221">
        <v>1.6774</v>
      </c>
      <c r="G169" s="14">
        <v>98000.0</v>
      </c>
      <c r="H169" s="14">
        <v>10000.0</v>
      </c>
      <c r="I169" s="14">
        <v>70000.0</v>
      </c>
      <c r="J169" s="14">
        <v>160000.0</v>
      </c>
      <c r="K169" s="14">
        <v>40000.0</v>
      </c>
      <c r="L169" s="14">
        <v>60000.0</v>
      </c>
      <c r="M169" s="14">
        <v>75000.0</v>
      </c>
      <c r="N169" s="14">
        <v>40000.0</v>
      </c>
      <c r="O169" s="14">
        <v>40000.0</v>
      </c>
      <c r="P169" s="14">
        <v>14000.0</v>
      </c>
      <c r="Q169" s="14">
        <v>0.0</v>
      </c>
      <c r="R169" s="221">
        <v>1.4561</v>
      </c>
      <c r="S169" s="221">
        <v>1.4219</v>
      </c>
      <c r="T169" s="221">
        <v>1.7027</v>
      </c>
      <c r="U169" s="221">
        <v>2.0769</v>
      </c>
      <c r="V169" s="221">
        <v>1.7778</v>
      </c>
      <c r="W169" s="221">
        <v>2.1915</v>
      </c>
      <c r="X169" s="221">
        <v>2.3333</v>
      </c>
      <c r="Y169" s="221">
        <v>3.3956</v>
      </c>
      <c r="Z169" s="221">
        <v>3.5455</v>
      </c>
      <c r="AA169" s="221">
        <v>0.2829</v>
      </c>
      <c r="AB169" s="221">
        <v>-1.0</v>
      </c>
    </row>
    <row r="170">
      <c r="A170" s="14">
        <v>770.0</v>
      </c>
      <c r="B170" s="14">
        <v>498190.0</v>
      </c>
      <c r="C170" s="14">
        <v>607000.0</v>
      </c>
      <c r="D170" s="14">
        <v>1105190.0</v>
      </c>
      <c r="E170" s="221">
        <v>1.7877</v>
      </c>
      <c r="F170" s="221">
        <v>1.6774</v>
      </c>
      <c r="G170" s="14">
        <v>98000.0</v>
      </c>
      <c r="H170" s="14">
        <v>10000.0</v>
      </c>
      <c r="I170" s="14">
        <v>70000.0</v>
      </c>
      <c r="J170" s="14">
        <v>160000.0</v>
      </c>
      <c r="K170" s="14">
        <v>40000.0</v>
      </c>
      <c r="L170" s="14">
        <v>60000.0</v>
      </c>
      <c r="M170" s="14">
        <v>75000.0</v>
      </c>
      <c r="N170" s="14">
        <v>40000.0</v>
      </c>
      <c r="O170" s="14">
        <v>40000.0</v>
      </c>
      <c r="P170" s="14">
        <v>14000.0</v>
      </c>
      <c r="Q170" s="14">
        <v>0.0</v>
      </c>
      <c r="R170" s="221">
        <v>1.4561</v>
      </c>
      <c r="S170" s="221">
        <v>1.4219</v>
      </c>
      <c r="T170" s="221">
        <v>1.7027</v>
      </c>
      <c r="U170" s="221">
        <v>2.0769</v>
      </c>
      <c r="V170" s="221">
        <v>1.7778</v>
      </c>
      <c r="W170" s="221">
        <v>2.1915</v>
      </c>
      <c r="X170" s="221">
        <v>2.3333</v>
      </c>
      <c r="Y170" s="221">
        <v>3.3956</v>
      </c>
      <c r="Z170" s="221">
        <v>3.5455</v>
      </c>
      <c r="AA170" s="221">
        <v>0.2829</v>
      </c>
      <c r="AB170" s="221">
        <v>-1.0</v>
      </c>
    </row>
    <row r="171">
      <c r="A171" s="14">
        <v>775.0</v>
      </c>
      <c r="B171" s="14">
        <v>501425.0</v>
      </c>
      <c r="C171" s="14">
        <v>607000.0</v>
      </c>
      <c r="D171" s="14">
        <v>1108425.0</v>
      </c>
      <c r="E171" s="221">
        <v>1.8058</v>
      </c>
      <c r="F171" s="221">
        <v>1.6774</v>
      </c>
      <c r="G171" s="14">
        <v>98000.0</v>
      </c>
      <c r="H171" s="14">
        <v>10000.0</v>
      </c>
      <c r="I171" s="14">
        <v>70000.0</v>
      </c>
      <c r="J171" s="14">
        <v>160000.0</v>
      </c>
      <c r="K171" s="14">
        <v>40000.0</v>
      </c>
      <c r="L171" s="14">
        <v>60000.0</v>
      </c>
      <c r="M171" s="14">
        <v>75000.0</v>
      </c>
      <c r="N171" s="14">
        <v>40000.0</v>
      </c>
      <c r="O171" s="14">
        <v>40000.0</v>
      </c>
      <c r="P171" s="14">
        <v>14000.0</v>
      </c>
      <c r="Q171" s="14">
        <v>0.0</v>
      </c>
      <c r="R171" s="221">
        <v>1.4561</v>
      </c>
      <c r="S171" s="221">
        <v>1.4219</v>
      </c>
      <c r="T171" s="221">
        <v>1.7027</v>
      </c>
      <c r="U171" s="221">
        <v>2.0769</v>
      </c>
      <c r="V171" s="221">
        <v>1.7778</v>
      </c>
      <c r="W171" s="221">
        <v>2.1915</v>
      </c>
      <c r="X171" s="221">
        <v>2.3333</v>
      </c>
      <c r="Y171" s="221">
        <v>3.3956</v>
      </c>
      <c r="Z171" s="221">
        <v>3.5455</v>
      </c>
      <c r="AA171" s="221">
        <v>0.2829</v>
      </c>
      <c r="AB171" s="221">
        <v>-1.0</v>
      </c>
    </row>
    <row r="172">
      <c r="A172" s="14">
        <v>780.0</v>
      </c>
      <c r="B172" s="14">
        <v>504660.0</v>
      </c>
      <c r="C172" s="14">
        <v>607000.0</v>
      </c>
      <c r="D172" s="14">
        <v>1111660.0</v>
      </c>
      <c r="E172" s="221">
        <v>1.8239</v>
      </c>
      <c r="F172" s="221">
        <v>1.6774</v>
      </c>
      <c r="G172" s="14">
        <v>98000.0</v>
      </c>
      <c r="H172" s="14">
        <v>10000.0</v>
      </c>
      <c r="I172" s="14">
        <v>70000.0</v>
      </c>
      <c r="J172" s="14">
        <v>160000.0</v>
      </c>
      <c r="K172" s="14">
        <v>40000.0</v>
      </c>
      <c r="L172" s="14">
        <v>60000.0</v>
      </c>
      <c r="M172" s="14">
        <v>75000.0</v>
      </c>
      <c r="N172" s="14">
        <v>40000.0</v>
      </c>
      <c r="O172" s="14">
        <v>40000.0</v>
      </c>
      <c r="P172" s="14">
        <v>14000.0</v>
      </c>
      <c r="Q172" s="14">
        <v>0.0</v>
      </c>
      <c r="R172" s="221">
        <v>1.4561</v>
      </c>
      <c r="S172" s="221">
        <v>1.4219</v>
      </c>
      <c r="T172" s="221">
        <v>1.7027</v>
      </c>
      <c r="U172" s="221">
        <v>2.0769</v>
      </c>
      <c r="V172" s="221">
        <v>1.7778</v>
      </c>
      <c r="W172" s="221">
        <v>2.1915</v>
      </c>
      <c r="X172" s="221">
        <v>2.3333</v>
      </c>
      <c r="Y172" s="221">
        <v>3.3956</v>
      </c>
      <c r="Z172" s="221">
        <v>3.5455</v>
      </c>
      <c r="AA172" s="221">
        <v>0.2829</v>
      </c>
      <c r="AB172" s="221">
        <v>-1.0</v>
      </c>
    </row>
    <row r="173">
      <c r="A173" s="14">
        <v>785.0</v>
      </c>
      <c r="B173" s="14">
        <v>507895.0</v>
      </c>
      <c r="C173" s="14">
        <v>607000.0</v>
      </c>
      <c r="D173" s="14">
        <v>1114895.0</v>
      </c>
      <c r="E173" s="221">
        <v>1.842</v>
      </c>
      <c r="F173" s="221">
        <v>1.6774</v>
      </c>
      <c r="G173" s="14">
        <v>98000.0</v>
      </c>
      <c r="H173" s="14">
        <v>10000.0</v>
      </c>
      <c r="I173" s="14">
        <v>70000.0</v>
      </c>
      <c r="J173" s="14">
        <v>160000.0</v>
      </c>
      <c r="K173" s="14">
        <v>40000.0</v>
      </c>
      <c r="L173" s="14">
        <v>60000.0</v>
      </c>
      <c r="M173" s="14">
        <v>75000.0</v>
      </c>
      <c r="N173" s="14">
        <v>40000.0</v>
      </c>
      <c r="O173" s="14">
        <v>40000.0</v>
      </c>
      <c r="P173" s="14">
        <v>14000.0</v>
      </c>
      <c r="Q173" s="14">
        <v>0.0</v>
      </c>
      <c r="R173" s="221">
        <v>1.4561</v>
      </c>
      <c r="S173" s="221">
        <v>1.4219</v>
      </c>
      <c r="T173" s="221">
        <v>1.7027</v>
      </c>
      <c r="U173" s="221">
        <v>2.0769</v>
      </c>
      <c r="V173" s="221">
        <v>1.7778</v>
      </c>
      <c r="W173" s="221">
        <v>2.1915</v>
      </c>
      <c r="X173" s="221">
        <v>2.3333</v>
      </c>
      <c r="Y173" s="221">
        <v>3.3956</v>
      </c>
      <c r="Z173" s="221">
        <v>3.5455</v>
      </c>
      <c r="AA173" s="221">
        <v>0.2829</v>
      </c>
      <c r="AB173" s="221">
        <v>-1.0</v>
      </c>
    </row>
    <row r="174">
      <c r="A174" s="14">
        <v>790.0</v>
      </c>
      <c r="B174" s="14">
        <v>511130.0</v>
      </c>
      <c r="C174" s="14">
        <v>607000.0</v>
      </c>
      <c r="D174" s="14">
        <v>1118130.0</v>
      </c>
      <c r="E174" s="221">
        <v>1.8601</v>
      </c>
      <c r="F174" s="221">
        <v>1.6774</v>
      </c>
      <c r="G174" s="14">
        <v>98000.0</v>
      </c>
      <c r="H174" s="14">
        <v>10000.0</v>
      </c>
      <c r="I174" s="14">
        <v>70000.0</v>
      </c>
      <c r="J174" s="14">
        <v>160000.0</v>
      </c>
      <c r="K174" s="14">
        <v>40000.0</v>
      </c>
      <c r="L174" s="14">
        <v>60000.0</v>
      </c>
      <c r="M174" s="14">
        <v>75000.0</v>
      </c>
      <c r="N174" s="14">
        <v>40000.0</v>
      </c>
      <c r="O174" s="14">
        <v>40000.0</v>
      </c>
      <c r="P174" s="14">
        <v>14000.0</v>
      </c>
      <c r="Q174" s="14">
        <v>0.0</v>
      </c>
      <c r="R174" s="221">
        <v>1.4561</v>
      </c>
      <c r="S174" s="221">
        <v>1.4219</v>
      </c>
      <c r="T174" s="221">
        <v>1.7027</v>
      </c>
      <c r="U174" s="221">
        <v>2.0769</v>
      </c>
      <c r="V174" s="221">
        <v>1.7778</v>
      </c>
      <c r="W174" s="221">
        <v>2.1915</v>
      </c>
      <c r="X174" s="221">
        <v>2.3333</v>
      </c>
      <c r="Y174" s="221">
        <v>3.3956</v>
      </c>
      <c r="Z174" s="221">
        <v>3.5455</v>
      </c>
      <c r="AA174" s="221">
        <v>0.2829</v>
      </c>
      <c r="AB174" s="221">
        <v>-1.0</v>
      </c>
    </row>
    <row r="175">
      <c r="A175" s="14">
        <v>795.0</v>
      </c>
      <c r="B175" s="14">
        <v>514365.0</v>
      </c>
      <c r="C175" s="14">
        <v>607000.0</v>
      </c>
      <c r="D175" s="14">
        <v>1121365.0</v>
      </c>
      <c r="E175" s="221">
        <v>1.8782</v>
      </c>
      <c r="F175" s="221">
        <v>1.6774</v>
      </c>
      <c r="G175" s="14">
        <v>98000.0</v>
      </c>
      <c r="H175" s="14">
        <v>10000.0</v>
      </c>
      <c r="I175" s="14">
        <v>70000.0</v>
      </c>
      <c r="J175" s="14">
        <v>160000.0</v>
      </c>
      <c r="K175" s="14">
        <v>40000.0</v>
      </c>
      <c r="L175" s="14">
        <v>60000.0</v>
      </c>
      <c r="M175" s="14">
        <v>75000.0</v>
      </c>
      <c r="N175" s="14">
        <v>40000.0</v>
      </c>
      <c r="O175" s="14">
        <v>40000.0</v>
      </c>
      <c r="P175" s="14">
        <v>14000.0</v>
      </c>
      <c r="Q175" s="14">
        <v>0.0</v>
      </c>
      <c r="R175" s="221">
        <v>1.4561</v>
      </c>
      <c r="S175" s="221">
        <v>1.4219</v>
      </c>
      <c r="T175" s="221">
        <v>1.7027</v>
      </c>
      <c r="U175" s="221">
        <v>2.0769</v>
      </c>
      <c r="V175" s="221">
        <v>1.7778</v>
      </c>
      <c r="W175" s="221">
        <v>2.1915</v>
      </c>
      <c r="X175" s="221">
        <v>2.3333</v>
      </c>
      <c r="Y175" s="221">
        <v>3.3956</v>
      </c>
      <c r="Z175" s="221">
        <v>3.5455</v>
      </c>
      <c r="AA175" s="221">
        <v>0.2829</v>
      </c>
      <c r="AB175" s="221">
        <v>-1.0</v>
      </c>
    </row>
    <row r="176">
      <c r="A176" s="14">
        <v>800.0</v>
      </c>
      <c r="B176" s="14">
        <v>517600.0</v>
      </c>
      <c r="C176" s="14">
        <v>607000.0</v>
      </c>
      <c r="D176" s="14">
        <v>1124600.0</v>
      </c>
      <c r="E176" s="221">
        <v>1.8963</v>
      </c>
      <c r="F176" s="221">
        <v>1.6774</v>
      </c>
      <c r="G176" s="14">
        <v>98000.0</v>
      </c>
      <c r="H176" s="14">
        <v>10000.0</v>
      </c>
      <c r="I176" s="14">
        <v>70000.0</v>
      </c>
      <c r="J176" s="14">
        <v>160000.0</v>
      </c>
      <c r="K176" s="14">
        <v>40000.0</v>
      </c>
      <c r="L176" s="14">
        <v>60000.0</v>
      </c>
      <c r="M176" s="14">
        <v>75000.0</v>
      </c>
      <c r="N176" s="14">
        <v>40000.0</v>
      </c>
      <c r="O176" s="14">
        <v>40000.0</v>
      </c>
      <c r="P176" s="14">
        <v>14000.0</v>
      </c>
      <c r="Q176" s="14">
        <v>0.0</v>
      </c>
      <c r="R176" s="221">
        <v>1.4561</v>
      </c>
      <c r="S176" s="221">
        <v>1.4219</v>
      </c>
      <c r="T176" s="221">
        <v>1.7027</v>
      </c>
      <c r="U176" s="221">
        <v>2.0769</v>
      </c>
      <c r="V176" s="221">
        <v>1.7778</v>
      </c>
      <c r="W176" s="221">
        <v>2.1915</v>
      </c>
      <c r="X176" s="221">
        <v>2.3333</v>
      </c>
      <c r="Y176" s="221">
        <v>3.3956</v>
      </c>
      <c r="Z176" s="221">
        <v>3.5455</v>
      </c>
      <c r="AA176" s="221">
        <v>0.2829</v>
      </c>
      <c r="AB176" s="221">
        <v>-1.0</v>
      </c>
    </row>
    <row r="177">
      <c r="A177" s="14">
        <v>805.0</v>
      </c>
      <c r="B177" s="14">
        <v>520835.0</v>
      </c>
      <c r="C177" s="14">
        <v>607000.0</v>
      </c>
      <c r="D177" s="14">
        <v>1127835.0</v>
      </c>
      <c r="E177" s="221">
        <v>1.9144</v>
      </c>
      <c r="F177" s="221">
        <v>1.6774</v>
      </c>
      <c r="G177" s="14">
        <v>98000.0</v>
      </c>
      <c r="H177" s="14">
        <v>10000.0</v>
      </c>
      <c r="I177" s="14">
        <v>70000.0</v>
      </c>
      <c r="J177" s="14">
        <v>160000.0</v>
      </c>
      <c r="K177" s="14">
        <v>40000.0</v>
      </c>
      <c r="L177" s="14">
        <v>60000.0</v>
      </c>
      <c r="M177" s="14">
        <v>75000.0</v>
      </c>
      <c r="N177" s="14">
        <v>40000.0</v>
      </c>
      <c r="O177" s="14">
        <v>40000.0</v>
      </c>
      <c r="P177" s="14">
        <v>14000.0</v>
      </c>
      <c r="Q177" s="14">
        <v>0.0</v>
      </c>
      <c r="R177" s="221">
        <v>1.4561</v>
      </c>
      <c r="S177" s="221">
        <v>1.4219</v>
      </c>
      <c r="T177" s="221">
        <v>1.7027</v>
      </c>
      <c r="U177" s="221">
        <v>2.0769</v>
      </c>
      <c r="V177" s="221">
        <v>1.7778</v>
      </c>
      <c r="W177" s="221">
        <v>2.1915</v>
      </c>
      <c r="X177" s="221">
        <v>2.3333</v>
      </c>
      <c r="Y177" s="221">
        <v>3.3956</v>
      </c>
      <c r="Z177" s="221">
        <v>3.5455</v>
      </c>
      <c r="AA177" s="221">
        <v>0.2829</v>
      </c>
      <c r="AB177" s="221">
        <v>-1.0</v>
      </c>
    </row>
    <row r="178">
      <c r="A178" s="14">
        <v>810.0</v>
      </c>
      <c r="B178" s="14">
        <v>524070.0</v>
      </c>
      <c r="C178" s="14">
        <v>607000.0</v>
      </c>
      <c r="D178" s="14">
        <v>1131070.0</v>
      </c>
      <c r="E178" s="221">
        <v>1.9325</v>
      </c>
      <c r="F178" s="221">
        <v>1.6774</v>
      </c>
      <c r="G178" s="14">
        <v>98000.0</v>
      </c>
      <c r="H178" s="14">
        <v>10000.0</v>
      </c>
      <c r="I178" s="14">
        <v>70000.0</v>
      </c>
      <c r="J178" s="14">
        <v>160000.0</v>
      </c>
      <c r="K178" s="14">
        <v>40000.0</v>
      </c>
      <c r="L178" s="14">
        <v>60000.0</v>
      </c>
      <c r="M178" s="14">
        <v>75000.0</v>
      </c>
      <c r="N178" s="14">
        <v>40000.0</v>
      </c>
      <c r="O178" s="14">
        <v>40000.0</v>
      </c>
      <c r="P178" s="14">
        <v>14000.0</v>
      </c>
      <c r="Q178" s="14">
        <v>0.0</v>
      </c>
      <c r="R178" s="221">
        <v>1.4561</v>
      </c>
      <c r="S178" s="221">
        <v>1.4219</v>
      </c>
      <c r="T178" s="221">
        <v>1.7027</v>
      </c>
      <c r="U178" s="221">
        <v>2.0769</v>
      </c>
      <c r="V178" s="221">
        <v>1.7778</v>
      </c>
      <c r="W178" s="221">
        <v>2.1915</v>
      </c>
      <c r="X178" s="221">
        <v>2.3333</v>
      </c>
      <c r="Y178" s="221">
        <v>3.3956</v>
      </c>
      <c r="Z178" s="221">
        <v>3.5455</v>
      </c>
      <c r="AA178" s="221">
        <v>0.2829</v>
      </c>
      <c r="AB178" s="221">
        <v>-1.0</v>
      </c>
    </row>
    <row r="179">
      <c r="A179" s="14">
        <v>815.0</v>
      </c>
      <c r="B179" s="14">
        <v>527305.0</v>
      </c>
      <c r="C179" s="14">
        <v>607000.0</v>
      </c>
      <c r="D179" s="14">
        <v>1134305.0</v>
      </c>
      <c r="E179" s="221">
        <v>1.9506</v>
      </c>
      <c r="F179" s="221">
        <v>1.6774</v>
      </c>
      <c r="G179" s="14">
        <v>98000.0</v>
      </c>
      <c r="H179" s="14">
        <v>10000.0</v>
      </c>
      <c r="I179" s="14">
        <v>70000.0</v>
      </c>
      <c r="J179" s="14">
        <v>160000.0</v>
      </c>
      <c r="K179" s="14">
        <v>40000.0</v>
      </c>
      <c r="L179" s="14">
        <v>60000.0</v>
      </c>
      <c r="M179" s="14">
        <v>75000.0</v>
      </c>
      <c r="N179" s="14">
        <v>40000.0</v>
      </c>
      <c r="O179" s="14">
        <v>40000.0</v>
      </c>
      <c r="P179" s="14">
        <v>14000.0</v>
      </c>
      <c r="Q179" s="14">
        <v>0.0</v>
      </c>
      <c r="R179" s="221">
        <v>1.4561</v>
      </c>
      <c r="S179" s="221">
        <v>1.4219</v>
      </c>
      <c r="T179" s="221">
        <v>1.7027</v>
      </c>
      <c r="U179" s="221">
        <v>2.0769</v>
      </c>
      <c r="V179" s="221">
        <v>1.7778</v>
      </c>
      <c r="W179" s="221">
        <v>2.1915</v>
      </c>
      <c r="X179" s="221">
        <v>2.3333</v>
      </c>
      <c r="Y179" s="221">
        <v>3.3956</v>
      </c>
      <c r="Z179" s="221">
        <v>3.5455</v>
      </c>
      <c r="AA179" s="221">
        <v>0.2829</v>
      </c>
      <c r="AB179" s="221">
        <v>-1.0</v>
      </c>
    </row>
    <row r="180">
      <c r="A180" s="14">
        <v>820.0</v>
      </c>
      <c r="B180" s="14">
        <v>530540.0</v>
      </c>
      <c r="C180" s="14">
        <v>607000.0</v>
      </c>
      <c r="D180" s="14">
        <v>1137540.0</v>
      </c>
      <c r="E180" s="221">
        <v>1.9687</v>
      </c>
      <c r="F180" s="221">
        <v>1.6774</v>
      </c>
      <c r="G180" s="14">
        <v>98000.0</v>
      </c>
      <c r="H180" s="14">
        <v>10000.0</v>
      </c>
      <c r="I180" s="14">
        <v>70000.0</v>
      </c>
      <c r="J180" s="14">
        <v>160000.0</v>
      </c>
      <c r="K180" s="14">
        <v>40000.0</v>
      </c>
      <c r="L180" s="14">
        <v>60000.0</v>
      </c>
      <c r="M180" s="14">
        <v>75000.0</v>
      </c>
      <c r="N180" s="14">
        <v>40000.0</v>
      </c>
      <c r="O180" s="14">
        <v>40000.0</v>
      </c>
      <c r="P180" s="14">
        <v>14000.0</v>
      </c>
      <c r="Q180" s="14">
        <v>0.0</v>
      </c>
      <c r="R180" s="221">
        <v>1.4561</v>
      </c>
      <c r="S180" s="221">
        <v>1.4219</v>
      </c>
      <c r="T180" s="221">
        <v>1.7027</v>
      </c>
      <c r="U180" s="221">
        <v>2.0769</v>
      </c>
      <c r="V180" s="221">
        <v>1.7778</v>
      </c>
      <c r="W180" s="221">
        <v>2.1915</v>
      </c>
      <c r="X180" s="221">
        <v>2.3333</v>
      </c>
      <c r="Y180" s="221">
        <v>3.3956</v>
      </c>
      <c r="Z180" s="221">
        <v>3.5455</v>
      </c>
      <c r="AA180" s="221">
        <v>0.2829</v>
      </c>
      <c r="AB180" s="221">
        <v>-1.0</v>
      </c>
    </row>
    <row r="181">
      <c r="A181" s="14">
        <v>825.0</v>
      </c>
      <c r="B181" s="14">
        <v>533775.0</v>
      </c>
      <c r="C181" s="14">
        <v>607000.0</v>
      </c>
      <c r="D181" s="14">
        <v>1140775.0</v>
      </c>
      <c r="E181" s="221">
        <v>1.9868</v>
      </c>
      <c r="F181" s="221">
        <v>1.6774</v>
      </c>
      <c r="G181" s="14">
        <v>98000.0</v>
      </c>
      <c r="H181" s="14">
        <v>10000.0</v>
      </c>
      <c r="I181" s="14">
        <v>70000.0</v>
      </c>
      <c r="J181" s="14">
        <v>160000.0</v>
      </c>
      <c r="K181" s="14">
        <v>40000.0</v>
      </c>
      <c r="L181" s="14">
        <v>60000.0</v>
      </c>
      <c r="M181" s="14">
        <v>75000.0</v>
      </c>
      <c r="N181" s="14">
        <v>40000.0</v>
      </c>
      <c r="O181" s="14">
        <v>40000.0</v>
      </c>
      <c r="P181" s="14">
        <v>14000.0</v>
      </c>
      <c r="Q181" s="14">
        <v>0.0</v>
      </c>
      <c r="R181" s="221">
        <v>1.4561</v>
      </c>
      <c r="S181" s="221">
        <v>1.4219</v>
      </c>
      <c r="T181" s="221">
        <v>1.7027</v>
      </c>
      <c r="U181" s="221">
        <v>2.0769</v>
      </c>
      <c r="V181" s="221">
        <v>1.7778</v>
      </c>
      <c r="W181" s="221">
        <v>2.1915</v>
      </c>
      <c r="X181" s="221">
        <v>2.3333</v>
      </c>
      <c r="Y181" s="221">
        <v>3.3956</v>
      </c>
      <c r="Z181" s="221">
        <v>3.5455</v>
      </c>
      <c r="AA181" s="221">
        <v>0.2829</v>
      </c>
      <c r="AB181" s="221">
        <v>-1.0</v>
      </c>
    </row>
    <row r="182">
      <c r="A182" s="14">
        <v>830.0</v>
      </c>
      <c r="B182" s="14">
        <v>537010.0</v>
      </c>
      <c r="C182" s="14">
        <v>607000.0</v>
      </c>
      <c r="D182" s="14">
        <v>1144010.0</v>
      </c>
      <c r="E182" s="221">
        <v>2.0049</v>
      </c>
      <c r="F182" s="221">
        <v>1.6774</v>
      </c>
      <c r="G182" s="14">
        <v>98000.0</v>
      </c>
      <c r="H182" s="14">
        <v>10000.0</v>
      </c>
      <c r="I182" s="14">
        <v>70000.0</v>
      </c>
      <c r="J182" s="14">
        <v>160000.0</v>
      </c>
      <c r="K182" s="14">
        <v>40000.0</v>
      </c>
      <c r="L182" s="14">
        <v>60000.0</v>
      </c>
      <c r="M182" s="14">
        <v>75000.0</v>
      </c>
      <c r="N182" s="14">
        <v>40000.0</v>
      </c>
      <c r="O182" s="14">
        <v>40000.0</v>
      </c>
      <c r="P182" s="14">
        <v>14000.0</v>
      </c>
      <c r="Q182" s="14">
        <v>0.0</v>
      </c>
      <c r="R182" s="221">
        <v>1.4561</v>
      </c>
      <c r="S182" s="221">
        <v>1.4219</v>
      </c>
      <c r="T182" s="221">
        <v>1.7027</v>
      </c>
      <c r="U182" s="221">
        <v>2.0769</v>
      </c>
      <c r="V182" s="221">
        <v>1.7778</v>
      </c>
      <c r="W182" s="221">
        <v>2.1915</v>
      </c>
      <c r="X182" s="221">
        <v>2.3333</v>
      </c>
      <c r="Y182" s="221">
        <v>3.3956</v>
      </c>
      <c r="Z182" s="221">
        <v>3.5455</v>
      </c>
      <c r="AA182" s="221">
        <v>0.2829</v>
      </c>
      <c r="AB182" s="221">
        <v>-1.0</v>
      </c>
    </row>
    <row r="183">
      <c r="A183" s="14">
        <v>835.0</v>
      </c>
      <c r="B183" s="14">
        <v>540245.0</v>
      </c>
      <c r="C183" s="14">
        <v>607000.0</v>
      </c>
      <c r="D183" s="14">
        <v>1147245.0</v>
      </c>
      <c r="E183" s="221">
        <v>2.023</v>
      </c>
      <c r="F183" s="221">
        <v>1.6774</v>
      </c>
      <c r="G183" s="14">
        <v>98000.0</v>
      </c>
      <c r="H183" s="14">
        <v>10000.0</v>
      </c>
      <c r="I183" s="14">
        <v>70000.0</v>
      </c>
      <c r="J183" s="14">
        <v>160000.0</v>
      </c>
      <c r="K183" s="14">
        <v>40000.0</v>
      </c>
      <c r="L183" s="14">
        <v>60000.0</v>
      </c>
      <c r="M183" s="14">
        <v>75000.0</v>
      </c>
      <c r="N183" s="14">
        <v>40000.0</v>
      </c>
      <c r="O183" s="14">
        <v>40000.0</v>
      </c>
      <c r="P183" s="14">
        <v>14000.0</v>
      </c>
      <c r="Q183" s="14">
        <v>0.0</v>
      </c>
      <c r="R183" s="221">
        <v>1.4561</v>
      </c>
      <c r="S183" s="221">
        <v>1.4219</v>
      </c>
      <c r="T183" s="221">
        <v>1.7027</v>
      </c>
      <c r="U183" s="221">
        <v>2.0769</v>
      </c>
      <c r="V183" s="221">
        <v>1.7778</v>
      </c>
      <c r="W183" s="221">
        <v>2.1915</v>
      </c>
      <c r="X183" s="221">
        <v>2.3333</v>
      </c>
      <c r="Y183" s="221">
        <v>3.3956</v>
      </c>
      <c r="Z183" s="221">
        <v>3.5455</v>
      </c>
      <c r="AA183" s="221">
        <v>0.2829</v>
      </c>
      <c r="AB183" s="221">
        <v>-1.0</v>
      </c>
    </row>
    <row r="184">
      <c r="A184" s="14">
        <v>840.0</v>
      </c>
      <c r="B184" s="14">
        <v>543480.0</v>
      </c>
      <c r="C184" s="14">
        <v>607000.0</v>
      </c>
      <c r="D184" s="14">
        <v>1150480.0</v>
      </c>
      <c r="E184" s="221">
        <v>2.0411</v>
      </c>
      <c r="F184" s="221">
        <v>1.6774</v>
      </c>
      <c r="G184" s="14">
        <v>98000.0</v>
      </c>
      <c r="H184" s="14">
        <v>10000.0</v>
      </c>
      <c r="I184" s="14">
        <v>70000.0</v>
      </c>
      <c r="J184" s="14">
        <v>160000.0</v>
      </c>
      <c r="K184" s="14">
        <v>40000.0</v>
      </c>
      <c r="L184" s="14">
        <v>60000.0</v>
      </c>
      <c r="M184" s="14">
        <v>75000.0</v>
      </c>
      <c r="N184" s="14">
        <v>40000.0</v>
      </c>
      <c r="O184" s="14">
        <v>40000.0</v>
      </c>
      <c r="P184" s="14">
        <v>14000.0</v>
      </c>
      <c r="Q184" s="14">
        <v>0.0</v>
      </c>
      <c r="R184" s="221">
        <v>1.4561</v>
      </c>
      <c r="S184" s="221">
        <v>1.4219</v>
      </c>
      <c r="T184" s="221">
        <v>1.7027</v>
      </c>
      <c r="U184" s="221">
        <v>2.0769</v>
      </c>
      <c r="V184" s="221">
        <v>1.7778</v>
      </c>
      <c r="W184" s="221">
        <v>2.1915</v>
      </c>
      <c r="X184" s="221">
        <v>2.3333</v>
      </c>
      <c r="Y184" s="221">
        <v>3.3956</v>
      </c>
      <c r="Z184" s="221">
        <v>3.5455</v>
      </c>
      <c r="AA184" s="221">
        <v>0.2829</v>
      </c>
      <c r="AB184" s="221">
        <v>-1.0</v>
      </c>
    </row>
    <row r="185">
      <c r="A185" s="14">
        <v>845.0</v>
      </c>
      <c r="B185" s="14">
        <v>546715.0</v>
      </c>
      <c r="C185" s="14">
        <v>607000.0</v>
      </c>
      <c r="D185" s="14">
        <v>1153715.0</v>
      </c>
      <c r="E185" s="221">
        <v>2.0592</v>
      </c>
      <c r="F185" s="221">
        <v>1.6774</v>
      </c>
      <c r="G185" s="14">
        <v>98000.0</v>
      </c>
      <c r="H185" s="14">
        <v>10000.0</v>
      </c>
      <c r="I185" s="14">
        <v>70000.0</v>
      </c>
      <c r="J185" s="14">
        <v>160000.0</v>
      </c>
      <c r="K185" s="14">
        <v>40000.0</v>
      </c>
      <c r="L185" s="14">
        <v>60000.0</v>
      </c>
      <c r="M185" s="14">
        <v>75000.0</v>
      </c>
      <c r="N185" s="14">
        <v>40000.0</v>
      </c>
      <c r="O185" s="14">
        <v>40000.0</v>
      </c>
      <c r="P185" s="14">
        <v>14000.0</v>
      </c>
      <c r="Q185" s="14">
        <v>0.0</v>
      </c>
      <c r="R185" s="221">
        <v>1.4561</v>
      </c>
      <c r="S185" s="221">
        <v>1.4219</v>
      </c>
      <c r="T185" s="221">
        <v>1.7027</v>
      </c>
      <c r="U185" s="221">
        <v>2.0769</v>
      </c>
      <c r="V185" s="221">
        <v>1.7778</v>
      </c>
      <c r="W185" s="221">
        <v>2.1915</v>
      </c>
      <c r="X185" s="221">
        <v>2.3333</v>
      </c>
      <c r="Y185" s="221">
        <v>3.3956</v>
      </c>
      <c r="Z185" s="221">
        <v>3.5455</v>
      </c>
      <c r="AA185" s="221">
        <v>0.2829</v>
      </c>
      <c r="AB185" s="221">
        <v>-1.0</v>
      </c>
    </row>
    <row r="186">
      <c r="A186" s="14">
        <v>850.0</v>
      </c>
      <c r="B186" s="14">
        <v>549950.0</v>
      </c>
      <c r="C186" s="14">
        <v>607000.0</v>
      </c>
      <c r="D186" s="14">
        <v>1156950.0</v>
      </c>
      <c r="E186" s="221">
        <v>2.0773</v>
      </c>
      <c r="F186" s="221">
        <v>1.6774</v>
      </c>
      <c r="G186" s="14">
        <v>98000.0</v>
      </c>
      <c r="H186" s="14">
        <v>10000.0</v>
      </c>
      <c r="I186" s="14">
        <v>70000.0</v>
      </c>
      <c r="J186" s="14">
        <v>160000.0</v>
      </c>
      <c r="K186" s="14">
        <v>40000.0</v>
      </c>
      <c r="L186" s="14">
        <v>60000.0</v>
      </c>
      <c r="M186" s="14">
        <v>75000.0</v>
      </c>
      <c r="N186" s="14">
        <v>40000.0</v>
      </c>
      <c r="O186" s="14">
        <v>40000.0</v>
      </c>
      <c r="P186" s="14">
        <v>14000.0</v>
      </c>
      <c r="Q186" s="14">
        <v>0.0</v>
      </c>
      <c r="R186" s="221">
        <v>1.4561</v>
      </c>
      <c r="S186" s="221">
        <v>1.4219</v>
      </c>
      <c r="T186" s="221">
        <v>1.7027</v>
      </c>
      <c r="U186" s="221">
        <v>2.0769</v>
      </c>
      <c r="V186" s="221">
        <v>1.7778</v>
      </c>
      <c r="W186" s="221">
        <v>2.1915</v>
      </c>
      <c r="X186" s="221">
        <v>2.3333</v>
      </c>
      <c r="Y186" s="221">
        <v>3.3956</v>
      </c>
      <c r="Z186" s="221">
        <v>3.5455</v>
      </c>
      <c r="AA186" s="221">
        <v>0.2829</v>
      </c>
      <c r="AB186" s="221">
        <v>-1.0</v>
      </c>
    </row>
    <row r="187">
      <c r="A187" s="14">
        <v>855.0</v>
      </c>
      <c r="B187" s="14">
        <v>553185.0</v>
      </c>
      <c r="C187" s="14">
        <v>607000.0</v>
      </c>
      <c r="D187" s="14">
        <v>1160185.0</v>
      </c>
      <c r="E187" s="221">
        <v>2.0954</v>
      </c>
      <c r="F187" s="221">
        <v>1.6774</v>
      </c>
      <c r="G187" s="14">
        <v>98000.0</v>
      </c>
      <c r="H187" s="14">
        <v>10000.0</v>
      </c>
      <c r="I187" s="14">
        <v>70000.0</v>
      </c>
      <c r="J187" s="14">
        <v>160000.0</v>
      </c>
      <c r="K187" s="14">
        <v>40000.0</v>
      </c>
      <c r="L187" s="14">
        <v>60000.0</v>
      </c>
      <c r="M187" s="14">
        <v>75000.0</v>
      </c>
      <c r="N187" s="14">
        <v>40000.0</v>
      </c>
      <c r="O187" s="14">
        <v>40000.0</v>
      </c>
      <c r="P187" s="14">
        <v>14000.0</v>
      </c>
      <c r="Q187" s="14">
        <v>0.0</v>
      </c>
      <c r="R187" s="221">
        <v>1.4561</v>
      </c>
      <c r="S187" s="221">
        <v>1.4219</v>
      </c>
      <c r="T187" s="221">
        <v>1.7027</v>
      </c>
      <c r="U187" s="221">
        <v>2.0769</v>
      </c>
      <c r="V187" s="221">
        <v>1.7778</v>
      </c>
      <c r="W187" s="221">
        <v>2.1915</v>
      </c>
      <c r="X187" s="221">
        <v>2.3333</v>
      </c>
      <c r="Y187" s="221">
        <v>3.3956</v>
      </c>
      <c r="Z187" s="221">
        <v>3.5455</v>
      </c>
      <c r="AA187" s="221">
        <v>0.2829</v>
      </c>
      <c r="AB187" s="221">
        <v>-1.0</v>
      </c>
    </row>
    <row r="188">
      <c r="A188" s="14">
        <v>860.0</v>
      </c>
      <c r="B188" s="14">
        <v>556420.0</v>
      </c>
      <c r="C188" s="14">
        <v>607000.0</v>
      </c>
      <c r="D188" s="14">
        <v>1163420.0</v>
      </c>
      <c r="E188" s="221">
        <v>2.1135</v>
      </c>
      <c r="F188" s="221">
        <v>1.6774</v>
      </c>
      <c r="G188" s="14">
        <v>98000.0</v>
      </c>
      <c r="H188" s="14">
        <v>10000.0</v>
      </c>
      <c r="I188" s="14">
        <v>70000.0</v>
      </c>
      <c r="J188" s="14">
        <v>160000.0</v>
      </c>
      <c r="K188" s="14">
        <v>40000.0</v>
      </c>
      <c r="L188" s="14">
        <v>60000.0</v>
      </c>
      <c r="M188" s="14">
        <v>75000.0</v>
      </c>
      <c r="N188" s="14">
        <v>40000.0</v>
      </c>
      <c r="O188" s="14">
        <v>40000.0</v>
      </c>
      <c r="P188" s="14">
        <v>14000.0</v>
      </c>
      <c r="Q188" s="14">
        <v>0.0</v>
      </c>
      <c r="R188" s="221">
        <v>1.4561</v>
      </c>
      <c r="S188" s="221">
        <v>1.4219</v>
      </c>
      <c r="T188" s="221">
        <v>1.7027</v>
      </c>
      <c r="U188" s="221">
        <v>2.0769</v>
      </c>
      <c r="V188" s="221">
        <v>1.7778</v>
      </c>
      <c r="W188" s="221">
        <v>2.1915</v>
      </c>
      <c r="X188" s="221">
        <v>2.3333</v>
      </c>
      <c r="Y188" s="221">
        <v>3.3956</v>
      </c>
      <c r="Z188" s="221">
        <v>3.5455</v>
      </c>
      <c r="AA188" s="221">
        <v>0.2829</v>
      </c>
      <c r="AB188" s="221">
        <v>-1.0</v>
      </c>
    </row>
    <row r="189">
      <c r="A189" s="14">
        <v>865.0</v>
      </c>
      <c r="B189" s="14">
        <v>559655.0</v>
      </c>
      <c r="C189" s="14">
        <v>607000.0</v>
      </c>
      <c r="D189" s="14">
        <v>1166655.0</v>
      </c>
      <c r="E189" s="221">
        <v>2.1316</v>
      </c>
      <c r="F189" s="221">
        <v>1.6774</v>
      </c>
      <c r="G189" s="14">
        <v>98000.0</v>
      </c>
      <c r="H189" s="14">
        <v>10000.0</v>
      </c>
      <c r="I189" s="14">
        <v>70000.0</v>
      </c>
      <c r="J189" s="14">
        <v>160000.0</v>
      </c>
      <c r="K189" s="14">
        <v>40000.0</v>
      </c>
      <c r="L189" s="14">
        <v>60000.0</v>
      </c>
      <c r="M189" s="14">
        <v>75000.0</v>
      </c>
      <c r="N189" s="14">
        <v>40000.0</v>
      </c>
      <c r="O189" s="14">
        <v>40000.0</v>
      </c>
      <c r="P189" s="14">
        <v>14000.0</v>
      </c>
      <c r="Q189" s="14">
        <v>0.0</v>
      </c>
      <c r="R189" s="221">
        <v>1.4561</v>
      </c>
      <c r="S189" s="221">
        <v>1.4219</v>
      </c>
      <c r="T189" s="221">
        <v>1.7027</v>
      </c>
      <c r="U189" s="221">
        <v>2.0769</v>
      </c>
      <c r="V189" s="221">
        <v>1.7778</v>
      </c>
      <c r="W189" s="221">
        <v>2.1915</v>
      </c>
      <c r="X189" s="221">
        <v>2.3333</v>
      </c>
      <c r="Y189" s="221">
        <v>3.3956</v>
      </c>
      <c r="Z189" s="221">
        <v>3.5455</v>
      </c>
      <c r="AA189" s="221">
        <v>0.2829</v>
      </c>
      <c r="AB189" s="221">
        <v>-1.0</v>
      </c>
    </row>
    <row r="190">
      <c r="A190" s="14">
        <v>870.0</v>
      </c>
      <c r="B190" s="14">
        <v>562890.0</v>
      </c>
      <c r="C190" s="14">
        <v>607000.0</v>
      </c>
      <c r="D190" s="14">
        <v>1169890.0</v>
      </c>
      <c r="E190" s="221">
        <v>2.1497</v>
      </c>
      <c r="F190" s="221">
        <v>1.6774</v>
      </c>
      <c r="G190" s="14">
        <v>98000.0</v>
      </c>
      <c r="H190" s="14">
        <v>10000.0</v>
      </c>
      <c r="I190" s="14">
        <v>70000.0</v>
      </c>
      <c r="J190" s="14">
        <v>160000.0</v>
      </c>
      <c r="K190" s="14">
        <v>40000.0</v>
      </c>
      <c r="L190" s="14">
        <v>60000.0</v>
      </c>
      <c r="M190" s="14">
        <v>75000.0</v>
      </c>
      <c r="N190" s="14">
        <v>40000.0</v>
      </c>
      <c r="O190" s="14">
        <v>40000.0</v>
      </c>
      <c r="P190" s="14">
        <v>14000.0</v>
      </c>
      <c r="Q190" s="14">
        <v>0.0</v>
      </c>
      <c r="R190" s="221">
        <v>1.4561</v>
      </c>
      <c r="S190" s="221">
        <v>1.4219</v>
      </c>
      <c r="T190" s="221">
        <v>1.7027</v>
      </c>
      <c r="U190" s="221">
        <v>2.0769</v>
      </c>
      <c r="V190" s="221">
        <v>1.7778</v>
      </c>
      <c r="W190" s="221">
        <v>2.1915</v>
      </c>
      <c r="X190" s="221">
        <v>2.3333</v>
      </c>
      <c r="Y190" s="221">
        <v>3.3956</v>
      </c>
      <c r="Z190" s="221">
        <v>3.5455</v>
      </c>
      <c r="AA190" s="221">
        <v>0.2829</v>
      </c>
      <c r="AB190" s="221">
        <v>-1.0</v>
      </c>
    </row>
    <row r="191">
      <c r="A191" s="14">
        <v>875.0</v>
      </c>
      <c r="B191" s="14">
        <v>566125.0</v>
      </c>
      <c r="C191" s="14">
        <v>607000.0</v>
      </c>
      <c r="D191" s="14">
        <v>1173125.0</v>
      </c>
      <c r="E191" s="221">
        <v>2.1678</v>
      </c>
      <c r="F191" s="221">
        <v>1.6774</v>
      </c>
      <c r="G191" s="14">
        <v>98000.0</v>
      </c>
      <c r="H191" s="14">
        <v>10000.0</v>
      </c>
      <c r="I191" s="14">
        <v>70000.0</v>
      </c>
      <c r="J191" s="14">
        <v>160000.0</v>
      </c>
      <c r="K191" s="14">
        <v>40000.0</v>
      </c>
      <c r="L191" s="14">
        <v>60000.0</v>
      </c>
      <c r="M191" s="14">
        <v>75000.0</v>
      </c>
      <c r="N191" s="14">
        <v>40000.0</v>
      </c>
      <c r="O191" s="14">
        <v>40000.0</v>
      </c>
      <c r="P191" s="14">
        <v>14000.0</v>
      </c>
      <c r="Q191" s="14">
        <v>0.0</v>
      </c>
      <c r="R191" s="221">
        <v>1.4561</v>
      </c>
      <c r="S191" s="221">
        <v>1.4219</v>
      </c>
      <c r="T191" s="221">
        <v>1.7027</v>
      </c>
      <c r="U191" s="221">
        <v>2.0769</v>
      </c>
      <c r="V191" s="221">
        <v>1.7778</v>
      </c>
      <c r="W191" s="221">
        <v>2.1915</v>
      </c>
      <c r="X191" s="221">
        <v>2.3333</v>
      </c>
      <c r="Y191" s="221">
        <v>3.3956</v>
      </c>
      <c r="Z191" s="221">
        <v>3.5455</v>
      </c>
      <c r="AA191" s="221">
        <v>0.2829</v>
      </c>
      <c r="AB191" s="221">
        <v>-1.0</v>
      </c>
    </row>
    <row r="192">
      <c r="A192" s="14">
        <v>880.0</v>
      </c>
      <c r="B192" s="14">
        <v>569360.0</v>
      </c>
      <c r="C192" s="14">
        <v>607000.0</v>
      </c>
      <c r="D192" s="14">
        <v>1176360.0</v>
      </c>
      <c r="E192" s="221">
        <v>2.1859</v>
      </c>
      <c r="F192" s="221">
        <v>1.6774</v>
      </c>
      <c r="G192" s="14">
        <v>98000.0</v>
      </c>
      <c r="H192" s="14">
        <v>10000.0</v>
      </c>
      <c r="I192" s="14">
        <v>70000.0</v>
      </c>
      <c r="J192" s="14">
        <v>160000.0</v>
      </c>
      <c r="K192" s="14">
        <v>40000.0</v>
      </c>
      <c r="L192" s="14">
        <v>60000.0</v>
      </c>
      <c r="M192" s="14">
        <v>75000.0</v>
      </c>
      <c r="N192" s="14">
        <v>40000.0</v>
      </c>
      <c r="O192" s="14">
        <v>40000.0</v>
      </c>
      <c r="P192" s="14">
        <v>14000.0</v>
      </c>
      <c r="Q192" s="14">
        <v>0.0</v>
      </c>
      <c r="R192" s="221">
        <v>1.4561</v>
      </c>
      <c r="S192" s="221">
        <v>1.4219</v>
      </c>
      <c r="T192" s="221">
        <v>1.7027</v>
      </c>
      <c r="U192" s="221">
        <v>2.0769</v>
      </c>
      <c r="V192" s="221">
        <v>1.7778</v>
      </c>
      <c r="W192" s="221">
        <v>2.1915</v>
      </c>
      <c r="X192" s="221">
        <v>2.3333</v>
      </c>
      <c r="Y192" s="221">
        <v>3.3956</v>
      </c>
      <c r="Z192" s="221">
        <v>3.5455</v>
      </c>
      <c r="AA192" s="221">
        <v>0.2829</v>
      </c>
      <c r="AB192" s="221">
        <v>-1.0</v>
      </c>
    </row>
    <row r="193">
      <c r="A193" s="14">
        <v>885.0</v>
      </c>
      <c r="B193" s="14">
        <v>572595.0</v>
      </c>
      <c r="C193" s="14">
        <v>607000.0</v>
      </c>
      <c r="D193" s="14">
        <v>1179595.0</v>
      </c>
      <c r="E193" s="221">
        <v>2.204</v>
      </c>
      <c r="F193" s="221">
        <v>1.6774</v>
      </c>
      <c r="G193" s="14">
        <v>98000.0</v>
      </c>
      <c r="H193" s="14">
        <v>10000.0</v>
      </c>
      <c r="I193" s="14">
        <v>70000.0</v>
      </c>
      <c r="J193" s="14">
        <v>160000.0</v>
      </c>
      <c r="K193" s="14">
        <v>40000.0</v>
      </c>
      <c r="L193" s="14">
        <v>60000.0</v>
      </c>
      <c r="M193" s="14">
        <v>75000.0</v>
      </c>
      <c r="N193" s="14">
        <v>40000.0</v>
      </c>
      <c r="O193" s="14">
        <v>40000.0</v>
      </c>
      <c r="P193" s="14">
        <v>14000.0</v>
      </c>
      <c r="Q193" s="14">
        <v>0.0</v>
      </c>
      <c r="R193" s="221">
        <v>1.4561</v>
      </c>
      <c r="S193" s="221">
        <v>1.4219</v>
      </c>
      <c r="T193" s="221">
        <v>1.7027</v>
      </c>
      <c r="U193" s="221">
        <v>2.0769</v>
      </c>
      <c r="V193" s="221">
        <v>1.7778</v>
      </c>
      <c r="W193" s="221">
        <v>2.1915</v>
      </c>
      <c r="X193" s="221">
        <v>2.3333</v>
      </c>
      <c r="Y193" s="221">
        <v>3.3956</v>
      </c>
      <c r="Z193" s="221">
        <v>3.5455</v>
      </c>
      <c r="AA193" s="221">
        <v>0.2829</v>
      </c>
      <c r="AB193" s="221">
        <v>-1.0</v>
      </c>
    </row>
    <row r="194">
      <c r="A194" s="14">
        <v>890.0</v>
      </c>
      <c r="B194" s="14">
        <v>575830.0</v>
      </c>
      <c r="C194" s="14">
        <v>607000.0</v>
      </c>
      <c r="D194" s="14">
        <v>1182830.0</v>
      </c>
      <c r="E194" s="221">
        <v>2.2221</v>
      </c>
      <c r="F194" s="221">
        <v>1.6774</v>
      </c>
      <c r="G194" s="14">
        <v>98000.0</v>
      </c>
      <c r="H194" s="14">
        <v>10000.0</v>
      </c>
      <c r="I194" s="14">
        <v>70000.0</v>
      </c>
      <c r="J194" s="14">
        <v>160000.0</v>
      </c>
      <c r="K194" s="14">
        <v>40000.0</v>
      </c>
      <c r="L194" s="14">
        <v>60000.0</v>
      </c>
      <c r="M194" s="14">
        <v>75000.0</v>
      </c>
      <c r="N194" s="14">
        <v>40000.0</v>
      </c>
      <c r="O194" s="14">
        <v>40000.0</v>
      </c>
      <c r="P194" s="14">
        <v>14000.0</v>
      </c>
      <c r="Q194" s="14">
        <v>0.0</v>
      </c>
      <c r="R194" s="221">
        <v>1.4561</v>
      </c>
      <c r="S194" s="221">
        <v>1.4219</v>
      </c>
      <c r="T194" s="221">
        <v>1.7027</v>
      </c>
      <c r="U194" s="221">
        <v>2.0769</v>
      </c>
      <c r="V194" s="221">
        <v>1.7778</v>
      </c>
      <c r="W194" s="221">
        <v>2.1915</v>
      </c>
      <c r="X194" s="221">
        <v>2.3333</v>
      </c>
      <c r="Y194" s="221">
        <v>3.3956</v>
      </c>
      <c r="Z194" s="221">
        <v>3.5455</v>
      </c>
      <c r="AA194" s="221">
        <v>0.2829</v>
      </c>
      <c r="AB194" s="221">
        <v>-1.0</v>
      </c>
    </row>
    <row r="195">
      <c r="A195" s="14">
        <v>895.0</v>
      </c>
      <c r="B195" s="14">
        <v>579065.0</v>
      </c>
      <c r="C195" s="14">
        <v>607000.0</v>
      </c>
      <c r="D195" s="14">
        <v>1186065.0</v>
      </c>
      <c r="E195" s="221">
        <v>2.2402</v>
      </c>
      <c r="F195" s="221">
        <v>1.6774</v>
      </c>
      <c r="G195" s="14">
        <v>98000.0</v>
      </c>
      <c r="H195" s="14">
        <v>10000.0</v>
      </c>
      <c r="I195" s="14">
        <v>70000.0</v>
      </c>
      <c r="J195" s="14">
        <v>160000.0</v>
      </c>
      <c r="K195" s="14">
        <v>40000.0</v>
      </c>
      <c r="L195" s="14">
        <v>60000.0</v>
      </c>
      <c r="M195" s="14">
        <v>75000.0</v>
      </c>
      <c r="N195" s="14">
        <v>40000.0</v>
      </c>
      <c r="O195" s="14">
        <v>40000.0</v>
      </c>
      <c r="P195" s="14">
        <v>14000.0</v>
      </c>
      <c r="Q195" s="14">
        <v>0.0</v>
      </c>
      <c r="R195" s="221">
        <v>1.4561</v>
      </c>
      <c r="S195" s="221">
        <v>1.4219</v>
      </c>
      <c r="T195" s="221">
        <v>1.7027</v>
      </c>
      <c r="U195" s="221">
        <v>2.0769</v>
      </c>
      <c r="V195" s="221">
        <v>1.7778</v>
      </c>
      <c r="W195" s="221">
        <v>2.1915</v>
      </c>
      <c r="X195" s="221">
        <v>2.3333</v>
      </c>
      <c r="Y195" s="221">
        <v>3.3956</v>
      </c>
      <c r="Z195" s="221">
        <v>3.5455</v>
      </c>
      <c r="AA195" s="221">
        <v>0.2829</v>
      </c>
      <c r="AB195" s="221">
        <v>-1.0</v>
      </c>
    </row>
    <row r="196">
      <c r="A196" s="14">
        <v>900.0</v>
      </c>
      <c r="B196" s="14">
        <v>582300.0</v>
      </c>
      <c r="C196" s="14">
        <v>607000.0</v>
      </c>
      <c r="D196" s="14">
        <v>1189300.0</v>
      </c>
      <c r="E196" s="221">
        <v>2.2583</v>
      </c>
      <c r="F196" s="221">
        <v>1.6774</v>
      </c>
      <c r="G196" s="14">
        <v>98000.0</v>
      </c>
      <c r="H196" s="14">
        <v>10000.0</v>
      </c>
      <c r="I196" s="14">
        <v>70000.0</v>
      </c>
      <c r="J196" s="14">
        <v>160000.0</v>
      </c>
      <c r="K196" s="14">
        <v>40000.0</v>
      </c>
      <c r="L196" s="14">
        <v>60000.0</v>
      </c>
      <c r="M196" s="14">
        <v>75000.0</v>
      </c>
      <c r="N196" s="14">
        <v>40000.0</v>
      </c>
      <c r="O196" s="14">
        <v>40000.0</v>
      </c>
      <c r="P196" s="14">
        <v>14000.0</v>
      </c>
      <c r="Q196" s="14">
        <v>0.0</v>
      </c>
      <c r="R196" s="221">
        <v>1.4561</v>
      </c>
      <c r="S196" s="221">
        <v>1.4219</v>
      </c>
      <c r="T196" s="221">
        <v>1.7027</v>
      </c>
      <c r="U196" s="221">
        <v>2.0769</v>
      </c>
      <c r="V196" s="221">
        <v>1.7778</v>
      </c>
      <c r="W196" s="221">
        <v>2.1915</v>
      </c>
      <c r="X196" s="221">
        <v>2.3333</v>
      </c>
      <c r="Y196" s="221">
        <v>3.3956</v>
      </c>
      <c r="Z196" s="221">
        <v>3.5455</v>
      </c>
      <c r="AA196" s="221">
        <v>0.2829</v>
      </c>
      <c r="AB196" s="221">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88"/>
  </cols>
  <sheetData>
    <row r="1">
      <c r="A1" s="222" t="s">
        <v>180</v>
      </c>
      <c r="B1" s="223"/>
      <c r="C1" s="223"/>
      <c r="D1" s="223"/>
      <c r="E1" s="223"/>
      <c r="F1" s="223"/>
      <c r="G1" s="223"/>
    </row>
    <row r="2">
      <c r="A2" s="222" t="s">
        <v>181</v>
      </c>
      <c r="B2" s="223"/>
      <c r="C2" s="223"/>
      <c r="D2" s="223"/>
      <c r="E2" s="223"/>
      <c r="F2" s="223"/>
      <c r="G2" s="223"/>
    </row>
    <row r="3">
      <c r="A3" s="223"/>
      <c r="B3" s="223"/>
      <c r="C3" s="223"/>
      <c r="D3" s="223"/>
      <c r="E3" s="223"/>
      <c r="F3" s="223"/>
      <c r="G3" s="223"/>
    </row>
    <row r="4">
      <c r="A4" s="222" t="s">
        <v>182</v>
      </c>
      <c r="B4" s="223"/>
      <c r="C4" s="223"/>
      <c r="D4" s="223"/>
      <c r="E4" s="223"/>
      <c r="F4" s="223"/>
      <c r="G4" s="223"/>
    </row>
    <row r="5">
      <c r="A5" s="222" t="s">
        <v>183</v>
      </c>
      <c r="B5" s="223"/>
      <c r="C5" s="223"/>
      <c r="D5" s="223"/>
      <c r="E5" s="223"/>
      <c r="F5" s="223"/>
      <c r="G5" s="223"/>
    </row>
    <row r="6">
      <c r="A6" s="223"/>
      <c r="B6" s="223"/>
      <c r="C6" s="223"/>
      <c r="D6" s="223"/>
      <c r="E6" s="223"/>
      <c r="F6" s="223"/>
      <c r="G6" s="223"/>
    </row>
    <row r="7">
      <c r="A7" s="222" t="s">
        <v>184</v>
      </c>
      <c r="B7" s="223"/>
      <c r="C7" s="223"/>
      <c r="D7" s="223"/>
      <c r="E7" s="223"/>
      <c r="F7" s="223"/>
      <c r="G7" s="223"/>
    </row>
    <row r="8">
      <c r="A8" s="222" t="s">
        <v>185</v>
      </c>
      <c r="B8" s="223"/>
      <c r="C8" s="223"/>
      <c r="D8" s="223"/>
      <c r="E8" s="223"/>
      <c r="F8" s="223"/>
      <c r="G8" s="223"/>
    </row>
    <row r="9">
      <c r="A9" s="223"/>
      <c r="B9" s="223"/>
      <c r="C9" s="223"/>
      <c r="D9" s="223"/>
      <c r="E9" s="223"/>
      <c r="F9" s="223"/>
      <c r="G9" s="223"/>
    </row>
    <row r="10">
      <c r="A10" s="223"/>
      <c r="B10" s="223"/>
      <c r="C10" s="223"/>
      <c r="D10" s="223"/>
      <c r="E10" s="223"/>
      <c r="F10" s="223"/>
      <c r="G10" s="223"/>
    </row>
    <row r="11">
      <c r="A11" s="223"/>
      <c r="B11" s="223"/>
      <c r="C11" s="223"/>
      <c r="D11" s="223"/>
      <c r="E11" s="223"/>
      <c r="F11" s="223"/>
      <c r="G11" s="223"/>
    </row>
    <row r="12">
      <c r="A12" s="223"/>
      <c r="B12" s="223"/>
      <c r="C12" s="223"/>
      <c r="D12" s="223"/>
      <c r="E12" s="223"/>
      <c r="F12" s="223"/>
      <c r="G12" s="223"/>
    </row>
    <row r="13">
      <c r="A13" s="223"/>
      <c r="B13" s="223"/>
      <c r="C13" s="223"/>
      <c r="D13" s="223"/>
      <c r="E13" s="223"/>
      <c r="F13" s="223"/>
      <c r="G13" s="223"/>
    </row>
    <row r="14">
      <c r="A14" s="223"/>
      <c r="B14" s="223"/>
      <c r="C14" s="223"/>
      <c r="D14" s="223"/>
      <c r="E14" s="223"/>
      <c r="F14" s="223"/>
      <c r="G14" s="223"/>
    </row>
    <row r="15">
      <c r="A15" s="223"/>
    </row>
    <row r="16">
      <c r="A16" s="223"/>
    </row>
    <row r="17">
      <c r="A17" s="223"/>
    </row>
    <row r="18">
      <c r="A18" s="223"/>
    </row>
    <row r="19">
      <c r="A19" s="223"/>
    </row>
    <row r="20">
      <c r="A20" s="223"/>
    </row>
    <row r="21">
      <c r="A21" s="223"/>
    </row>
    <row r="22">
      <c r="A22" s="223"/>
    </row>
    <row r="23">
      <c r="A23" s="223"/>
    </row>
    <row r="24">
      <c r="A24" s="223"/>
    </row>
    <row r="25">
      <c r="A25" s="223"/>
    </row>
    <row r="26">
      <c r="A26" s="223"/>
    </row>
    <row r="27">
      <c r="A27" s="223"/>
    </row>
    <row r="28">
      <c r="A28" s="223"/>
    </row>
    <row r="29">
      <c r="A29" s="223"/>
    </row>
    <row r="30">
      <c r="A30" s="223"/>
    </row>
    <row r="31">
      <c r="A31" s="223"/>
    </row>
    <row r="32">
      <c r="A32" s="223"/>
    </row>
    <row r="33">
      <c r="A33" s="223"/>
    </row>
    <row r="34">
      <c r="A34" s="223"/>
    </row>
    <row r="35">
      <c r="A35" s="223"/>
    </row>
    <row r="36">
      <c r="A36" s="223"/>
    </row>
    <row r="37">
      <c r="A37" s="223"/>
    </row>
    <row r="38">
      <c r="A38" s="223"/>
    </row>
    <row r="39">
      <c r="A39" s="223"/>
    </row>
    <row r="40">
      <c r="A40" s="223"/>
    </row>
    <row r="41">
      <c r="A41" s="223"/>
    </row>
    <row r="42">
      <c r="A42" s="223"/>
    </row>
    <row r="43">
      <c r="A43" s="223"/>
    </row>
    <row r="44">
      <c r="A44" s="223"/>
    </row>
    <row r="45">
      <c r="A45" s="223"/>
    </row>
    <row r="46">
      <c r="A46" s="223"/>
    </row>
    <row r="47">
      <c r="A47" s="223"/>
    </row>
    <row r="48">
      <c r="A48" s="223"/>
    </row>
    <row r="49">
      <c r="A49" s="223"/>
    </row>
    <row r="50">
      <c r="A50" s="223"/>
    </row>
    <row r="51">
      <c r="A51" s="223"/>
    </row>
    <row r="52">
      <c r="A52" s="223"/>
    </row>
    <row r="53">
      <c r="A53" s="223"/>
    </row>
    <row r="54">
      <c r="A54" s="223"/>
    </row>
    <row r="55">
      <c r="A55" s="223"/>
    </row>
    <row r="56">
      <c r="A56" s="223"/>
    </row>
    <row r="57">
      <c r="A57" s="223"/>
    </row>
    <row r="58">
      <c r="A58" s="223"/>
    </row>
    <row r="59">
      <c r="A59" s="223"/>
    </row>
    <row r="60">
      <c r="A60" s="223"/>
    </row>
    <row r="61">
      <c r="A61" s="223"/>
    </row>
    <row r="62">
      <c r="A62" s="223"/>
    </row>
    <row r="63">
      <c r="A63" s="223"/>
    </row>
    <row r="64">
      <c r="A64" s="223"/>
    </row>
    <row r="65">
      <c r="A65" s="223"/>
    </row>
    <row r="66">
      <c r="A66" s="223"/>
    </row>
    <row r="67">
      <c r="A67" s="223"/>
    </row>
    <row r="68">
      <c r="A68" s="223"/>
    </row>
    <row r="69">
      <c r="A69" s="223"/>
    </row>
    <row r="70">
      <c r="A70" s="223"/>
    </row>
    <row r="71">
      <c r="A71" s="223"/>
    </row>
    <row r="72">
      <c r="A72" s="223"/>
    </row>
    <row r="73">
      <c r="A73" s="223"/>
    </row>
    <row r="74">
      <c r="A74" s="223"/>
    </row>
    <row r="75">
      <c r="A75" s="223"/>
    </row>
    <row r="76">
      <c r="A76" s="223"/>
    </row>
    <row r="77">
      <c r="A77" s="223"/>
    </row>
    <row r="78">
      <c r="A78" s="223"/>
    </row>
    <row r="79">
      <c r="A79" s="223"/>
    </row>
    <row r="80">
      <c r="A80" s="223"/>
    </row>
    <row r="81">
      <c r="A81" s="223"/>
    </row>
    <row r="82">
      <c r="A82" s="223"/>
    </row>
    <row r="83">
      <c r="A83" s="223"/>
    </row>
    <row r="84">
      <c r="A84" s="223"/>
    </row>
    <row r="85">
      <c r="A85" s="223"/>
    </row>
    <row r="86">
      <c r="A86" s="223"/>
    </row>
    <row r="87">
      <c r="A87" s="223"/>
    </row>
    <row r="88">
      <c r="A88" s="223"/>
    </row>
    <row r="89">
      <c r="A89" s="223"/>
    </row>
    <row r="90">
      <c r="A90" s="223"/>
    </row>
    <row r="91">
      <c r="A91" s="223"/>
    </row>
    <row r="92">
      <c r="A92" s="223"/>
    </row>
    <row r="93">
      <c r="A93" s="223"/>
    </row>
    <row r="94">
      <c r="A94" s="223"/>
    </row>
    <row r="95">
      <c r="A95" s="223"/>
    </row>
    <row r="96">
      <c r="A96" s="223"/>
    </row>
    <row r="97">
      <c r="A97" s="223"/>
    </row>
    <row r="98">
      <c r="A98" s="223"/>
    </row>
    <row r="99">
      <c r="A99" s="223"/>
    </row>
    <row r="100">
      <c r="A100" s="223"/>
    </row>
    <row r="101">
      <c r="A101" s="223"/>
    </row>
    <row r="102">
      <c r="A102" s="223"/>
    </row>
    <row r="103">
      <c r="A103" s="223"/>
    </row>
    <row r="104">
      <c r="A104" s="223"/>
    </row>
    <row r="105">
      <c r="A105" s="223"/>
    </row>
    <row r="106">
      <c r="A106" s="223"/>
    </row>
    <row r="107">
      <c r="A107" s="223"/>
    </row>
    <row r="108">
      <c r="A108" s="223"/>
    </row>
    <row r="109">
      <c r="A109" s="223"/>
    </row>
    <row r="110">
      <c r="A110" s="223"/>
    </row>
    <row r="111">
      <c r="A111" s="223"/>
    </row>
    <row r="112">
      <c r="A112" s="223"/>
    </row>
    <row r="113">
      <c r="A113" s="223"/>
    </row>
    <row r="114">
      <c r="A114" s="223"/>
    </row>
    <row r="115">
      <c r="A115" s="223"/>
    </row>
    <row r="116">
      <c r="A116" s="223"/>
    </row>
    <row r="117">
      <c r="A117" s="223"/>
    </row>
    <row r="118">
      <c r="A118" s="223"/>
    </row>
    <row r="119">
      <c r="A119" s="223"/>
    </row>
    <row r="120">
      <c r="A120" s="223"/>
    </row>
    <row r="121">
      <c r="A121" s="223"/>
    </row>
    <row r="122">
      <c r="A122" s="223"/>
    </row>
    <row r="123">
      <c r="A123" s="223"/>
    </row>
    <row r="124">
      <c r="A124" s="223"/>
    </row>
    <row r="125">
      <c r="A125" s="223"/>
    </row>
    <row r="126">
      <c r="A126" s="223"/>
    </row>
    <row r="127">
      <c r="A127" s="223"/>
    </row>
    <row r="128">
      <c r="A128" s="223"/>
    </row>
    <row r="129">
      <c r="A129" s="223"/>
    </row>
    <row r="130">
      <c r="A130" s="223"/>
    </row>
    <row r="131">
      <c r="A131" s="223"/>
    </row>
    <row r="132">
      <c r="A132" s="223"/>
    </row>
    <row r="133">
      <c r="A133" s="223"/>
    </row>
    <row r="134">
      <c r="A134" s="223"/>
    </row>
    <row r="135">
      <c r="A135" s="223"/>
    </row>
    <row r="136">
      <c r="A136" s="223"/>
    </row>
    <row r="137">
      <c r="A137" s="223"/>
    </row>
    <row r="138">
      <c r="A138" s="223"/>
    </row>
    <row r="139">
      <c r="A139" s="223"/>
    </row>
    <row r="140">
      <c r="A140" s="223"/>
    </row>
    <row r="141">
      <c r="A141" s="223"/>
    </row>
    <row r="142">
      <c r="A142" s="223"/>
    </row>
    <row r="143">
      <c r="A143" s="223"/>
    </row>
    <row r="144">
      <c r="A144" s="223"/>
    </row>
    <row r="145">
      <c r="A145" s="223"/>
    </row>
    <row r="146">
      <c r="A146" s="223"/>
    </row>
    <row r="147">
      <c r="A147" s="223"/>
    </row>
    <row r="148">
      <c r="A148" s="223"/>
    </row>
    <row r="149">
      <c r="A149" s="223"/>
    </row>
    <row r="150">
      <c r="A150" s="223"/>
    </row>
    <row r="151">
      <c r="A151" s="223"/>
    </row>
    <row r="152">
      <c r="A152" s="223"/>
    </row>
    <row r="153">
      <c r="A153" s="223"/>
    </row>
    <row r="154">
      <c r="A154" s="223"/>
    </row>
    <row r="155">
      <c r="A155" s="223"/>
    </row>
    <row r="156">
      <c r="A156" s="223"/>
    </row>
    <row r="157">
      <c r="A157" s="223"/>
    </row>
    <row r="158">
      <c r="A158" s="223"/>
    </row>
    <row r="159">
      <c r="A159" s="223"/>
    </row>
    <row r="160">
      <c r="A160" s="223"/>
    </row>
    <row r="161">
      <c r="A161" s="223"/>
    </row>
    <row r="162">
      <c r="A162" s="223"/>
    </row>
    <row r="163">
      <c r="A163" s="223"/>
    </row>
    <row r="164">
      <c r="A164" s="223"/>
    </row>
    <row r="165">
      <c r="A165" s="223"/>
    </row>
    <row r="166">
      <c r="A166" s="223"/>
    </row>
    <row r="167">
      <c r="A167" s="223"/>
    </row>
    <row r="168">
      <c r="A168" s="223"/>
    </row>
    <row r="169">
      <c r="A169" s="223"/>
    </row>
    <row r="170">
      <c r="A170" s="223"/>
    </row>
    <row r="171">
      <c r="A171" s="223"/>
    </row>
    <row r="172">
      <c r="A172" s="223"/>
    </row>
    <row r="173">
      <c r="A173" s="223"/>
    </row>
    <row r="174">
      <c r="A174" s="223"/>
    </row>
    <row r="175">
      <c r="A175" s="223"/>
    </row>
    <row r="176">
      <c r="A176" s="223"/>
    </row>
    <row r="177">
      <c r="A177" s="223"/>
    </row>
    <row r="178">
      <c r="A178" s="223"/>
    </row>
    <row r="179">
      <c r="A179" s="223"/>
    </row>
    <row r="180">
      <c r="A180" s="223"/>
    </row>
    <row r="181">
      <c r="A181" s="223"/>
    </row>
    <row r="182">
      <c r="A182" s="223"/>
    </row>
    <row r="183">
      <c r="A183" s="223"/>
    </row>
    <row r="184">
      <c r="A184" s="223"/>
    </row>
    <row r="185">
      <c r="A185" s="223"/>
    </row>
    <row r="186">
      <c r="A186" s="223"/>
    </row>
    <row r="187">
      <c r="A187" s="223"/>
    </row>
    <row r="188">
      <c r="A188" s="223"/>
    </row>
    <row r="189">
      <c r="A189" s="223"/>
    </row>
    <row r="190">
      <c r="A190" s="223"/>
    </row>
    <row r="191">
      <c r="A191" s="223"/>
    </row>
    <row r="192">
      <c r="A192" s="223"/>
    </row>
    <row r="193">
      <c r="A193" s="223"/>
    </row>
    <row r="194">
      <c r="A194" s="223"/>
    </row>
    <row r="195">
      <c r="A195" s="223"/>
    </row>
    <row r="196">
      <c r="A196" s="223"/>
    </row>
    <row r="197">
      <c r="A197" s="223"/>
    </row>
    <row r="198">
      <c r="A198" s="223"/>
    </row>
    <row r="199">
      <c r="A199" s="223"/>
    </row>
    <row r="200">
      <c r="A200" s="223"/>
    </row>
    <row r="201">
      <c r="A201" s="223"/>
    </row>
    <row r="202">
      <c r="A202" s="223"/>
    </row>
    <row r="203">
      <c r="A203" s="223"/>
    </row>
    <row r="204">
      <c r="A204" s="223"/>
    </row>
    <row r="205">
      <c r="A205" s="223"/>
    </row>
    <row r="206">
      <c r="A206" s="223"/>
    </row>
    <row r="207">
      <c r="A207" s="223"/>
    </row>
    <row r="208">
      <c r="A208" s="223"/>
    </row>
    <row r="209">
      <c r="A209" s="223"/>
    </row>
    <row r="210">
      <c r="A210" s="223"/>
    </row>
    <row r="211">
      <c r="A211" s="223"/>
    </row>
    <row r="212">
      <c r="A212" s="223"/>
    </row>
    <row r="213">
      <c r="A213" s="223"/>
    </row>
    <row r="214">
      <c r="A214" s="223"/>
    </row>
    <row r="215">
      <c r="A215" s="223"/>
    </row>
    <row r="216">
      <c r="A216" s="223"/>
    </row>
    <row r="217">
      <c r="A217" s="223"/>
    </row>
    <row r="218">
      <c r="A218" s="223"/>
    </row>
    <row r="219">
      <c r="A219" s="223"/>
    </row>
    <row r="220">
      <c r="A220" s="223"/>
    </row>
    <row r="221">
      <c r="A221" s="223"/>
    </row>
    <row r="222">
      <c r="A222" s="223"/>
    </row>
    <row r="223">
      <c r="A223" s="223"/>
    </row>
    <row r="224">
      <c r="A224" s="223"/>
    </row>
    <row r="225">
      <c r="A225" s="223"/>
    </row>
    <row r="226">
      <c r="A226" s="223"/>
    </row>
    <row r="227">
      <c r="A227" s="223"/>
    </row>
    <row r="228">
      <c r="A228" s="223"/>
    </row>
    <row r="229">
      <c r="A229" s="223"/>
    </row>
    <row r="230">
      <c r="A230" s="223"/>
    </row>
    <row r="231">
      <c r="A231" s="223"/>
    </row>
    <row r="232">
      <c r="A232" s="223"/>
    </row>
    <row r="233">
      <c r="A233" s="223"/>
    </row>
    <row r="234">
      <c r="A234" s="223"/>
    </row>
    <row r="235">
      <c r="A235" s="223"/>
    </row>
    <row r="236">
      <c r="A236" s="223"/>
    </row>
    <row r="237">
      <c r="A237" s="223"/>
    </row>
    <row r="238">
      <c r="A238" s="223"/>
    </row>
    <row r="239">
      <c r="A239" s="223"/>
    </row>
    <row r="240">
      <c r="A240" s="223"/>
    </row>
    <row r="241">
      <c r="A241" s="223"/>
    </row>
    <row r="242">
      <c r="A242" s="223"/>
    </row>
    <row r="243">
      <c r="A243" s="223"/>
    </row>
    <row r="244">
      <c r="A244" s="223"/>
    </row>
    <row r="245">
      <c r="A245" s="223"/>
    </row>
    <row r="246">
      <c r="A246" s="223"/>
    </row>
    <row r="247">
      <c r="A247" s="223"/>
    </row>
    <row r="248">
      <c r="A248" s="223"/>
    </row>
    <row r="249">
      <c r="A249" s="223"/>
    </row>
    <row r="250">
      <c r="A250" s="223"/>
    </row>
    <row r="251">
      <c r="A251" s="223"/>
    </row>
    <row r="252">
      <c r="A252" s="223"/>
    </row>
    <row r="253">
      <c r="A253" s="223"/>
    </row>
    <row r="254">
      <c r="A254" s="223"/>
    </row>
    <row r="255">
      <c r="A255" s="223"/>
    </row>
    <row r="256">
      <c r="A256" s="223"/>
    </row>
    <row r="257">
      <c r="A257" s="223"/>
    </row>
    <row r="258">
      <c r="A258" s="223"/>
    </row>
    <row r="259">
      <c r="A259" s="223"/>
    </row>
    <row r="260">
      <c r="A260" s="223"/>
    </row>
    <row r="261">
      <c r="A261" s="223"/>
    </row>
    <row r="262">
      <c r="A262" s="223"/>
    </row>
    <row r="263">
      <c r="A263" s="223"/>
    </row>
    <row r="264">
      <c r="A264" s="223"/>
    </row>
    <row r="265">
      <c r="A265" s="223"/>
    </row>
    <row r="266">
      <c r="A266" s="223"/>
    </row>
    <row r="267">
      <c r="A267" s="223"/>
    </row>
    <row r="268">
      <c r="A268" s="223"/>
    </row>
    <row r="269">
      <c r="A269" s="223"/>
    </row>
    <row r="270">
      <c r="A270" s="223"/>
    </row>
    <row r="271">
      <c r="A271" s="223"/>
    </row>
    <row r="272">
      <c r="A272" s="223"/>
    </row>
    <row r="273">
      <c r="A273" s="223"/>
    </row>
    <row r="274">
      <c r="A274" s="223"/>
    </row>
    <row r="275">
      <c r="A275" s="223"/>
    </row>
    <row r="276">
      <c r="A276" s="223"/>
    </row>
    <row r="277">
      <c r="A277" s="223"/>
    </row>
    <row r="278">
      <c r="A278" s="223"/>
    </row>
    <row r="279">
      <c r="A279" s="223"/>
    </row>
    <row r="280">
      <c r="A280" s="223"/>
    </row>
    <row r="281">
      <c r="A281" s="223"/>
    </row>
    <row r="282">
      <c r="A282" s="223"/>
    </row>
    <row r="283">
      <c r="A283" s="223"/>
    </row>
    <row r="284">
      <c r="A284" s="223"/>
    </row>
    <row r="285">
      <c r="A285" s="223"/>
    </row>
    <row r="286">
      <c r="A286" s="223"/>
    </row>
    <row r="287">
      <c r="A287" s="223"/>
    </row>
    <row r="288">
      <c r="A288" s="223"/>
    </row>
    <row r="289">
      <c r="A289" s="223"/>
    </row>
    <row r="290">
      <c r="A290" s="223"/>
    </row>
    <row r="291">
      <c r="A291" s="223"/>
    </row>
    <row r="292">
      <c r="A292" s="223"/>
    </row>
    <row r="293">
      <c r="A293" s="223"/>
    </row>
    <row r="294">
      <c r="A294" s="223"/>
    </row>
    <row r="295">
      <c r="A295" s="223"/>
    </row>
    <row r="296">
      <c r="A296" s="223"/>
    </row>
    <row r="297">
      <c r="A297" s="223"/>
    </row>
    <row r="298">
      <c r="A298" s="223"/>
    </row>
    <row r="299">
      <c r="A299" s="223"/>
    </row>
    <row r="300">
      <c r="A300" s="223"/>
    </row>
    <row r="301">
      <c r="A301" s="223"/>
    </row>
    <row r="302">
      <c r="A302" s="223"/>
    </row>
    <row r="303">
      <c r="A303" s="223"/>
    </row>
    <row r="304">
      <c r="A304" s="223"/>
    </row>
    <row r="305">
      <c r="A305" s="223"/>
    </row>
    <row r="306">
      <c r="A306" s="223"/>
    </row>
    <row r="307">
      <c r="A307" s="223"/>
    </row>
    <row r="308">
      <c r="A308" s="223"/>
    </row>
    <row r="309">
      <c r="A309" s="223"/>
    </row>
    <row r="310">
      <c r="A310" s="223"/>
    </row>
    <row r="311">
      <c r="A311" s="223"/>
    </row>
    <row r="312">
      <c r="A312" s="223"/>
    </row>
    <row r="313">
      <c r="A313" s="223"/>
    </row>
    <row r="314">
      <c r="A314" s="223"/>
    </row>
    <row r="315">
      <c r="A315" s="223"/>
    </row>
    <row r="316">
      <c r="A316" s="223"/>
    </row>
    <row r="317">
      <c r="A317" s="223"/>
    </row>
    <row r="318">
      <c r="A318" s="223"/>
    </row>
    <row r="319">
      <c r="A319" s="223"/>
    </row>
    <row r="320">
      <c r="A320" s="223"/>
    </row>
    <row r="321">
      <c r="A321" s="223"/>
    </row>
    <row r="322">
      <c r="A322" s="223"/>
    </row>
    <row r="323">
      <c r="A323" s="223"/>
    </row>
    <row r="324">
      <c r="A324" s="223"/>
    </row>
    <row r="325">
      <c r="A325" s="223"/>
    </row>
    <row r="326">
      <c r="A326" s="223"/>
    </row>
    <row r="327">
      <c r="A327" s="223"/>
    </row>
    <row r="328">
      <c r="A328" s="223"/>
    </row>
    <row r="329">
      <c r="A329" s="223"/>
    </row>
    <row r="330">
      <c r="A330" s="223"/>
    </row>
    <row r="331">
      <c r="A331" s="223"/>
    </row>
    <row r="332">
      <c r="A332" s="223"/>
    </row>
    <row r="333">
      <c r="A333" s="223"/>
    </row>
    <row r="334">
      <c r="A334" s="223"/>
    </row>
    <row r="335">
      <c r="A335" s="223"/>
    </row>
    <row r="336">
      <c r="A336" s="223"/>
    </row>
    <row r="337">
      <c r="A337" s="223"/>
    </row>
    <row r="338">
      <c r="A338" s="223"/>
    </row>
    <row r="339">
      <c r="A339" s="223"/>
    </row>
    <row r="340">
      <c r="A340" s="223"/>
    </row>
    <row r="341">
      <c r="A341" s="223"/>
    </row>
    <row r="342">
      <c r="A342" s="223"/>
    </row>
    <row r="343">
      <c r="A343" s="223"/>
    </row>
    <row r="344">
      <c r="A344" s="223"/>
    </row>
    <row r="345">
      <c r="A345" s="223"/>
    </row>
    <row r="346">
      <c r="A346" s="223"/>
    </row>
    <row r="347">
      <c r="A347" s="223"/>
    </row>
    <row r="348">
      <c r="A348" s="223"/>
    </row>
    <row r="349">
      <c r="A349" s="223"/>
    </row>
    <row r="350">
      <c r="A350" s="223"/>
    </row>
    <row r="351">
      <c r="A351" s="223"/>
    </row>
    <row r="352">
      <c r="A352" s="223"/>
    </row>
    <row r="353">
      <c r="A353" s="223"/>
    </row>
    <row r="354">
      <c r="A354" s="223"/>
    </row>
    <row r="355">
      <c r="A355" s="223"/>
    </row>
    <row r="356">
      <c r="A356" s="223"/>
    </row>
    <row r="357">
      <c r="A357" s="223"/>
    </row>
    <row r="358">
      <c r="A358" s="223"/>
    </row>
    <row r="359">
      <c r="A359" s="223"/>
    </row>
    <row r="360">
      <c r="A360" s="223"/>
    </row>
    <row r="361">
      <c r="A361" s="223"/>
    </row>
    <row r="362">
      <c r="A362" s="223"/>
    </row>
    <row r="363">
      <c r="A363" s="223"/>
    </row>
    <row r="364">
      <c r="A364" s="223"/>
    </row>
    <row r="365">
      <c r="A365" s="223"/>
    </row>
    <row r="366">
      <c r="A366" s="223"/>
    </row>
    <row r="367">
      <c r="A367" s="223"/>
    </row>
    <row r="368">
      <c r="A368" s="223"/>
    </row>
    <row r="369">
      <c r="A369" s="223"/>
    </row>
    <row r="370">
      <c r="A370" s="223"/>
    </row>
    <row r="371">
      <c r="A371" s="223"/>
    </row>
    <row r="372">
      <c r="A372" s="223"/>
    </row>
    <row r="373">
      <c r="A373" s="223"/>
    </row>
    <row r="374">
      <c r="A374" s="223"/>
    </row>
    <row r="375">
      <c r="A375" s="223"/>
    </row>
    <row r="376">
      <c r="A376" s="223"/>
    </row>
    <row r="377">
      <c r="A377" s="223"/>
    </row>
    <row r="378">
      <c r="A378" s="223"/>
    </row>
    <row r="379">
      <c r="A379" s="223"/>
    </row>
    <row r="380">
      <c r="A380" s="223"/>
    </row>
    <row r="381">
      <c r="A381" s="223"/>
    </row>
    <row r="382">
      <c r="A382" s="223"/>
    </row>
    <row r="383">
      <c r="A383" s="223"/>
    </row>
    <row r="384">
      <c r="A384" s="223"/>
    </row>
    <row r="385">
      <c r="A385" s="223"/>
    </row>
    <row r="386">
      <c r="A386" s="223"/>
    </row>
    <row r="387">
      <c r="A387" s="223"/>
    </row>
    <row r="388">
      <c r="A388" s="223"/>
    </row>
    <row r="389">
      <c r="A389" s="223"/>
    </row>
    <row r="390">
      <c r="A390" s="223"/>
    </row>
    <row r="391">
      <c r="A391" s="223"/>
    </row>
    <row r="392">
      <c r="A392" s="223"/>
    </row>
    <row r="393">
      <c r="A393" s="223"/>
    </row>
    <row r="394">
      <c r="A394" s="223"/>
    </row>
    <row r="395">
      <c r="A395" s="223"/>
    </row>
    <row r="396">
      <c r="A396" s="223"/>
    </row>
    <row r="397">
      <c r="A397" s="223"/>
    </row>
    <row r="398">
      <c r="A398" s="223"/>
    </row>
    <row r="399">
      <c r="A399" s="223"/>
    </row>
    <row r="400">
      <c r="A400" s="223"/>
    </row>
    <row r="401">
      <c r="A401" s="223"/>
    </row>
    <row r="402">
      <c r="A402" s="223"/>
    </row>
    <row r="403">
      <c r="A403" s="223"/>
    </row>
    <row r="404">
      <c r="A404" s="223"/>
    </row>
    <row r="405">
      <c r="A405" s="223"/>
    </row>
    <row r="406">
      <c r="A406" s="223"/>
    </row>
    <row r="407">
      <c r="A407" s="223"/>
    </row>
    <row r="408">
      <c r="A408" s="223"/>
    </row>
    <row r="409">
      <c r="A409" s="223"/>
    </row>
    <row r="410">
      <c r="A410" s="223"/>
    </row>
    <row r="411">
      <c r="A411" s="223"/>
    </row>
    <row r="412">
      <c r="A412" s="223"/>
    </row>
    <row r="413">
      <c r="A413" s="223"/>
    </row>
    <row r="414">
      <c r="A414" s="223"/>
    </row>
    <row r="415">
      <c r="A415" s="223"/>
    </row>
    <row r="416">
      <c r="A416" s="223"/>
    </row>
    <row r="417">
      <c r="A417" s="223"/>
    </row>
    <row r="418">
      <c r="A418" s="223"/>
    </row>
    <row r="419">
      <c r="A419" s="223"/>
    </row>
    <row r="420">
      <c r="A420" s="223"/>
    </row>
    <row r="421">
      <c r="A421" s="223"/>
    </row>
    <row r="422">
      <c r="A422" s="223"/>
    </row>
    <row r="423">
      <c r="A423" s="223"/>
    </row>
    <row r="424">
      <c r="A424" s="223"/>
    </row>
    <row r="425">
      <c r="A425" s="223"/>
    </row>
    <row r="426">
      <c r="A426" s="223"/>
    </row>
    <row r="427">
      <c r="A427" s="223"/>
    </row>
    <row r="428">
      <c r="A428" s="223"/>
    </row>
    <row r="429">
      <c r="A429" s="223"/>
    </row>
    <row r="430">
      <c r="A430" s="223"/>
    </row>
    <row r="431">
      <c r="A431" s="223"/>
    </row>
    <row r="432">
      <c r="A432" s="223"/>
    </row>
    <row r="433">
      <c r="A433" s="223"/>
    </row>
    <row r="434">
      <c r="A434" s="223"/>
    </row>
    <row r="435">
      <c r="A435" s="223"/>
    </row>
    <row r="436">
      <c r="A436" s="223"/>
    </row>
    <row r="437">
      <c r="A437" s="223"/>
    </row>
    <row r="438">
      <c r="A438" s="223"/>
    </row>
    <row r="439">
      <c r="A439" s="223"/>
    </row>
    <row r="440">
      <c r="A440" s="223"/>
    </row>
    <row r="441">
      <c r="A441" s="223"/>
    </row>
    <row r="442">
      <c r="A442" s="223"/>
    </row>
    <row r="443">
      <c r="A443" s="223"/>
    </row>
    <row r="444">
      <c r="A444" s="223"/>
    </row>
    <row r="445">
      <c r="A445" s="223"/>
    </row>
    <row r="446">
      <c r="A446" s="223"/>
    </row>
    <row r="447">
      <c r="A447" s="223"/>
    </row>
    <row r="448">
      <c r="A448" s="223"/>
    </row>
    <row r="449">
      <c r="A449" s="223"/>
    </row>
    <row r="450">
      <c r="A450" s="223"/>
    </row>
    <row r="451">
      <c r="A451" s="223"/>
    </row>
    <row r="452">
      <c r="A452" s="223"/>
    </row>
    <row r="453">
      <c r="A453" s="223"/>
    </row>
    <row r="454">
      <c r="A454" s="223"/>
    </row>
    <row r="455">
      <c r="A455" s="223"/>
    </row>
    <row r="456">
      <c r="A456" s="223"/>
    </row>
    <row r="457">
      <c r="A457" s="223"/>
    </row>
    <row r="458">
      <c r="A458" s="223"/>
    </row>
    <row r="459">
      <c r="A459" s="223"/>
    </row>
    <row r="460">
      <c r="A460" s="223"/>
    </row>
    <row r="461">
      <c r="A461" s="223"/>
    </row>
    <row r="462">
      <c r="A462" s="223"/>
    </row>
    <row r="463">
      <c r="A463" s="223"/>
    </row>
    <row r="464">
      <c r="A464" s="223"/>
    </row>
    <row r="465">
      <c r="A465" s="223"/>
    </row>
    <row r="466">
      <c r="A466" s="223"/>
    </row>
    <row r="467">
      <c r="A467" s="223"/>
    </row>
    <row r="468">
      <c r="A468" s="223"/>
    </row>
    <row r="469">
      <c r="A469" s="223"/>
    </row>
    <row r="470">
      <c r="A470" s="223"/>
    </row>
    <row r="471">
      <c r="A471" s="223"/>
    </row>
    <row r="472">
      <c r="A472" s="223"/>
    </row>
    <row r="473">
      <c r="A473" s="223"/>
    </row>
    <row r="474">
      <c r="A474" s="223"/>
    </row>
    <row r="475">
      <c r="A475" s="223"/>
    </row>
    <row r="476">
      <c r="A476" s="223"/>
    </row>
    <row r="477">
      <c r="A477" s="223"/>
    </row>
    <row r="478">
      <c r="A478" s="223"/>
    </row>
    <row r="479">
      <c r="A479" s="223"/>
    </row>
    <row r="480">
      <c r="A480" s="223"/>
    </row>
    <row r="481">
      <c r="A481" s="223"/>
    </row>
    <row r="482">
      <c r="A482" s="223"/>
    </row>
    <row r="483">
      <c r="A483" s="223"/>
    </row>
    <row r="484">
      <c r="A484" s="223"/>
    </row>
    <row r="485">
      <c r="A485" s="223"/>
    </row>
    <row r="486">
      <c r="A486" s="223"/>
    </row>
    <row r="487">
      <c r="A487" s="223"/>
    </row>
    <row r="488">
      <c r="A488" s="223"/>
    </row>
    <row r="489">
      <c r="A489" s="223"/>
    </row>
    <row r="490">
      <c r="A490" s="223"/>
    </row>
    <row r="491">
      <c r="A491" s="223"/>
    </row>
    <row r="492">
      <c r="A492" s="223"/>
    </row>
    <row r="493">
      <c r="A493" s="223"/>
    </row>
    <row r="494">
      <c r="A494" s="223"/>
    </row>
    <row r="495">
      <c r="A495" s="223"/>
    </row>
    <row r="496">
      <c r="A496" s="223"/>
    </row>
    <row r="497">
      <c r="A497" s="223"/>
    </row>
    <row r="498">
      <c r="A498" s="223"/>
    </row>
    <row r="499">
      <c r="A499" s="223"/>
    </row>
    <row r="500">
      <c r="A500" s="223"/>
    </row>
    <row r="501">
      <c r="A501" s="223"/>
    </row>
    <row r="502">
      <c r="A502" s="223"/>
    </row>
    <row r="503">
      <c r="A503" s="223"/>
    </row>
    <row r="504">
      <c r="A504" s="223"/>
    </row>
    <row r="505">
      <c r="A505" s="223"/>
    </row>
    <row r="506">
      <c r="A506" s="223"/>
    </row>
    <row r="507">
      <c r="A507" s="223"/>
    </row>
    <row r="508">
      <c r="A508" s="223"/>
    </row>
    <row r="509">
      <c r="A509" s="223"/>
    </row>
    <row r="510">
      <c r="A510" s="223"/>
    </row>
    <row r="511">
      <c r="A511" s="223"/>
    </row>
    <row r="512">
      <c r="A512" s="223"/>
    </row>
    <row r="513">
      <c r="A513" s="223"/>
    </row>
    <row r="514">
      <c r="A514" s="223"/>
    </row>
    <row r="515">
      <c r="A515" s="223"/>
    </row>
    <row r="516">
      <c r="A516" s="223"/>
    </row>
    <row r="517">
      <c r="A517" s="223"/>
    </row>
    <row r="518">
      <c r="A518" s="223"/>
    </row>
    <row r="519">
      <c r="A519" s="223"/>
    </row>
    <row r="520">
      <c r="A520" s="223"/>
    </row>
    <row r="521">
      <c r="A521" s="223"/>
    </row>
    <row r="522">
      <c r="A522" s="223"/>
    </row>
    <row r="523">
      <c r="A523" s="223"/>
    </row>
    <row r="524">
      <c r="A524" s="223"/>
    </row>
    <row r="525">
      <c r="A525" s="223"/>
    </row>
    <row r="526">
      <c r="A526" s="223"/>
    </row>
    <row r="527">
      <c r="A527" s="223"/>
    </row>
    <row r="528">
      <c r="A528" s="223"/>
    </row>
    <row r="529">
      <c r="A529" s="223"/>
    </row>
    <row r="530">
      <c r="A530" s="223"/>
    </row>
    <row r="531">
      <c r="A531" s="223"/>
    </row>
    <row r="532">
      <c r="A532" s="223"/>
    </row>
    <row r="533">
      <c r="A533" s="223"/>
    </row>
    <row r="534">
      <c r="A534" s="223"/>
    </row>
    <row r="535">
      <c r="A535" s="223"/>
    </row>
    <row r="536">
      <c r="A536" s="223"/>
    </row>
    <row r="537">
      <c r="A537" s="223"/>
    </row>
    <row r="538">
      <c r="A538" s="223"/>
    </row>
    <row r="539">
      <c r="A539" s="223"/>
    </row>
    <row r="540">
      <c r="A540" s="223"/>
    </row>
    <row r="541">
      <c r="A541" s="223"/>
    </row>
    <row r="542">
      <c r="A542" s="223"/>
    </row>
    <row r="543">
      <c r="A543" s="223"/>
    </row>
    <row r="544">
      <c r="A544" s="223"/>
    </row>
    <row r="545">
      <c r="A545" s="223"/>
    </row>
    <row r="546">
      <c r="A546" s="223"/>
    </row>
    <row r="547">
      <c r="A547" s="223"/>
    </row>
    <row r="548">
      <c r="A548" s="223"/>
    </row>
    <row r="549">
      <c r="A549" s="223"/>
    </row>
    <row r="550">
      <c r="A550" s="223"/>
    </row>
    <row r="551">
      <c r="A551" s="223"/>
    </row>
    <row r="552">
      <c r="A552" s="223"/>
    </row>
    <row r="553">
      <c r="A553" s="223"/>
    </row>
    <row r="554">
      <c r="A554" s="223"/>
    </row>
    <row r="555">
      <c r="A555" s="223"/>
    </row>
    <row r="556">
      <c r="A556" s="223"/>
    </row>
    <row r="557">
      <c r="A557" s="223"/>
    </row>
    <row r="558">
      <c r="A558" s="223"/>
    </row>
    <row r="559">
      <c r="A559" s="223"/>
    </row>
    <row r="560">
      <c r="A560" s="223"/>
    </row>
    <row r="561">
      <c r="A561" s="223"/>
    </row>
    <row r="562">
      <c r="A562" s="223"/>
    </row>
    <row r="563">
      <c r="A563" s="223"/>
    </row>
    <row r="564">
      <c r="A564" s="223"/>
    </row>
    <row r="565">
      <c r="A565" s="223"/>
    </row>
    <row r="566">
      <c r="A566" s="223"/>
    </row>
    <row r="567">
      <c r="A567" s="223"/>
    </row>
    <row r="568">
      <c r="A568" s="223"/>
    </row>
    <row r="569">
      <c r="A569" s="223"/>
    </row>
    <row r="570">
      <c r="A570" s="223"/>
    </row>
    <row r="571">
      <c r="A571" s="223"/>
    </row>
    <row r="572">
      <c r="A572" s="223"/>
    </row>
    <row r="573">
      <c r="A573" s="223"/>
    </row>
    <row r="574">
      <c r="A574" s="223"/>
    </row>
    <row r="575">
      <c r="A575" s="223"/>
    </row>
    <row r="576">
      <c r="A576" s="223"/>
    </row>
    <row r="577">
      <c r="A577" s="223"/>
    </row>
    <row r="578">
      <c r="A578" s="223"/>
    </row>
    <row r="579">
      <c r="A579" s="223"/>
    </row>
    <row r="580">
      <c r="A580" s="223"/>
    </row>
    <row r="581">
      <c r="A581" s="223"/>
    </row>
    <row r="582">
      <c r="A582" s="223"/>
    </row>
    <row r="583">
      <c r="A583" s="223"/>
    </row>
    <row r="584">
      <c r="A584" s="223"/>
    </row>
    <row r="585">
      <c r="A585" s="223"/>
    </row>
    <row r="586">
      <c r="A586" s="223"/>
    </row>
    <row r="587">
      <c r="A587" s="223"/>
    </row>
    <row r="588">
      <c r="A588" s="223"/>
    </row>
    <row r="589">
      <c r="A589" s="223"/>
    </row>
    <row r="590">
      <c r="A590" s="223"/>
    </row>
    <row r="591">
      <c r="A591" s="223"/>
    </row>
    <row r="592">
      <c r="A592" s="223"/>
    </row>
    <row r="593">
      <c r="A593" s="223"/>
    </row>
    <row r="594">
      <c r="A594" s="223"/>
    </row>
    <row r="595">
      <c r="A595" s="223"/>
    </row>
    <row r="596">
      <c r="A596" s="223"/>
    </row>
    <row r="597">
      <c r="A597" s="223"/>
    </row>
    <row r="598">
      <c r="A598" s="223"/>
    </row>
    <row r="599">
      <c r="A599" s="223"/>
    </row>
    <row r="600">
      <c r="A600" s="223"/>
    </row>
    <row r="601">
      <c r="A601" s="223"/>
    </row>
    <row r="602">
      <c r="A602" s="223"/>
    </row>
    <row r="603">
      <c r="A603" s="223"/>
    </row>
    <row r="604">
      <c r="A604" s="223"/>
    </row>
    <row r="605">
      <c r="A605" s="223"/>
    </row>
    <row r="606">
      <c r="A606" s="223"/>
    </row>
    <row r="607">
      <c r="A607" s="223"/>
    </row>
    <row r="608">
      <c r="A608" s="223"/>
    </row>
    <row r="609">
      <c r="A609" s="223"/>
    </row>
    <row r="610">
      <c r="A610" s="223"/>
    </row>
    <row r="611">
      <c r="A611" s="223"/>
    </row>
    <row r="612">
      <c r="A612" s="223"/>
    </row>
    <row r="613">
      <c r="A613" s="223"/>
    </row>
    <row r="614">
      <c r="A614" s="223"/>
    </row>
    <row r="615">
      <c r="A615" s="223"/>
    </row>
    <row r="616">
      <c r="A616" s="223"/>
    </row>
    <row r="617">
      <c r="A617" s="223"/>
    </row>
    <row r="618">
      <c r="A618" s="223"/>
    </row>
    <row r="619">
      <c r="A619" s="223"/>
    </row>
    <row r="620">
      <c r="A620" s="223"/>
    </row>
    <row r="621">
      <c r="A621" s="223"/>
    </row>
    <row r="622">
      <c r="A622" s="223"/>
    </row>
    <row r="623">
      <c r="A623" s="223"/>
    </row>
    <row r="624">
      <c r="A624" s="223"/>
    </row>
    <row r="625">
      <c r="A625" s="223"/>
    </row>
    <row r="626">
      <c r="A626" s="223"/>
    </row>
    <row r="627">
      <c r="A627" s="223"/>
    </row>
    <row r="628">
      <c r="A628" s="223"/>
    </row>
    <row r="629">
      <c r="A629" s="223"/>
    </row>
    <row r="630">
      <c r="A630" s="223"/>
    </row>
    <row r="631">
      <c r="A631" s="223"/>
    </row>
    <row r="632">
      <c r="A632" s="223"/>
    </row>
    <row r="633">
      <c r="A633" s="223"/>
    </row>
    <row r="634">
      <c r="A634" s="223"/>
    </row>
    <row r="635">
      <c r="A635" s="223"/>
    </row>
    <row r="636">
      <c r="A636" s="223"/>
    </row>
    <row r="637">
      <c r="A637" s="223"/>
    </row>
    <row r="638">
      <c r="A638" s="223"/>
    </row>
    <row r="639">
      <c r="A639" s="223"/>
    </row>
    <row r="640">
      <c r="A640" s="223"/>
    </row>
    <row r="641">
      <c r="A641" s="223"/>
    </row>
    <row r="642">
      <c r="A642" s="223"/>
    </row>
    <row r="643">
      <c r="A643" s="223"/>
    </row>
    <row r="644">
      <c r="A644" s="223"/>
    </row>
    <row r="645">
      <c r="A645" s="223"/>
    </row>
    <row r="646">
      <c r="A646" s="223"/>
    </row>
    <row r="647">
      <c r="A647" s="223"/>
    </row>
    <row r="648">
      <c r="A648" s="223"/>
    </row>
    <row r="649">
      <c r="A649" s="223"/>
    </row>
    <row r="650">
      <c r="A650" s="223"/>
    </row>
    <row r="651">
      <c r="A651" s="223"/>
    </row>
    <row r="652">
      <c r="A652" s="223"/>
    </row>
    <row r="653">
      <c r="A653" s="223"/>
    </row>
    <row r="654">
      <c r="A654" s="223"/>
    </row>
    <row r="655">
      <c r="A655" s="223"/>
    </row>
    <row r="656">
      <c r="A656" s="223"/>
    </row>
    <row r="657">
      <c r="A657" s="223"/>
    </row>
    <row r="658">
      <c r="A658" s="223"/>
    </row>
    <row r="659">
      <c r="A659" s="223"/>
    </row>
    <row r="660">
      <c r="A660" s="223"/>
    </row>
    <row r="661">
      <c r="A661" s="223"/>
    </row>
    <row r="662">
      <c r="A662" s="223"/>
    </row>
    <row r="663">
      <c r="A663" s="223"/>
    </row>
    <row r="664">
      <c r="A664" s="223"/>
    </row>
    <row r="665">
      <c r="A665" s="223"/>
    </row>
    <row r="666">
      <c r="A666" s="223"/>
    </row>
    <row r="667">
      <c r="A667" s="223"/>
    </row>
    <row r="668">
      <c r="A668" s="223"/>
    </row>
    <row r="669">
      <c r="A669" s="223"/>
    </row>
    <row r="670">
      <c r="A670" s="223"/>
    </row>
    <row r="671">
      <c r="A671" s="223"/>
    </row>
    <row r="672">
      <c r="A672" s="223"/>
    </row>
    <row r="673">
      <c r="A673" s="223"/>
    </row>
    <row r="674">
      <c r="A674" s="223"/>
    </row>
    <row r="675">
      <c r="A675" s="223"/>
    </row>
    <row r="676">
      <c r="A676" s="223"/>
    </row>
    <row r="677">
      <c r="A677" s="223"/>
    </row>
    <row r="678">
      <c r="A678" s="223"/>
    </row>
    <row r="679">
      <c r="A679" s="223"/>
    </row>
    <row r="680">
      <c r="A680" s="223"/>
    </row>
    <row r="681">
      <c r="A681" s="223"/>
    </row>
    <row r="682">
      <c r="A682" s="223"/>
    </row>
    <row r="683">
      <c r="A683" s="223"/>
    </row>
    <row r="684">
      <c r="A684" s="223"/>
    </row>
    <row r="685">
      <c r="A685" s="223"/>
    </row>
    <row r="686">
      <c r="A686" s="223"/>
    </row>
    <row r="687">
      <c r="A687" s="223"/>
    </row>
    <row r="688">
      <c r="A688" s="223"/>
    </row>
    <row r="689">
      <c r="A689" s="223"/>
    </row>
    <row r="690">
      <c r="A690" s="223"/>
    </row>
    <row r="691">
      <c r="A691" s="223"/>
    </row>
    <row r="692">
      <c r="A692" s="223"/>
    </row>
    <row r="693">
      <c r="A693" s="223"/>
    </row>
    <row r="694">
      <c r="A694" s="223"/>
    </row>
    <row r="695">
      <c r="A695" s="223"/>
    </row>
    <row r="696">
      <c r="A696" s="223"/>
    </row>
    <row r="697">
      <c r="A697" s="223"/>
    </row>
    <row r="698">
      <c r="A698" s="223"/>
    </row>
    <row r="699">
      <c r="A699" s="223"/>
    </row>
    <row r="700">
      <c r="A700" s="223"/>
    </row>
    <row r="701">
      <c r="A701" s="223"/>
    </row>
    <row r="702">
      <c r="A702" s="223"/>
    </row>
    <row r="703">
      <c r="A703" s="223"/>
    </row>
    <row r="704">
      <c r="A704" s="223"/>
    </row>
    <row r="705">
      <c r="A705" s="223"/>
    </row>
    <row r="706">
      <c r="A706" s="223"/>
    </row>
    <row r="707">
      <c r="A707" s="223"/>
    </row>
    <row r="708">
      <c r="A708" s="223"/>
    </row>
    <row r="709">
      <c r="A709" s="223"/>
    </row>
    <row r="710">
      <c r="A710" s="223"/>
    </row>
    <row r="711">
      <c r="A711" s="223"/>
    </row>
    <row r="712">
      <c r="A712" s="223"/>
    </row>
    <row r="713">
      <c r="A713" s="223"/>
    </row>
    <row r="714">
      <c r="A714" s="223"/>
    </row>
    <row r="715">
      <c r="A715" s="223"/>
    </row>
    <row r="716">
      <c r="A716" s="223"/>
    </row>
    <row r="717">
      <c r="A717" s="223"/>
    </row>
    <row r="718">
      <c r="A718" s="223"/>
    </row>
    <row r="719">
      <c r="A719" s="223"/>
    </row>
    <row r="720">
      <c r="A720" s="223"/>
    </row>
    <row r="721">
      <c r="A721" s="223"/>
    </row>
    <row r="722">
      <c r="A722" s="223"/>
    </row>
    <row r="723">
      <c r="A723" s="223"/>
    </row>
    <row r="724">
      <c r="A724" s="223"/>
    </row>
    <row r="725">
      <c r="A725" s="223"/>
    </row>
    <row r="726">
      <c r="A726" s="223"/>
    </row>
    <row r="727">
      <c r="A727" s="223"/>
    </row>
    <row r="728">
      <c r="A728" s="223"/>
    </row>
    <row r="729">
      <c r="A729" s="223"/>
    </row>
    <row r="730">
      <c r="A730" s="223"/>
    </row>
    <row r="731">
      <c r="A731" s="223"/>
    </row>
    <row r="732">
      <c r="A732" s="223"/>
    </row>
    <row r="733">
      <c r="A733" s="223"/>
    </row>
    <row r="734">
      <c r="A734" s="223"/>
    </row>
    <row r="735">
      <c r="A735" s="223"/>
    </row>
    <row r="736">
      <c r="A736" s="223"/>
    </row>
    <row r="737">
      <c r="A737" s="223"/>
    </row>
    <row r="738">
      <c r="A738" s="223"/>
    </row>
    <row r="739">
      <c r="A739" s="223"/>
    </row>
    <row r="740">
      <c r="A740" s="223"/>
    </row>
    <row r="741">
      <c r="A741" s="223"/>
    </row>
    <row r="742">
      <c r="A742" s="223"/>
    </row>
    <row r="743">
      <c r="A743" s="223"/>
    </row>
    <row r="744">
      <c r="A744" s="223"/>
    </row>
    <row r="745">
      <c r="A745" s="223"/>
    </row>
    <row r="746">
      <c r="A746" s="223"/>
    </row>
    <row r="747">
      <c r="A747" s="223"/>
    </row>
    <row r="748">
      <c r="A748" s="223"/>
    </row>
    <row r="749">
      <c r="A749" s="223"/>
    </row>
    <row r="750">
      <c r="A750" s="223"/>
    </row>
    <row r="751">
      <c r="A751" s="223"/>
    </row>
    <row r="752">
      <c r="A752" s="223"/>
    </row>
    <row r="753">
      <c r="A753" s="223"/>
    </row>
    <row r="754">
      <c r="A754" s="223"/>
    </row>
    <row r="755">
      <c r="A755" s="223"/>
    </row>
    <row r="756">
      <c r="A756" s="223"/>
    </row>
    <row r="757">
      <c r="A757" s="223"/>
    </row>
    <row r="758">
      <c r="A758" s="223"/>
    </row>
    <row r="759">
      <c r="A759" s="223"/>
    </row>
    <row r="760">
      <c r="A760" s="223"/>
    </row>
    <row r="761">
      <c r="A761" s="223"/>
    </row>
    <row r="762">
      <c r="A762" s="223"/>
    </row>
    <row r="763">
      <c r="A763" s="223"/>
    </row>
    <row r="764">
      <c r="A764" s="223"/>
    </row>
    <row r="765">
      <c r="A765" s="223"/>
    </row>
    <row r="766">
      <c r="A766" s="223"/>
    </row>
    <row r="767">
      <c r="A767" s="223"/>
    </row>
    <row r="768">
      <c r="A768" s="223"/>
    </row>
    <row r="769">
      <c r="A769" s="223"/>
    </row>
    <row r="770">
      <c r="A770" s="223"/>
    </row>
    <row r="771">
      <c r="A771" s="223"/>
    </row>
    <row r="772">
      <c r="A772" s="223"/>
    </row>
    <row r="773">
      <c r="A773" s="223"/>
    </row>
    <row r="774">
      <c r="A774" s="223"/>
    </row>
    <row r="775">
      <c r="A775" s="223"/>
    </row>
    <row r="776">
      <c r="A776" s="223"/>
    </row>
    <row r="777">
      <c r="A777" s="223"/>
    </row>
    <row r="778">
      <c r="A778" s="223"/>
    </row>
    <row r="779">
      <c r="A779" s="223"/>
    </row>
    <row r="780">
      <c r="A780" s="223"/>
    </row>
    <row r="781">
      <c r="A781" s="223"/>
    </row>
    <row r="782">
      <c r="A782" s="223"/>
    </row>
    <row r="783">
      <c r="A783" s="223"/>
    </row>
    <row r="784">
      <c r="A784" s="223"/>
    </row>
    <row r="785">
      <c r="A785" s="223"/>
    </row>
    <row r="786">
      <c r="A786" s="223"/>
    </row>
    <row r="787">
      <c r="A787" s="223"/>
    </row>
    <row r="788">
      <c r="A788" s="223"/>
    </row>
    <row r="789">
      <c r="A789" s="223"/>
    </row>
    <row r="790">
      <c r="A790" s="223"/>
    </row>
    <row r="791">
      <c r="A791" s="223"/>
    </row>
    <row r="792">
      <c r="A792" s="223"/>
    </row>
    <row r="793">
      <c r="A793" s="223"/>
    </row>
    <row r="794">
      <c r="A794" s="223"/>
    </row>
    <row r="795">
      <c r="A795" s="223"/>
    </row>
    <row r="796">
      <c r="A796" s="223"/>
    </row>
    <row r="797">
      <c r="A797" s="223"/>
    </row>
    <row r="798">
      <c r="A798" s="223"/>
    </row>
    <row r="799">
      <c r="A799" s="223"/>
    </row>
    <row r="800">
      <c r="A800" s="223"/>
    </row>
    <row r="801">
      <c r="A801" s="223"/>
    </row>
    <row r="802">
      <c r="A802" s="223"/>
    </row>
    <row r="803">
      <c r="A803" s="223"/>
    </row>
    <row r="804">
      <c r="A804" s="223"/>
    </row>
    <row r="805">
      <c r="A805" s="223"/>
    </row>
    <row r="806">
      <c r="A806" s="223"/>
    </row>
    <row r="807">
      <c r="A807" s="223"/>
    </row>
    <row r="808">
      <c r="A808" s="223"/>
    </row>
    <row r="809">
      <c r="A809" s="223"/>
    </row>
    <row r="810">
      <c r="A810" s="223"/>
    </row>
    <row r="811">
      <c r="A811" s="223"/>
    </row>
    <row r="812">
      <c r="A812" s="223"/>
    </row>
    <row r="813">
      <c r="A813" s="223"/>
    </row>
    <row r="814">
      <c r="A814" s="223"/>
    </row>
    <row r="815">
      <c r="A815" s="223"/>
    </row>
    <row r="816">
      <c r="A816" s="223"/>
    </row>
    <row r="817">
      <c r="A817" s="223"/>
    </row>
    <row r="818">
      <c r="A818" s="223"/>
    </row>
    <row r="819">
      <c r="A819" s="223"/>
    </row>
    <row r="820">
      <c r="A820" s="223"/>
    </row>
    <row r="821">
      <c r="A821" s="223"/>
    </row>
    <row r="822">
      <c r="A822" s="223"/>
    </row>
    <row r="823">
      <c r="A823" s="223"/>
    </row>
    <row r="824">
      <c r="A824" s="223"/>
    </row>
    <row r="825">
      <c r="A825" s="223"/>
    </row>
    <row r="826">
      <c r="A826" s="223"/>
    </row>
    <row r="827">
      <c r="A827" s="223"/>
    </row>
    <row r="828">
      <c r="A828" s="223"/>
    </row>
    <row r="829">
      <c r="A829" s="223"/>
    </row>
    <row r="830">
      <c r="A830" s="223"/>
    </row>
    <row r="831">
      <c r="A831" s="223"/>
    </row>
    <row r="832">
      <c r="A832" s="223"/>
    </row>
    <row r="833">
      <c r="A833" s="223"/>
    </row>
    <row r="834">
      <c r="A834" s="223"/>
    </row>
    <row r="835">
      <c r="A835" s="223"/>
    </row>
    <row r="836">
      <c r="A836" s="223"/>
    </row>
    <row r="837">
      <c r="A837" s="223"/>
    </row>
    <row r="838">
      <c r="A838" s="223"/>
    </row>
    <row r="839">
      <c r="A839" s="223"/>
    </row>
    <row r="840">
      <c r="A840" s="223"/>
    </row>
    <row r="841">
      <c r="A841" s="223"/>
    </row>
    <row r="842">
      <c r="A842" s="223"/>
    </row>
    <row r="843">
      <c r="A843" s="223"/>
    </row>
    <row r="844">
      <c r="A844" s="223"/>
    </row>
    <row r="845">
      <c r="A845" s="223"/>
    </row>
    <row r="846">
      <c r="A846" s="223"/>
    </row>
    <row r="847">
      <c r="A847" s="223"/>
    </row>
    <row r="848">
      <c r="A848" s="223"/>
    </row>
    <row r="849">
      <c r="A849" s="223"/>
    </row>
    <row r="850">
      <c r="A850" s="223"/>
    </row>
    <row r="851">
      <c r="A851" s="223"/>
    </row>
    <row r="852">
      <c r="A852" s="223"/>
    </row>
    <row r="853">
      <c r="A853" s="223"/>
    </row>
    <row r="854">
      <c r="A854" s="223"/>
    </row>
    <row r="855">
      <c r="A855" s="223"/>
    </row>
    <row r="856">
      <c r="A856" s="223"/>
    </row>
    <row r="857">
      <c r="A857" s="223"/>
    </row>
    <row r="858">
      <c r="A858" s="223"/>
    </row>
    <row r="859">
      <c r="A859" s="223"/>
    </row>
    <row r="860">
      <c r="A860" s="223"/>
    </row>
    <row r="861">
      <c r="A861" s="223"/>
    </row>
    <row r="862">
      <c r="A862" s="223"/>
    </row>
    <row r="863">
      <c r="A863" s="223"/>
    </row>
    <row r="864">
      <c r="A864" s="223"/>
    </row>
    <row r="865">
      <c r="A865" s="223"/>
    </row>
    <row r="866">
      <c r="A866" s="223"/>
    </row>
    <row r="867">
      <c r="A867" s="223"/>
    </row>
    <row r="868">
      <c r="A868" s="223"/>
    </row>
    <row r="869">
      <c r="A869" s="223"/>
    </row>
    <row r="870">
      <c r="A870" s="223"/>
    </row>
    <row r="871">
      <c r="A871" s="223"/>
    </row>
    <row r="872">
      <c r="A872" s="223"/>
    </row>
    <row r="873">
      <c r="A873" s="223"/>
    </row>
    <row r="874">
      <c r="A874" s="223"/>
    </row>
    <row r="875">
      <c r="A875" s="223"/>
    </row>
    <row r="876">
      <c r="A876" s="223"/>
    </row>
    <row r="877">
      <c r="A877" s="223"/>
    </row>
    <row r="878">
      <c r="A878" s="223"/>
    </row>
    <row r="879">
      <c r="A879" s="223"/>
    </row>
    <row r="880">
      <c r="A880" s="223"/>
    </row>
    <row r="881">
      <c r="A881" s="223"/>
    </row>
    <row r="882">
      <c r="A882" s="223"/>
    </row>
    <row r="883">
      <c r="A883" s="223"/>
    </row>
    <row r="884">
      <c r="A884" s="223"/>
    </row>
    <row r="885">
      <c r="A885" s="223"/>
    </row>
    <row r="886">
      <c r="A886" s="223"/>
    </row>
    <row r="887">
      <c r="A887" s="223"/>
    </row>
    <row r="888">
      <c r="A888" s="223"/>
    </row>
    <row r="889">
      <c r="A889" s="223"/>
    </row>
    <row r="890">
      <c r="A890" s="223"/>
    </row>
    <row r="891">
      <c r="A891" s="223"/>
    </row>
    <row r="892">
      <c r="A892" s="223"/>
    </row>
    <row r="893">
      <c r="A893" s="223"/>
    </row>
    <row r="894">
      <c r="A894" s="223"/>
    </row>
    <row r="895">
      <c r="A895" s="223"/>
    </row>
    <row r="896">
      <c r="A896" s="223"/>
    </row>
    <row r="897">
      <c r="A897" s="223"/>
    </row>
    <row r="898">
      <c r="A898" s="223"/>
    </row>
    <row r="899">
      <c r="A899" s="223"/>
    </row>
    <row r="900">
      <c r="A900" s="223"/>
    </row>
    <row r="901">
      <c r="A901" s="223"/>
    </row>
    <row r="902">
      <c r="A902" s="223"/>
    </row>
    <row r="903">
      <c r="A903" s="223"/>
    </row>
    <row r="904">
      <c r="A904" s="223"/>
    </row>
    <row r="905">
      <c r="A905" s="223"/>
    </row>
    <row r="906">
      <c r="A906" s="223"/>
    </row>
    <row r="907">
      <c r="A907" s="223"/>
    </row>
    <row r="908">
      <c r="A908" s="223"/>
    </row>
    <row r="909">
      <c r="A909" s="223"/>
    </row>
    <row r="910">
      <c r="A910" s="223"/>
    </row>
    <row r="911">
      <c r="A911" s="223"/>
    </row>
    <row r="912">
      <c r="A912" s="223"/>
    </row>
    <row r="913">
      <c r="A913" s="223"/>
    </row>
    <row r="914">
      <c r="A914" s="223"/>
    </row>
    <row r="915">
      <c r="A915" s="223"/>
    </row>
    <row r="916">
      <c r="A916" s="223"/>
    </row>
    <row r="917">
      <c r="A917" s="223"/>
    </row>
    <row r="918">
      <c r="A918" s="223"/>
    </row>
    <row r="919">
      <c r="A919" s="223"/>
    </row>
    <row r="920">
      <c r="A920" s="223"/>
    </row>
    <row r="921">
      <c r="A921" s="223"/>
    </row>
    <row r="922">
      <c r="A922" s="223"/>
    </row>
    <row r="923">
      <c r="A923" s="223"/>
    </row>
    <row r="924">
      <c r="A924" s="223"/>
    </row>
    <row r="925">
      <c r="A925" s="223"/>
    </row>
    <row r="926">
      <c r="A926" s="223"/>
    </row>
    <row r="927">
      <c r="A927" s="223"/>
    </row>
    <row r="928">
      <c r="A928" s="223"/>
    </row>
    <row r="929">
      <c r="A929" s="223"/>
    </row>
    <row r="930">
      <c r="A930" s="223"/>
    </row>
    <row r="931">
      <c r="A931" s="223"/>
    </row>
    <row r="932">
      <c r="A932" s="223"/>
    </row>
    <row r="933">
      <c r="A933" s="223"/>
    </row>
    <row r="934">
      <c r="A934" s="223"/>
    </row>
    <row r="935">
      <c r="A935" s="223"/>
    </row>
    <row r="936">
      <c r="A936" s="223"/>
    </row>
    <row r="937">
      <c r="A937" s="223"/>
    </row>
    <row r="938">
      <c r="A938" s="223"/>
    </row>
    <row r="939">
      <c r="A939" s="223"/>
    </row>
    <row r="940">
      <c r="A940" s="223"/>
    </row>
    <row r="941">
      <c r="A941" s="223"/>
    </row>
    <row r="942">
      <c r="A942" s="223"/>
    </row>
    <row r="943">
      <c r="A943" s="223"/>
    </row>
    <row r="944">
      <c r="A944" s="223"/>
    </row>
    <row r="945">
      <c r="A945" s="223"/>
    </row>
    <row r="946">
      <c r="A946" s="223"/>
    </row>
    <row r="947">
      <c r="A947" s="223"/>
    </row>
    <row r="948">
      <c r="A948" s="223"/>
    </row>
    <row r="949">
      <c r="A949" s="223"/>
    </row>
    <row r="950">
      <c r="A950" s="223"/>
    </row>
    <row r="951">
      <c r="A951" s="223"/>
    </row>
    <row r="952">
      <c r="A952" s="223"/>
    </row>
    <row r="953">
      <c r="A953" s="223"/>
    </row>
    <row r="954">
      <c r="A954" s="223"/>
    </row>
    <row r="955">
      <c r="A955" s="223"/>
    </row>
    <row r="956">
      <c r="A956" s="223"/>
    </row>
    <row r="957">
      <c r="A957" s="223"/>
    </row>
    <row r="958">
      <c r="A958" s="223"/>
    </row>
    <row r="959">
      <c r="A959" s="223"/>
    </row>
    <row r="960">
      <c r="A960" s="223"/>
    </row>
    <row r="961">
      <c r="A961" s="223"/>
    </row>
    <row r="962">
      <c r="A962" s="223"/>
    </row>
    <row r="963">
      <c r="A963" s="223"/>
    </row>
    <row r="964">
      <c r="A964" s="223"/>
    </row>
    <row r="965">
      <c r="A965" s="223"/>
    </row>
    <row r="966">
      <c r="A966" s="223"/>
    </row>
    <row r="967">
      <c r="A967" s="223"/>
    </row>
    <row r="968">
      <c r="A968" s="223"/>
    </row>
    <row r="969">
      <c r="A969" s="223"/>
    </row>
    <row r="970">
      <c r="A970" s="223"/>
    </row>
    <row r="971">
      <c r="A971" s="223"/>
    </row>
    <row r="972">
      <c r="A972" s="223"/>
    </row>
    <row r="973">
      <c r="A973" s="223"/>
    </row>
    <row r="974">
      <c r="A974" s="223"/>
    </row>
    <row r="975">
      <c r="A975" s="223"/>
    </row>
    <row r="976">
      <c r="A976" s="223"/>
    </row>
    <row r="977">
      <c r="A977" s="223"/>
    </row>
    <row r="978">
      <c r="A978" s="223"/>
    </row>
    <row r="979">
      <c r="A979" s="223"/>
    </row>
    <row r="980">
      <c r="A980" s="223"/>
    </row>
    <row r="981">
      <c r="A981" s="223"/>
    </row>
    <row r="982">
      <c r="A982" s="223"/>
    </row>
    <row r="983">
      <c r="A983" s="223"/>
    </row>
    <row r="984">
      <c r="A984" s="223"/>
    </row>
    <row r="985">
      <c r="A985" s="223"/>
    </row>
    <row r="986">
      <c r="A986" s="223"/>
    </row>
    <row r="987">
      <c r="A987" s="223"/>
    </row>
    <row r="988">
      <c r="A988" s="223"/>
    </row>
    <row r="989">
      <c r="A989" s="223"/>
    </row>
    <row r="990">
      <c r="A990" s="223"/>
    </row>
    <row r="991">
      <c r="A991" s="223"/>
    </row>
    <row r="992">
      <c r="A992" s="223"/>
    </row>
    <row r="993">
      <c r="A993" s="223"/>
    </row>
    <row r="994">
      <c r="A994" s="223"/>
    </row>
    <row r="995">
      <c r="A995" s="223"/>
    </row>
    <row r="996">
      <c r="A996" s="223"/>
    </row>
    <row r="997">
      <c r="A997" s="223"/>
    </row>
    <row r="998">
      <c r="A998" s="223"/>
    </row>
    <row r="999">
      <c r="A999" s="223"/>
    </row>
    <row r="1000">
      <c r="A1000" s="223"/>
    </row>
    <row r="1001">
      <c r="A1001" s="223"/>
    </row>
  </sheetData>
  <drawing r:id="rId1"/>
</worksheet>
</file>